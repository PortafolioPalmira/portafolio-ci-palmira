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cumentos\arebolledor 26-03-2018\1. COMITÉ INTERREDES\1. ANÁLISIS PORTAFOLIO C.I. PALMIRA\ANÁLISIS PORTAFOLIO C,I, PALMIRA\ANÁLISIS EJERCICIO POR GRUPOS\ANÁLISIS CLAUDE\"/>
    </mc:Choice>
  </mc:AlternateContent>
  <xr:revisionPtr revIDLastSave="0" documentId="13_ncr:1_{F1E875EB-D707-4BAD-8B0C-7018EFB5F304}" xr6:coauthVersionLast="47" xr6:coauthVersionMax="47" xr10:uidLastSave="{00000000-0000-0000-0000-000000000000}"/>
  <bookViews>
    <workbookView xWindow="-103" yWindow="-103" windowWidth="18159" windowHeight="9585" xr2:uid="{00000000-000D-0000-FFFF-FFFF00000000}"/>
  </bookViews>
  <sheets>
    <sheet name="Portafolio_Proyectos" sheetId="1" r:id="rId1"/>
    <sheet name="Diccionario_Capacidades" sheetId="2" r:id="rId2"/>
    <sheet name="Capacidades_CI" sheetId="3" r:id="rId3"/>
    <sheet name="Dashboard_Gerencial" sheetId="4" r:id="rId4"/>
    <sheet name="V1_Impacto_Territorial" sheetId="5" r:id="rId5"/>
    <sheet name="V2_Impacto_Demostrado" sheetId="6" r:id="rId6"/>
    <sheet name="V3_Trayectoria_TRL" sheetId="7" r:id="rId7"/>
    <sheet name="V4_Red_Alianzas" sheetId="8" r:id="rId8"/>
    <sheet name="V5_Portafolio_Activo" sheetId="9" r:id="rId9"/>
    <sheet name="V6_Capacidades_Cientificas" sheetId="10" r:id="rId10"/>
    <sheet name="V7_Productividad_Cientifica" sheetId="11" r:id="rId11"/>
    <sheet name="V8_Ficha_Proyecto" sheetId="12" r:id="rId12"/>
    <sheet name="Listas_Control" sheetId="13" r:id="rId1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8" i="12" l="1"/>
  <c r="B57" i="12"/>
  <c r="B56" i="12"/>
  <c r="B54" i="12"/>
  <c r="B53" i="12"/>
  <c r="B51" i="12"/>
  <c r="B50" i="12"/>
  <c r="B49" i="12"/>
  <c r="B48" i="12"/>
  <c r="B47" i="12"/>
  <c r="B46" i="12"/>
  <c r="B44" i="12"/>
  <c r="B43" i="12"/>
  <c r="B42" i="12"/>
  <c r="B41" i="12"/>
  <c r="B39" i="12"/>
  <c r="B38" i="12"/>
  <c r="B37" i="12"/>
  <c r="B36" i="12"/>
  <c r="B35" i="12"/>
  <c r="B34" i="12"/>
  <c r="B33" i="12"/>
  <c r="B31" i="12"/>
  <c r="B30" i="12"/>
  <c r="B29" i="12"/>
  <c r="B28" i="12"/>
  <c r="B27" i="12"/>
  <c r="B26" i="12"/>
  <c r="B24" i="12"/>
  <c r="B23" i="12"/>
  <c r="B22" i="12"/>
  <c r="B21" i="12"/>
  <c r="B20" i="12"/>
  <c r="B18" i="12"/>
  <c r="B17" i="12"/>
  <c r="B16" i="12"/>
  <c r="B15" i="12"/>
  <c r="B14" i="12"/>
  <c r="B13" i="12"/>
  <c r="B12" i="12"/>
  <c r="B11" i="12"/>
  <c r="B10" i="12"/>
  <c r="B9" i="12"/>
  <c r="B8" i="12"/>
  <c r="B7" i="12"/>
  <c r="C3" i="12"/>
  <c r="B57" i="11"/>
  <c r="C57" i="11" s="1"/>
  <c r="B56" i="11"/>
  <c r="C56" i="11" s="1"/>
  <c r="B55" i="11"/>
  <c r="C55" i="11" s="1"/>
  <c r="B54" i="11"/>
  <c r="C54" i="11" s="1"/>
  <c r="B53" i="11"/>
  <c r="C53" i="11" s="1"/>
  <c r="B52" i="11"/>
  <c r="C52" i="11" s="1"/>
  <c r="B47" i="11"/>
  <c r="B46" i="11"/>
  <c r="C46" i="11" s="1"/>
  <c r="B45" i="11"/>
  <c r="C45" i="11" s="1"/>
  <c r="B44" i="11"/>
  <c r="C44" i="11" s="1"/>
  <c r="B43" i="11"/>
  <c r="C43" i="11" s="1"/>
  <c r="D38" i="11"/>
  <c r="C38" i="11"/>
  <c r="B38" i="11"/>
  <c r="D37" i="11"/>
  <c r="C37" i="11"/>
  <c r="B37" i="11"/>
  <c r="D36" i="11"/>
  <c r="C36" i="11"/>
  <c r="B36" i="11"/>
  <c r="D35" i="11"/>
  <c r="C35" i="11"/>
  <c r="B35" i="11"/>
  <c r="D34" i="11"/>
  <c r="C34" i="11"/>
  <c r="B34" i="11"/>
  <c r="D33" i="11"/>
  <c r="C33" i="11"/>
  <c r="B33" i="11"/>
  <c r="D32" i="11"/>
  <c r="C32" i="11"/>
  <c r="B32" i="11"/>
  <c r="D31" i="11"/>
  <c r="C31" i="11"/>
  <c r="B31" i="11"/>
  <c r="D30" i="11"/>
  <c r="C30" i="11"/>
  <c r="B30" i="11"/>
  <c r="D29" i="11"/>
  <c r="C29" i="11"/>
  <c r="B29" i="11"/>
  <c r="D28" i="11"/>
  <c r="C28" i="11"/>
  <c r="B28" i="11"/>
  <c r="D27" i="11"/>
  <c r="C27" i="11"/>
  <c r="B27" i="11"/>
  <c r="D26" i="11"/>
  <c r="C26" i="11"/>
  <c r="B26" i="11"/>
  <c r="D25" i="11"/>
  <c r="C25" i="11"/>
  <c r="B25" i="11"/>
  <c r="D24" i="11"/>
  <c r="C24" i="11"/>
  <c r="B24" i="11"/>
  <c r="D23" i="11"/>
  <c r="C23" i="11"/>
  <c r="B23" i="11"/>
  <c r="D22" i="11"/>
  <c r="C22" i="11"/>
  <c r="B22" i="11"/>
  <c r="D21" i="11"/>
  <c r="C21" i="11"/>
  <c r="B21" i="11"/>
  <c r="D20" i="11"/>
  <c r="C20" i="11"/>
  <c r="B20" i="11"/>
  <c r="D19" i="11"/>
  <c r="C19" i="11"/>
  <c r="B19" i="11"/>
  <c r="D18" i="11"/>
  <c r="C18" i="11"/>
  <c r="B18" i="11"/>
  <c r="D17" i="11"/>
  <c r="C17" i="11"/>
  <c r="B17" i="11"/>
  <c r="D16" i="11"/>
  <c r="C16" i="11"/>
  <c r="B16" i="11"/>
  <c r="D15" i="11"/>
  <c r="C15" i="11"/>
  <c r="B15" i="11"/>
  <c r="D14" i="11"/>
  <c r="C14" i="11"/>
  <c r="B14" i="11"/>
  <c r="D13" i="11"/>
  <c r="C13" i="11"/>
  <c r="B13" i="11"/>
  <c r="D12" i="11"/>
  <c r="C12" i="11"/>
  <c r="B12" i="11"/>
  <c r="F11" i="11"/>
  <c r="D11" i="11"/>
  <c r="C11" i="11"/>
  <c r="B11" i="11"/>
  <c r="F10" i="11"/>
  <c r="D10" i="11"/>
  <c r="C10" i="11"/>
  <c r="B10" i="11"/>
  <c r="F9" i="11"/>
  <c r="D9" i="11"/>
  <c r="C9" i="11"/>
  <c r="B9" i="11"/>
  <c r="F8" i="11"/>
  <c r="D8" i="11"/>
  <c r="C8" i="11"/>
  <c r="B8" i="11"/>
  <c r="F7" i="11"/>
  <c r="D7" i="11"/>
  <c r="C7" i="11"/>
  <c r="B7" i="11"/>
  <c r="F6" i="11"/>
  <c r="D6" i="11"/>
  <c r="C6" i="11"/>
  <c r="B6" i="11"/>
  <c r="D38" i="10"/>
  <c r="C38" i="10"/>
  <c r="B38" i="10"/>
  <c r="D37" i="10"/>
  <c r="C37" i="10"/>
  <c r="B37" i="10"/>
  <c r="D36" i="10"/>
  <c r="C36" i="10"/>
  <c r="B36" i="10"/>
  <c r="D35" i="10"/>
  <c r="C35" i="10"/>
  <c r="B35" i="10"/>
  <c r="D34" i="10"/>
  <c r="C34" i="10"/>
  <c r="B34" i="10"/>
  <c r="D33" i="10"/>
  <c r="C33" i="10"/>
  <c r="B33" i="10"/>
  <c r="D32" i="10"/>
  <c r="C32" i="10"/>
  <c r="B32" i="10"/>
  <c r="D31" i="10"/>
  <c r="C31" i="10"/>
  <c r="B31" i="10"/>
  <c r="D30" i="10"/>
  <c r="C30" i="10"/>
  <c r="B30" i="10"/>
  <c r="D29" i="10"/>
  <c r="C29" i="10"/>
  <c r="B29" i="10"/>
  <c r="D28" i="10"/>
  <c r="C28" i="10"/>
  <c r="B28" i="10"/>
  <c r="D27" i="10"/>
  <c r="C27" i="10"/>
  <c r="B27" i="10"/>
  <c r="D26" i="10"/>
  <c r="C26" i="10"/>
  <c r="B26" i="10"/>
  <c r="D25" i="10"/>
  <c r="C25" i="10"/>
  <c r="B25" i="10"/>
  <c r="D24" i="10"/>
  <c r="C24" i="10"/>
  <c r="B24" i="10"/>
  <c r="D23" i="10"/>
  <c r="C23" i="10"/>
  <c r="B23" i="10"/>
  <c r="D22" i="10"/>
  <c r="C22" i="10"/>
  <c r="B22" i="10"/>
  <c r="D21" i="10"/>
  <c r="C21" i="10"/>
  <c r="B21" i="10"/>
  <c r="D20" i="10"/>
  <c r="C20" i="10"/>
  <c r="B20" i="10"/>
  <c r="D19" i="10"/>
  <c r="C19" i="10"/>
  <c r="B19" i="10"/>
  <c r="D18" i="10"/>
  <c r="C18" i="10"/>
  <c r="B18" i="10"/>
  <c r="D17" i="10"/>
  <c r="C17" i="10"/>
  <c r="B17" i="10"/>
  <c r="D16" i="10"/>
  <c r="C16" i="10"/>
  <c r="B16" i="10"/>
  <c r="D15" i="10"/>
  <c r="C15" i="10"/>
  <c r="B15" i="10"/>
  <c r="I14" i="10"/>
  <c r="H14" i="10"/>
  <c r="G14" i="10"/>
  <c r="D14" i="10"/>
  <c r="C14" i="10"/>
  <c r="B14" i="10"/>
  <c r="I13" i="10"/>
  <c r="H13" i="10"/>
  <c r="G13" i="10"/>
  <c r="D13" i="10"/>
  <c r="C13" i="10"/>
  <c r="B13" i="10"/>
  <c r="I12" i="10"/>
  <c r="H12" i="10"/>
  <c r="G12" i="10"/>
  <c r="D12" i="10"/>
  <c r="C12" i="10"/>
  <c r="B12" i="10"/>
  <c r="I11" i="10"/>
  <c r="H11" i="10"/>
  <c r="G11" i="10"/>
  <c r="D11" i="10"/>
  <c r="C11" i="10"/>
  <c r="B11" i="10"/>
  <c r="I10" i="10"/>
  <c r="H10" i="10"/>
  <c r="G10" i="10"/>
  <c r="D10" i="10"/>
  <c r="C10" i="10"/>
  <c r="B10" i="10"/>
  <c r="I9" i="10"/>
  <c r="H9" i="10"/>
  <c r="G9" i="10"/>
  <c r="D9" i="10"/>
  <c r="C9" i="10"/>
  <c r="B9" i="10"/>
  <c r="I8" i="10"/>
  <c r="H8" i="10"/>
  <c r="G8" i="10"/>
  <c r="D8" i="10"/>
  <c r="C8" i="10"/>
  <c r="B8" i="10"/>
  <c r="I7" i="10"/>
  <c r="H7" i="10"/>
  <c r="G7" i="10"/>
  <c r="D7" i="10"/>
  <c r="C7" i="10"/>
  <c r="B7" i="10"/>
  <c r="I6" i="10"/>
  <c r="H6" i="10"/>
  <c r="G6" i="10"/>
  <c r="D6" i="10"/>
  <c r="C6" i="10"/>
  <c r="B6" i="10"/>
  <c r="I38" i="9"/>
  <c r="H38" i="9"/>
  <c r="G38" i="9"/>
  <c r="F38" i="9"/>
  <c r="I37" i="9"/>
  <c r="H37" i="9"/>
  <c r="G37" i="9"/>
  <c r="F37" i="9"/>
  <c r="I36" i="9"/>
  <c r="H36" i="9"/>
  <c r="G36" i="9"/>
  <c r="F36" i="9"/>
  <c r="I35" i="9"/>
  <c r="H35" i="9"/>
  <c r="G35" i="9"/>
  <c r="F35" i="9"/>
  <c r="I34" i="9"/>
  <c r="H34" i="9"/>
  <c r="G34" i="9"/>
  <c r="F34" i="9"/>
  <c r="I33" i="9"/>
  <c r="H33" i="9"/>
  <c r="G33" i="9"/>
  <c r="F33" i="9"/>
  <c r="I32" i="9"/>
  <c r="H32" i="9"/>
  <c r="G32" i="9"/>
  <c r="F32" i="9"/>
  <c r="I31" i="9"/>
  <c r="H31" i="9"/>
  <c r="G31" i="9"/>
  <c r="F31" i="9"/>
  <c r="I30" i="9"/>
  <c r="H30" i="9"/>
  <c r="G30" i="9"/>
  <c r="F30" i="9"/>
  <c r="I29" i="9"/>
  <c r="H29" i="9"/>
  <c r="G29" i="9"/>
  <c r="F29" i="9"/>
  <c r="I28" i="9"/>
  <c r="H28" i="9"/>
  <c r="G28" i="9"/>
  <c r="F28" i="9"/>
  <c r="I27" i="9"/>
  <c r="H27" i="9"/>
  <c r="G27" i="9"/>
  <c r="F27" i="9"/>
  <c r="I26" i="9"/>
  <c r="H26" i="9"/>
  <c r="G26" i="9"/>
  <c r="F26" i="9"/>
  <c r="I25" i="9"/>
  <c r="H25" i="9"/>
  <c r="G25" i="9"/>
  <c r="F25" i="9"/>
  <c r="I24" i="9"/>
  <c r="H24" i="9"/>
  <c r="G24" i="9"/>
  <c r="F24" i="9"/>
  <c r="I23" i="9"/>
  <c r="H23" i="9"/>
  <c r="G23" i="9"/>
  <c r="F23" i="9"/>
  <c r="B23" i="9"/>
  <c r="C23" i="9" s="1"/>
  <c r="I22" i="9"/>
  <c r="H22" i="9"/>
  <c r="G22" i="9"/>
  <c r="F22" i="9"/>
  <c r="B22" i="9"/>
  <c r="C22" i="9" s="1"/>
  <c r="I21" i="9"/>
  <c r="H21" i="9"/>
  <c r="G21" i="9"/>
  <c r="F21" i="9"/>
  <c r="B21" i="9"/>
  <c r="C21" i="9" s="1"/>
  <c r="I20" i="9"/>
  <c r="H20" i="9"/>
  <c r="G20" i="9"/>
  <c r="F20" i="9"/>
  <c r="B20" i="9"/>
  <c r="C20" i="9" s="1"/>
  <c r="I19" i="9"/>
  <c r="H19" i="9"/>
  <c r="G19" i="9"/>
  <c r="F19" i="9"/>
  <c r="B19" i="9"/>
  <c r="C19" i="9" s="1"/>
  <c r="I18" i="9"/>
  <c r="H18" i="9"/>
  <c r="G18" i="9"/>
  <c r="F18" i="9"/>
  <c r="B18" i="9"/>
  <c r="C18" i="9" s="1"/>
  <c r="I17" i="9"/>
  <c r="H17" i="9"/>
  <c r="G17" i="9"/>
  <c r="F17" i="9"/>
  <c r="B17" i="9"/>
  <c r="C17" i="9" s="1"/>
  <c r="I16" i="9"/>
  <c r="H16" i="9"/>
  <c r="G16" i="9"/>
  <c r="F16" i="9"/>
  <c r="B16" i="9"/>
  <c r="C16" i="9" s="1"/>
  <c r="I15" i="9"/>
  <c r="H15" i="9"/>
  <c r="G15" i="9"/>
  <c r="F15" i="9"/>
  <c r="B15" i="9"/>
  <c r="I14" i="9"/>
  <c r="H14" i="9"/>
  <c r="G14" i="9"/>
  <c r="F14" i="9"/>
  <c r="I13" i="9"/>
  <c r="H13" i="9"/>
  <c r="G13" i="9"/>
  <c r="F13" i="9"/>
  <c r="I12" i="9"/>
  <c r="H12" i="9"/>
  <c r="G12" i="9"/>
  <c r="F12" i="9"/>
  <c r="I11" i="9"/>
  <c r="H11" i="9"/>
  <c r="G11" i="9"/>
  <c r="F11" i="9"/>
  <c r="C11" i="9"/>
  <c r="I10" i="9"/>
  <c r="H10" i="9"/>
  <c r="G10" i="9"/>
  <c r="F10" i="9"/>
  <c r="B10" i="9"/>
  <c r="C10" i="9" s="1"/>
  <c r="I9" i="9"/>
  <c r="H9" i="9"/>
  <c r="G9" i="9"/>
  <c r="F9" i="9"/>
  <c r="B9" i="9"/>
  <c r="C9" i="9" s="1"/>
  <c r="I8" i="9"/>
  <c r="H8" i="9"/>
  <c r="G8" i="9"/>
  <c r="F8" i="9"/>
  <c r="B8" i="9"/>
  <c r="C8" i="9" s="1"/>
  <c r="I7" i="9"/>
  <c r="H7" i="9"/>
  <c r="G7" i="9"/>
  <c r="F7" i="9"/>
  <c r="B7" i="9"/>
  <c r="C7" i="9" s="1"/>
  <c r="I6" i="9"/>
  <c r="H6" i="9"/>
  <c r="G6" i="9"/>
  <c r="F6" i="9"/>
  <c r="B6" i="9"/>
  <c r="C6" i="9" s="1"/>
  <c r="C83" i="8"/>
  <c r="B83" i="8"/>
  <c r="C82" i="8"/>
  <c r="B82" i="8"/>
  <c r="C81" i="8"/>
  <c r="B81" i="8"/>
  <c r="C80" i="8"/>
  <c r="B80" i="8"/>
  <c r="C79" i="8"/>
  <c r="B79" i="8"/>
  <c r="C78" i="8"/>
  <c r="B78" i="8"/>
  <c r="C77" i="8"/>
  <c r="B77" i="8"/>
  <c r="C76" i="8"/>
  <c r="B76" i="8"/>
  <c r="C75" i="8"/>
  <c r="B75" i="8"/>
  <c r="C74" i="8"/>
  <c r="B74" i="8"/>
  <c r="C73" i="8"/>
  <c r="B73" i="8"/>
  <c r="C72" i="8"/>
  <c r="B72" i="8"/>
  <c r="C71" i="8"/>
  <c r="B71" i="8"/>
  <c r="C70" i="8"/>
  <c r="B70" i="8"/>
  <c r="C69" i="8"/>
  <c r="B69" i="8"/>
  <c r="C68" i="8"/>
  <c r="B68" i="8"/>
  <c r="C67" i="8"/>
  <c r="B67" i="8"/>
  <c r="C66" i="8"/>
  <c r="B66" i="8"/>
  <c r="C65" i="8"/>
  <c r="B65" i="8"/>
  <c r="C64" i="8"/>
  <c r="B64" i="8"/>
  <c r="C63" i="8"/>
  <c r="B63" i="8"/>
  <c r="C62" i="8"/>
  <c r="B62" i="8"/>
  <c r="C61" i="8"/>
  <c r="B61" i="8"/>
  <c r="C60" i="8"/>
  <c r="B60" i="8"/>
  <c r="C59" i="8"/>
  <c r="B59" i="8"/>
  <c r="C58" i="8"/>
  <c r="B58" i="8"/>
  <c r="C57" i="8"/>
  <c r="B57" i="8"/>
  <c r="C56" i="8"/>
  <c r="B56" i="8"/>
  <c r="C55" i="8"/>
  <c r="B55" i="8"/>
  <c r="C54" i="8"/>
  <c r="B54" i="8"/>
  <c r="C53" i="8"/>
  <c r="B53" i="8"/>
  <c r="C52" i="8"/>
  <c r="B52" i="8"/>
  <c r="C51" i="8"/>
  <c r="B51" i="8"/>
  <c r="B46" i="8"/>
  <c r="C46" i="8" s="1"/>
  <c r="B45" i="8"/>
  <c r="C45" i="8" s="1"/>
  <c r="B44" i="8"/>
  <c r="C44" i="8" s="1"/>
  <c r="B43" i="8"/>
  <c r="C43" i="8" s="1"/>
  <c r="E38" i="8"/>
  <c r="D38" i="8"/>
  <c r="C38" i="8"/>
  <c r="B38" i="8"/>
  <c r="E37" i="8"/>
  <c r="D37" i="8"/>
  <c r="C37" i="8"/>
  <c r="B37" i="8"/>
  <c r="E36" i="8"/>
  <c r="D36" i="8"/>
  <c r="C36" i="8"/>
  <c r="B36" i="8"/>
  <c r="E35" i="8"/>
  <c r="D35" i="8"/>
  <c r="C35" i="8"/>
  <c r="B35" i="8"/>
  <c r="E34" i="8"/>
  <c r="D34" i="8"/>
  <c r="C34" i="8"/>
  <c r="B34" i="8"/>
  <c r="E33" i="8"/>
  <c r="D33" i="8"/>
  <c r="C33" i="8"/>
  <c r="B33" i="8"/>
  <c r="E32" i="8"/>
  <c r="D32" i="8"/>
  <c r="C32" i="8"/>
  <c r="B32" i="8"/>
  <c r="E31" i="8"/>
  <c r="D31" i="8"/>
  <c r="C31" i="8"/>
  <c r="B31" i="8"/>
  <c r="E30" i="8"/>
  <c r="D30" i="8"/>
  <c r="C30" i="8"/>
  <c r="B30" i="8"/>
  <c r="E29" i="8"/>
  <c r="D29" i="8"/>
  <c r="C29" i="8"/>
  <c r="B29" i="8"/>
  <c r="E28" i="8"/>
  <c r="D28" i="8"/>
  <c r="C28" i="8"/>
  <c r="B28" i="8"/>
  <c r="E27" i="8"/>
  <c r="D27" i="8"/>
  <c r="C27" i="8"/>
  <c r="B27" i="8"/>
  <c r="E26" i="8"/>
  <c r="D26" i="8"/>
  <c r="C26" i="8"/>
  <c r="B26" i="8"/>
  <c r="E25" i="8"/>
  <c r="D25" i="8"/>
  <c r="C25" i="8"/>
  <c r="B25" i="8"/>
  <c r="E24" i="8"/>
  <c r="D24" i="8"/>
  <c r="C24" i="8"/>
  <c r="B24" i="8"/>
  <c r="E23" i="8"/>
  <c r="D23" i="8"/>
  <c r="C23" i="8"/>
  <c r="B23" i="8"/>
  <c r="E22" i="8"/>
  <c r="D22" i="8"/>
  <c r="C22" i="8"/>
  <c r="B22" i="8"/>
  <c r="E21" i="8"/>
  <c r="D21" i="8"/>
  <c r="C21" i="8"/>
  <c r="B21" i="8"/>
  <c r="E20" i="8"/>
  <c r="D20" i="8"/>
  <c r="C20" i="8"/>
  <c r="B20" i="8"/>
  <c r="E19" i="8"/>
  <c r="D19" i="8"/>
  <c r="C19" i="8"/>
  <c r="B19" i="8"/>
  <c r="E18" i="8"/>
  <c r="D18" i="8"/>
  <c r="C18" i="8"/>
  <c r="B18" i="8"/>
  <c r="E17" i="8"/>
  <c r="D17" i="8"/>
  <c r="C17" i="8"/>
  <c r="B17" i="8"/>
  <c r="E16" i="8"/>
  <c r="D16" i="8"/>
  <c r="C16" i="8"/>
  <c r="B16" i="8"/>
  <c r="E15" i="8"/>
  <c r="D15" i="8"/>
  <c r="C15" i="8"/>
  <c r="B15" i="8"/>
  <c r="F14" i="8"/>
  <c r="D14" i="8"/>
  <c r="C14" i="8"/>
  <c r="B14" i="8"/>
  <c r="F13" i="8"/>
  <c r="D13" i="8"/>
  <c r="C13" i="8"/>
  <c r="B13" i="8"/>
  <c r="F12" i="8"/>
  <c r="D12" i="8"/>
  <c r="C12" i="8"/>
  <c r="B12" i="8"/>
  <c r="F11" i="8"/>
  <c r="D11" i="8"/>
  <c r="C11" i="8"/>
  <c r="B11" i="8"/>
  <c r="F10" i="8"/>
  <c r="D10" i="8"/>
  <c r="C10" i="8"/>
  <c r="B10" i="8"/>
  <c r="F9" i="8"/>
  <c r="D9" i="8"/>
  <c r="C9" i="8"/>
  <c r="B9" i="8"/>
  <c r="F8" i="8"/>
  <c r="D8" i="8"/>
  <c r="C8" i="8"/>
  <c r="B8" i="8"/>
  <c r="F7" i="8"/>
  <c r="D7" i="8"/>
  <c r="C7" i="8"/>
  <c r="B7" i="8"/>
  <c r="F6" i="8"/>
  <c r="D6" i="8"/>
  <c r="C6" i="8"/>
  <c r="B6" i="8"/>
  <c r="B89" i="7"/>
  <c r="C89" i="7" s="1"/>
  <c r="B88" i="7"/>
  <c r="C88" i="7" s="1"/>
  <c r="B87" i="7"/>
  <c r="C87" i="7" s="1"/>
  <c r="B86" i="7"/>
  <c r="C86" i="7" s="1"/>
  <c r="B85" i="7"/>
  <c r="C85" i="7" s="1"/>
  <c r="B84" i="7"/>
  <c r="C84" i="7" s="1"/>
  <c r="B83" i="7"/>
  <c r="C83" i="7" s="1"/>
  <c r="B82" i="7"/>
  <c r="C82" i="7" s="1"/>
  <c r="B81" i="7"/>
  <c r="C81" i="7" s="1"/>
  <c r="B80" i="7"/>
  <c r="C80" i="7" s="1"/>
  <c r="C75" i="7"/>
  <c r="B75" i="7"/>
  <c r="C74" i="7"/>
  <c r="B74" i="7"/>
  <c r="C73" i="7"/>
  <c r="B73" i="7"/>
  <c r="C72" i="7"/>
  <c r="B72" i="7"/>
  <c r="C71" i="7"/>
  <c r="B71" i="7"/>
  <c r="C70" i="7"/>
  <c r="B70" i="7"/>
  <c r="C69" i="7"/>
  <c r="B69" i="7"/>
  <c r="C68" i="7"/>
  <c r="B68" i="7"/>
  <c r="C67" i="7"/>
  <c r="B67" i="7"/>
  <c r="C66" i="7"/>
  <c r="B66" i="7"/>
  <c r="C65" i="7"/>
  <c r="B65" i="7"/>
  <c r="C64" i="7"/>
  <c r="B64" i="7"/>
  <c r="C63" i="7"/>
  <c r="B63" i="7"/>
  <c r="C62" i="7"/>
  <c r="B62" i="7"/>
  <c r="C61" i="7"/>
  <c r="B61" i="7"/>
  <c r="C60" i="7"/>
  <c r="B60" i="7"/>
  <c r="C59" i="7"/>
  <c r="B59" i="7"/>
  <c r="C58" i="7"/>
  <c r="B58" i="7"/>
  <c r="C57" i="7"/>
  <c r="B57" i="7"/>
  <c r="C56" i="7"/>
  <c r="B56" i="7"/>
  <c r="C55" i="7"/>
  <c r="B55" i="7"/>
  <c r="C54" i="7"/>
  <c r="B54" i="7"/>
  <c r="C53" i="7"/>
  <c r="B53" i="7"/>
  <c r="C52" i="7"/>
  <c r="B52" i="7"/>
  <c r="C51" i="7"/>
  <c r="B51" i="7"/>
  <c r="C50" i="7"/>
  <c r="B50" i="7"/>
  <c r="C49" i="7"/>
  <c r="B49" i="7"/>
  <c r="C48" i="7"/>
  <c r="B48" i="7"/>
  <c r="C47" i="7"/>
  <c r="B47" i="7"/>
  <c r="C46" i="7"/>
  <c r="B46" i="7"/>
  <c r="C45" i="7"/>
  <c r="B45" i="7"/>
  <c r="C44" i="7"/>
  <c r="B44" i="7"/>
  <c r="C43" i="7"/>
  <c r="B43" i="7"/>
  <c r="N38" i="7"/>
  <c r="M38" i="7"/>
  <c r="L38" i="7"/>
  <c r="K38" i="7"/>
  <c r="J38" i="7"/>
  <c r="I38" i="7"/>
  <c r="H38" i="7"/>
  <c r="G38" i="7"/>
  <c r="F38" i="7"/>
  <c r="N37" i="7"/>
  <c r="M37" i="7"/>
  <c r="L37" i="7"/>
  <c r="K37" i="7"/>
  <c r="J37" i="7"/>
  <c r="I37" i="7"/>
  <c r="H37" i="7"/>
  <c r="G37" i="7"/>
  <c r="F37" i="7"/>
  <c r="N36" i="7"/>
  <c r="M36" i="7"/>
  <c r="L36" i="7"/>
  <c r="K36" i="7"/>
  <c r="J36" i="7"/>
  <c r="I36" i="7"/>
  <c r="H36" i="7"/>
  <c r="G36" i="7"/>
  <c r="F36" i="7"/>
  <c r="N35" i="7"/>
  <c r="M35" i="7"/>
  <c r="L35" i="7"/>
  <c r="K35" i="7"/>
  <c r="J35" i="7"/>
  <c r="I35" i="7"/>
  <c r="H35" i="7"/>
  <c r="G35" i="7"/>
  <c r="F35" i="7"/>
  <c r="N34" i="7"/>
  <c r="M34" i="7"/>
  <c r="L34" i="7"/>
  <c r="K34" i="7"/>
  <c r="J34" i="7"/>
  <c r="I34" i="7"/>
  <c r="H34" i="7"/>
  <c r="G34" i="7"/>
  <c r="F34" i="7"/>
  <c r="N33" i="7"/>
  <c r="M33" i="7"/>
  <c r="L33" i="7"/>
  <c r="K33" i="7"/>
  <c r="J33" i="7"/>
  <c r="I33" i="7"/>
  <c r="H33" i="7"/>
  <c r="G33" i="7"/>
  <c r="F33" i="7"/>
  <c r="N32" i="7"/>
  <c r="M32" i="7"/>
  <c r="L32" i="7"/>
  <c r="K32" i="7"/>
  <c r="J32" i="7"/>
  <c r="I32" i="7"/>
  <c r="H32" i="7"/>
  <c r="G32" i="7"/>
  <c r="F32" i="7"/>
  <c r="N31" i="7"/>
  <c r="M31" i="7"/>
  <c r="L31" i="7"/>
  <c r="K31" i="7"/>
  <c r="J31" i="7"/>
  <c r="I31" i="7"/>
  <c r="H31" i="7"/>
  <c r="G31" i="7"/>
  <c r="F31" i="7"/>
  <c r="N30" i="7"/>
  <c r="M30" i="7"/>
  <c r="L30" i="7"/>
  <c r="K30" i="7"/>
  <c r="J30" i="7"/>
  <c r="I30" i="7"/>
  <c r="H30" i="7"/>
  <c r="G30" i="7"/>
  <c r="F30" i="7"/>
  <c r="N29" i="7"/>
  <c r="M29" i="7"/>
  <c r="L29" i="7"/>
  <c r="K29" i="7"/>
  <c r="J29" i="7"/>
  <c r="I29" i="7"/>
  <c r="H29" i="7"/>
  <c r="G29" i="7"/>
  <c r="F29" i="7"/>
  <c r="N28" i="7"/>
  <c r="M28" i="7"/>
  <c r="L28" i="7"/>
  <c r="K28" i="7"/>
  <c r="J28" i="7"/>
  <c r="I28" i="7"/>
  <c r="H28" i="7"/>
  <c r="G28" i="7"/>
  <c r="F28" i="7"/>
  <c r="N27" i="7"/>
  <c r="M27" i="7"/>
  <c r="L27" i="7"/>
  <c r="K27" i="7"/>
  <c r="J27" i="7"/>
  <c r="I27" i="7"/>
  <c r="H27" i="7"/>
  <c r="G27" i="7"/>
  <c r="F27" i="7"/>
  <c r="N26" i="7"/>
  <c r="M26" i="7"/>
  <c r="L26" i="7"/>
  <c r="K26" i="7"/>
  <c r="J26" i="7"/>
  <c r="I26" i="7"/>
  <c r="H26" i="7"/>
  <c r="G26" i="7"/>
  <c r="F26" i="7"/>
  <c r="N25" i="7"/>
  <c r="M25" i="7"/>
  <c r="L25" i="7"/>
  <c r="K25" i="7"/>
  <c r="J25" i="7"/>
  <c r="I25" i="7"/>
  <c r="H25" i="7"/>
  <c r="G25" i="7"/>
  <c r="F25" i="7"/>
  <c r="N24" i="7"/>
  <c r="M24" i="7"/>
  <c r="L24" i="7"/>
  <c r="K24" i="7"/>
  <c r="J24" i="7"/>
  <c r="I24" i="7"/>
  <c r="H24" i="7"/>
  <c r="G24" i="7"/>
  <c r="F24" i="7"/>
  <c r="N23" i="7"/>
  <c r="M23" i="7"/>
  <c r="L23" i="7"/>
  <c r="K23" i="7"/>
  <c r="J23" i="7"/>
  <c r="I23" i="7"/>
  <c r="H23" i="7"/>
  <c r="G23" i="7"/>
  <c r="F23" i="7"/>
  <c r="N22" i="7"/>
  <c r="M22" i="7"/>
  <c r="L22" i="7"/>
  <c r="K22" i="7"/>
  <c r="J22" i="7"/>
  <c r="I22" i="7"/>
  <c r="H22" i="7"/>
  <c r="G22" i="7"/>
  <c r="F22" i="7"/>
  <c r="N21" i="7"/>
  <c r="M21" i="7"/>
  <c r="L21" i="7"/>
  <c r="K21" i="7"/>
  <c r="J21" i="7"/>
  <c r="I21" i="7"/>
  <c r="H21" i="7"/>
  <c r="G21" i="7"/>
  <c r="F21" i="7"/>
  <c r="N20" i="7"/>
  <c r="M20" i="7"/>
  <c r="L20" i="7"/>
  <c r="K20" i="7"/>
  <c r="J20" i="7"/>
  <c r="I20" i="7"/>
  <c r="H20" i="7"/>
  <c r="G20" i="7"/>
  <c r="F20" i="7"/>
  <c r="N19" i="7"/>
  <c r="M19" i="7"/>
  <c r="L19" i="7"/>
  <c r="K19" i="7"/>
  <c r="J19" i="7"/>
  <c r="I19" i="7"/>
  <c r="H19" i="7"/>
  <c r="G19" i="7"/>
  <c r="F19" i="7"/>
  <c r="N18" i="7"/>
  <c r="M18" i="7"/>
  <c r="L18" i="7"/>
  <c r="K18" i="7"/>
  <c r="J18" i="7"/>
  <c r="I18" i="7"/>
  <c r="H18" i="7"/>
  <c r="G18" i="7"/>
  <c r="F18" i="7"/>
  <c r="N17" i="7"/>
  <c r="M17" i="7"/>
  <c r="L17" i="7"/>
  <c r="K17" i="7"/>
  <c r="J17" i="7"/>
  <c r="I17" i="7"/>
  <c r="H17" i="7"/>
  <c r="G17" i="7"/>
  <c r="F17" i="7"/>
  <c r="N16" i="7"/>
  <c r="M16" i="7"/>
  <c r="L16" i="7"/>
  <c r="K16" i="7"/>
  <c r="J16" i="7"/>
  <c r="I16" i="7"/>
  <c r="H16" i="7"/>
  <c r="G16" i="7"/>
  <c r="F16" i="7"/>
  <c r="N15" i="7"/>
  <c r="M15" i="7"/>
  <c r="L15" i="7"/>
  <c r="K15" i="7"/>
  <c r="J15" i="7"/>
  <c r="I15" i="7"/>
  <c r="H15" i="7"/>
  <c r="G15" i="7"/>
  <c r="F15" i="7"/>
  <c r="N14" i="7"/>
  <c r="M14" i="7"/>
  <c r="L14" i="7"/>
  <c r="K14" i="7"/>
  <c r="J14" i="7"/>
  <c r="I14" i="7"/>
  <c r="H14" i="7"/>
  <c r="G14" i="7"/>
  <c r="F14" i="7"/>
  <c r="N13" i="7"/>
  <c r="M13" i="7"/>
  <c r="L13" i="7"/>
  <c r="K13" i="7"/>
  <c r="J13" i="7"/>
  <c r="I13" i="7"/>
  <c r="H13" i="7"/>
  <c r="G13" i="7"/>
  <c r="F13" i="7"/>
  <c r="N12" i="7"/>
  <c r="M12" i="7"/>
  <c r="L12" i="7"/>
  <c r="K12" i="7"/>
  <c r="J12" i="7"/>
  <c r="I12" i="7"/>
  <c r="H12" i="7"/>
  <c r="G12" i="7"/>
  <c r="F12" i="7"/>
  <c r="N11" i="7"/>
  <c r="M11" i="7"/>
  <c r="L11" i="7"/>
  <c r="K11" i="7"/>
  <c r="J11" i="7"/>
  <c r="I11" i="7"/>
  <c r="H11" i="7"/>
  <c r="G11" i="7"/>
  <c r="F11" i="7"/>
  <c r="N10" i="7"/>
  <c r="M10" i="7"/>
  <c r="L10" i="7"/>
  <c r="K10" i="7"/>
  <c r="J10" i="7"/>
  <c r="I10" i="7"/>
  <c r="H10" i="7"/>
  <c r="G10" i="7"/>
  <c r="F10" i="7"/>
  <c r="N9" i="7"/>
  <c r="M9" i="7"/>
  <c r="L9" i="7"/>
  <c r="K9" i="7"/>
  <c r="J9" i="7"/>
  <c r="I9" i="7"/>
  <c r="H9" i="7"/>
  <c r="G9" i="7"/>
  <c r="F9" i="7"/>
  <c r="N8" i="7"/>
  <c r="M8" i="7"/>
  <c r="L8" i="7"/>
  <c r="K8" i="7"/>
  <c r="J8" i="7"/>
  <c r="I8" i="7"/>
  <c r="H8" i="7"/>
  <c r="G8" i="7"/>
  <c r="F8" i="7"/>
  <c r="N7" i="7"/>
  <c r="M7" i="7"/>
  <c r="L7" i="7"/>
  <c r="K7" i="7"/>
  <c r="J7" i="7"/>
  <c r="I7" i="7"/>
  <c r="H7" i="7"/>
  <c r="G7" i="7"/>
  <c r="F7" i="7"/>
  <c r="N6" i="7"/>
  <c r="M6" i="7"/>
  <c r="L6" i="7"/>
  <c r="K6" i="7"/>
  <c r="J6" i="7"/>
  <c r="I6" i="7"/>
  <c r="H6" i="7"/>
  <c r="G6" i="7"/>
  <c r="F6" i="7"/>
  <c r="B51" i="6"/>
  <c r="B50"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F14" i="6"/>
  <c r="C14" i="6"/>
  <c r="B14" i="6"/>
  <c r="F13" i="6"/>
  <c r="C13" i="6"/>
  <c r="B13" i="6"/>
  <c r="F12" i="6"/>
  <c r="F11" i="6"/>
  <c r="F10" i="6"/>
  <c r="F9" i="6"/>
  <c r="B9" i="6"/>
  <c r="C9" i="6" s="1"/>
  <c r="F8" i="6"/>
  <c r="B8" i="6"/>
  <c r="C8" i="6" s="1"/>
  <c r="F7" i="6"/>
  <c r="B7" i="6"/>
  <c r="C7" i="6" s="1"/>
  <c r="F6" i="6"/>
  <c r="B6" i="6"/>
  <c r="C6" i="6" s="1"/>
  <c r="K48" i="5"/>
  <c r="J48" i="5"/>
  <c r="I48" i="5"/>
  <c r="H48" i="5"/>
  <c r="G48" i="5"/>
  <c r="F48" i="5"/>
  <c r="E48" i="5"/>
  <c r="D48" i="5"/>
  <c r="C48" i="5"/>
  <c r="B48" i="5"/>
  <c r="K47" i="5"/>
  <c r="J47" i="5"/>
  <c r="I47" i="5"/>
  <c r="H47" i="5"/>
  <c r="G47" i="5"/>
  <c r="F47" i="5"/>
  <c r="E47" i="5"/>
  <c r="D47" i="5"/>
  <c r="C47" i="5"/>
  <c r="B47" i="5"/>
  <c r="K46" i="5"/>
  <c r="J46" i="5"/>
  <c r="I46" i="5"/>
  <c r="H46" i="5"/>
  <c r="G46" i="5"/>
  <c r="F46" i="5"/>
  <c r="E46" i="5"/>
  <c r="D46" i="5"/>
  <c r="C46" i="5"/>
  <c r="B46" i="5"/>
  <c r="K45" i="5"/>
  <c r="J45" i="5"/>
  <c r="I45" i="5"/>
  <c r="H45" i="5"/>
  <c r="G45" i="5"/>
  <c r="F45" i="5"/>
  <c r="E45" i="5"/>
  <c r="D45" i="5"/>
  <c r="C45" i="5"/>
  <c r="B45" i="5"/>
  <c r="K44" i="5"/>
  <c r="J44" i="5"/>
  <c r="I44" i="5"/>
  <c r="H44" i="5"/>
  <c r="G44" i="5"/>
  <c r="F44" i="5"/>
  <c r="E44" i="5"/>
  <c r="D44" i="5"/>
  <c r="C44" i="5"/>
  <c r="B44" i="5"/>
  <c r="K43" i="5"/>
  <c r="J43" i="5"/>
  <c r="I43" i="5"/>
  <c r="H43" i="5"/>
  <c r="G43" i="5"/>
  <c r="F43" i="5"/>
  <c r="E43" i="5"/>
  <c r="D43" i="5"/>
  <c r="C43" i="5"/>
  <c r="B43" i="5"/>
  <c r="K42" i="5"/>
  <c r="J42" i="5"/>
  <c r="I42" i="5"/>
  <c r="H42" i="5"/>
  <c r="G42" i="5"/>
  <c r="F42" i="5"/>
  <c r="E42" i="5"/>
  <c r="D42" i="5"/>
  <c r="C42" i="5"/>
  <c r="B42" i="5"/>
  <c r="K41" i="5"/>
  <c r="J41" i="5"/>
  <c r="I41" i="5"/>
  <c r="H41" i="5"/>
  <c r="G41" i="5"/>
  <c r="F41" i="5"/>
  <c r="E41" i="5"/>
  <c r="D41" i="5"/>
  <c r="C41" i="5"/>
  <c r="B41" i="5"/>
  <c r="K40" i="5"/>
  <c r="J40" i="5"/>
  <c r="I40" i="5"/>
  <c r="H40" i="5"/>
  <c r="G40" i="5"/>
  <c r="F40" i="5"/>
  <c r="E40" i="5"/>
  <c r="D40" i="5"/>
  <c r="C40" i="5"/>
  <c r="B40" i="5"/>
  <c r="K39" i="5"/>
  <c r="J39" i="5"/>
  <c r="I39" i="5"/>
  <c r="H39" i="5"/>
  <c r="G39" i="5"/>
  <c r="F39" i="5"/>
  <c r="E39" i="5"/>
  <c r="D39" i="5"/>
  <c r="C39" i="5"/>
  <c r="B39" i="5"/>
  <c r="K38" i="5"/>
  <c r="J38" i="5"/>
  <c r="I38" i="5"/>
  <c r="H38" i="5"/>
  <c r="G38" i="5"/>
  <c r="F38" i="5"/>
  <c r="E38" i="5"/>
  <c r="D38" i="5"/>
  <c r="C38" i="5"/>
  <c r="B38" i="5"/>
  <c r="K37" i="5"/>
  <c r="J37" i="5"/>
  <c r="I37" i="5"/>
  <c r="H37" i="5"/>
  <c r="G37" i="5"/>
  <c r="F37" i="5"/>
  <c r="E37" i="5"/>
  <c r="D37" i="5"/>
  <c r="C37" i="5"/>
  <c r="B37" i="5"/>
  <c r="K36" i="5"/>
  <c r="J36" i="5"/>
  <c r="I36" i="5"/>
  <c r="H36" i="5"/>
  <c r="G36" i="5"/>
  <c r="F36" i="5"/>
  <c r="E36" i="5"/>
  <c r="D36" i="5"/>
  <c r="C36" i="5"/>
  <c r="B36" i="5"/>
  <c r="K35" i="5"/>
  <c r="J35" i="5"/>
  <c r="I35" i="5"/>
  <c r="H35" i="5"/>
  <c r="G35" i="5"/>
  <c r="F35" i="5"/>
  <c r="E35" i="5"/>
  <c r="D35" i="5"/>
  <c r="C35" i="5"/>
  <c r="B35" i="5"/>
  <c r="K34" i="5"/>
  <c r="J34" i="5"/>
  <c r="I34" i="5"/>
  <c r="H34" i="5"/>
  <c r="G34" i="5"/>
  <c r="F34" i="5"/>
  <c r="E34" i="5"/>
  <c r="D34" i="5"/>
  <c r="C34" i="5"/>
  <c r="B34" i="5"/>
  <c r="K33" i="5"/>
  <c r="J33" i="5"/>
  <c r="I33" i="5"/>
  <c r="H33" i="5"/>
  <c r="G33" i="5"/>
  <c r="F33" i="5"/>
  <c r="E33" i="5"/>
  <c r="D33" i="5"/>
  <c r="C33" i="5"/>
  <c r="B33" i="5"/>
  <c r="K32" i="5"/>
  <c r="J32" i="5"/>
  <c r="I32" i="5"/>
  <c r="H32" i="5"/>
  <c r="G32" i="5"/>
  <c r="F32" i="5"/>
  <c r="E32" i="5"/>
  <c r="D32" i="5"/>
  <c r="C32" i="5"/>
  <c r="B32" i="5"/>
  <c r="K31" i="5"/>
  <c r="J31" i="5"/>
  <c r="I31" i="5"/>
  <c r="H31" i="5"/>
  <c r="G31" i="5"/>
  <c r="F31" i="5"/>
  <c r="E31" i="5"/>
  <c r="D31" i="5"/>
  <c r="C31" i="5"/>
  <c r="B31" i="5"/>
  <c r="K30" i="5"/>
  <c r="J30" i="5"/>
  <c r="I30" i="5"/>
  <c r="H30" i="5"/>
  <c r="G30" i="5"/>
  <c r="F30" i="5"/>
  <c r="E30" i="5"/>
  <c r="D30" i="5"/>
  <c r="C30" i="5"/>
  <c r="B30" i="5"/>
  <c r="K29" i="5"/>
  <c r="J29" i="5"/>
  <c r="I29" i="5"/>
  <c r="H29" i="5"/>
  <c r="G29" i="5"/>
  <c r="F29" i="5"/>
  <c r="E29" i="5"/>
  <c r="D29" i="5"/>
  <c r="C29" i="5"/>
  <c r="B29" i="5"/>
  <c r="K28" i="5"/>
  <c r="J28" i="5"/>
  <c r="I28" i="5"/>
  <c r="H28" i="5"/>
  <c r="G28" i="5"/>
  <c r="F28" i="5"/>
  <c r="E28" i="5"/>
  <c r="D28" i="5"/>
  <c r="C28" i="5"/>
  <c r="B28" i="5"/>
  <c r="K27" i="5"/>
  <c r="J27" i="5"/>
  <c r="I27" i="5"/>
  <c r="H27" i="5"/>
  <c r="G27" i="5"/>
  <c r="F27" i="5"/>
  <c r="E27" i="5"/>
  <c r="D27" i="5"/>
  <c r="C27" i="5"/>
  <c r="B27" i="5"/>
  <c r="K26" i="5"/>
  <c r="J26" i="5"/>
  <c r="I26" i="5"/>
  <c r="H26" i="5"/>
  <c r="G26" i="5"/>
  <c r="F26" i="5"/>
  <c r="E26" i="5"/>
  <c r="D26" i="5"/>
  <c r="C26" i="5"/>
  <c r="B26" i="5"/>
  <c r="K25" i="5"/>
  <c r="J25" i="5"/>
  <c r="I25" i="5"/>
  <c r="H25" i="5"/>
  <c r="G25" i="5"/>
  <c r="F25" i="5"/>
  <c r="E25" i="5"/>
  <c r="D25" i="5"/>
  <c r="C25" i="5"/>
  <c r="B25" i="5"/>
  <c r="K24" i="5"/>
  <c r="J24" i="5"/>
  <c r="I24" i="5"/>
  <c r="H24" i="5"/>
  <c r="G24" i="5"/>
  <c r="F24" i="5"/>
  <c r="E24" i="5"/>
  <c r="D24" i="5"/>
  <c r="C24" i="5"/>
  <c r="B24" i="5"/>
  <c r="K23" i="5"/>
  <c r="J23" i="5"/>
  <c r="I23" i="5"/>
  <c r="H23" i="5"/>
  <c r="G23" i="5"/>
  <c r="F23" i="5"/>
  <c r="E23" i="5"/>
  <c r="D23" i="5"/>
  <c r="C23" i="5"/>
  <c r="B23" i="5"/>
  <c r="K22" i="5"/>
  <c r="J22" i="5"/>
  <c r="I22" i="5"/>
  <c r="H22" i="5"/>
  <c r="G22" i="5"/>
  <c r="F22" i="5"/>
  <c r="E22" i="5"/>
  <c r="D22" i="5"/>
  <c r="C22" i="5"/>
  <c r="B22" i="5"/>
  <c r="K21" i="5"/>
  <c r="J21" i="5"/>
  <c r="I21" i="5"/>
  <c r="H21" i="5"/>
  <c r="G21" i="5"/>
  <c r="F21" i="5"/>
  <c r="E21" i="5"/>
  <c r="D21" i="5"/>
  <c r="C21" i="5"/>
  <c r="B21" i="5"/>
  <c r="K20" i="5"/>
  <c r="J20" i="5"/>
  <c r="I20" i="5"/>
  <c r="H20" i="5"/>
  <c r="G20" i="5"/>
  <c r="F20" i="5"/>
  <c r="E20" i="5"/>
  <c r="D20" i="5"/>
  <c r="C20" i="5"/>
  <c r="B20" i="5"/>
  <c r="K19" i="5"/>
  <c r="J19" i="5"/>
  <c r="I19" i="5"/>
  <c r="H19" i="5"/>
  <c r="G19" i="5"/>
  <c r="F19" i="5"/>
  <c r="E19" i="5"/>
  <c r="D19" i="5"/>
  <c r="C19" i="5"/>
  <c r="B19" i="5"/>
  <c r="K18" i="5"/>
  <c r="J18" i="5"/>
  <c r="I18" i="5"/>
  <c r="H18" i="5"/>
  <c r="G18" i="5"/>
  <c r="F18" i="5"/>
  <c r="E18" i="5"/>
  <c r="D18" i="5"/>
  <c r="C18" i="5"/>
  <c r="B18" i="5"/>
  <c r="K17" i="5"/>
  <c r="J17" i="5"/>
  <c r="I17" i="5"/>
  <c r="H17" i="5"/>
  <c r="G17" i="5"/>
  <c r="F17" i="5"/>
  <c r="E17" i="5"/>
  <c r="D17" i="5"/>
  <c r="C17" i="5"/>
  <c r="B17" i="5"/>
  <c r="K16" i="5"/>
  <c r="J16" i="5"/>
  <c r="I16" i="5"/>
  <c r="H16" i="5"/>
  <c r="G16" i="5"/>
  <c r="F16" i="5"/>
  <c r="E16" i="5"/>
  <c r="D16" i="5"/>
  <c r="C16" i="5"/>
  <c r="B16" i="5"/>
  <c r="B13" i="5"/>
  <c r="C13" i="5" s="1"/>
  <c r="B12" i="5"/>
  <c r="C12" i="5" s="1"/>
  <c r="G11" i="5"/>
  <c r="F11" i="5"/>
  <c r="B11" i="5"/>
  <c r="C11" i="5" s="1"/>
  <c r="G10" i="5"/>
  <c r="F10" i="5"/>
  <c r="B10" i="5"/>
  <c r="C10" i="5" s="1"/>
  <c r="G9" i="5"/>
  <c r="F9" i="5"/>
  <c r="B9" i="5"/>
  <c r="C9" i="5" s="1"/>
  <c r="G8" i="5"/>
  <c r="F8" i="5"/>
  <c r="B8" i="5"/>
  <c r="C8" i="5" s="1"/>
  <c r="G7" i="5"/>
  <c r="F7" i="5"/>
  <c r="B7" i="5"/>
  <c r="C7" i="5" s="1"/>
  <c r="G6" i="5"/>
  <c r="F6" i="5"/>
  <c r="B6" i="5"/>
  <c r="C6" i="5" s="1"/>
  <c r="F19" i="4"/>
  <c r="C19" i="4"/>
  <c r="B19" i="4"/>
  <c r="F18" i="4"/>
  <c r="C18" i="4"/>
  <c r="B18" i="4"/>
  <c r="F17" i="4"/>
  <c r="C17" i="4"/>
  <c r="B17" i="4"/>
  <c r="F16" i="4"/>
  <c r="C16" i="4"/>
  <c r="B16" i="4"/>
  <c r="F15" i="4"/>
  <c r="C15" i="4"/>
  <c r="B15" i="4"/>
  <c r="F14" i="4"/>
  <c r="C14" i="4"/>
  <c r="B14" i="4"/>
  <c r="F13" i="4"/>
  <c r="C13" i="4"/>
  <c r="B13" i="4"/>
  <c r="F12" i="4"/>
  <c r="C12" i="4"/>
  <c r="B12" i="4"/>
  <c r="F11" i="4"/>
  <c r="C11" i="4"/>
  <c r="B11" i="4"/>
  <c r="F10" i="4"/>
  <c r="C10" i="4"/>
  <c r="B10" i="4"/>
  <c r="F6" i="4"/>
  <c r="E6" i="4"/>
  <c r="D6" i="4"/>
  <c r="C6" i="4"/>
  <c r="B6" i="4"/>
  <c r="A6" i="4"/>
  <c r="H2998" i="3"/>
  <c r="G2998" i="3"/>
  <c r="F2998" i="3"/>
  <c r="E2998" i="3"/>
  <c r="D2998" i="3"/>
  <c r="C2998" i="3"/>
  <c r="B2998" i="3"/>
  <c r="A2998" i="3"/>
  <c r="H2997" i="3"/>
  <c r="G2997" i="3"/>
  <c r="F2997" i="3"/>
  <c r="E2997" i="3"/>
  <c r="D2997" i="3"/>
  <c r="C2997" i="3"/>
  <c r="B2997" i="3"/>
  <c r="A2997" i="3"/>
  <c r="H2996" i="3"/>
  <c r="G2996" i="3"/>
  <c r="F2996" i="3"/>
  <c r="E2996" i="3"/>
  <c r="D2996" i="3"/>
  <c r="C2996" i="3"/>
  <c r="B2996" i="3"/>
  <c r="A2996" i="3"/>
  <c r="H2995" i="3"/>
  <c r="G2995" i="3"/>
  <c r="F2995" i="3"/>
  <c r="E2995" i="3"/>
  <c r="D2995" i="3"/>
  <c r="C2995" i="3"/>
  <c r="B2995" i="3"/>
  <c r="A2995" i="3"/>
  <c r="H2994" i="3"/>
  <c r="G2994" i="3"/>
  <c r="F2994" i="3"/>
  <c r="E2994" i="3"/>
  <c r="D2994" i="3"/>
  <c r="C2994" i="3"/>
  <c r="B2994" i="3"/>
  <c r="A2994" i="3"/>
  <c r="H2993" i="3"/>
  <c r="G2993" i="3"/>
  <c r="F2993" i="3"/>
  <c r="E2993" i="3"/>
  <c r="D2993" i="3"/>
  <c r="C2993" i="3"/>
  <c r="B2993" i="3"/>
  <c r="A2993" i="3"/>
  <c r="H2992" i="3"/>
  <c r="G2992" i="3"/>
  <c r="F2992" i="3"/>
  <c r="E2992" i="3"/>
  <c r="D2992" i="3"/>
  <c r="C2992" i="3"/>
  <c r="B2992" i="3"/>
  <c r="A2992" i="3"/>
  <c r="H2991" i="3"/>
  <c r="G2991" i="3"/>
  <c r="F2991" i="3"/>
  <c r="E2991" i="3"/>
  <c r="D2991" i="3"/>
  <c r="C2991" i="3"/>
  <c r="B2991" i="3"/>
  <c r="A2991" i="3"/>
  <c r="H2990" i="3"/>
  <c r="G2990" i="3"/>
  <c r="F2990" i="3"/>
  <c r="E2990" i="3"/>
  <c r="D2990" i="3"/>
  <c r="C2990" i="3"/>
  <c r="B2990" i="3"/>
  <c r="A2990" i="3"/>
  <c r="H2989" i="3"/>
  <c r="G2989" i="3"/>
  <c r="F2989" i="3"/>
  <c r="E2989" i="3"/>
  <c r="D2989" i="3"/>
  <c r="C2989" i="3"/>
  <c r="B2989" i="3"/>
  <c r="A2989" i="3"/>
  <c r="H2988" i="3"/>
  <c r="G2988" i="3"/>
  <c r="F2988" i="3"/>
  <c r="E2988" i="3"/>
  <c r="D2988" i="3"/>
  <c r="C2988" i="3"/>
  <c r="B2988" i="3"/>
  <c r="A2988" i="3"/>
  <c r="H2987" i="3"/>
  <c r="G2987" i="3"/>
  <c r="F2987" i="3"/>
  <c r="E2987" i="3"/>
  <c r="D2987" i="3"/>
  <c r="C2987" i="3"/>
  <c r="B2987" i="3"/>
  <c r="A2987" i="3"/>
  <c r="H2986" i="3"/>
  <c r="G2986" i="3"/>
  <c r="F2986" i="3"/>
  <c r="E2986" i="3"/>
  <c r="D2986" i="3"/>
  <c r="C2986" i="3"/>
  <c r="B2986" i="3"/>
  <c r="A2986" i="3"/>
  <c r="H2985" i="3"/>
  <c r="G2985" i="3"/>
  <c r="F2985" i="3"/>
  <c r="E2985" i="3"/>
  <c r="D2985" i="3"/>
  <c r="C2985" i="3"/>
  <c r="B2985" i="3"/>
  <c r="A2985" i="3"/>
  <c r="H2984" i="3"/>
  <c r="G2984" i="3"/>
  <c r="F2984" i="3"/>
  <c r="E2984" i="3"/>
  <c r="D2984" i="3"/>
  <c r="C2984" i="3"/>
  <c r="B2984" i="3"/>
  <c r="A2984" i="3"/>
  <c r="H2983" i="3"/>
  <c r="G2983" i="3"/>
  <c r="F2983" i="3"/>
  <c r="E2983" i="3"/>
  <c r="D2983" i="3"/>
  <c r="C2983" i="3"/>
  <c r="B2983" i="3"/>
  <c r="A2983" i="3"/>
  <c r="H2982" i="3"/>
  <c r="G2982" i="3"/>
  <c r="F2982" i="3"/>
  <c r="E2982" i="3"/>
  <c r="D2982" i="3"/>
  <c r="C2982" i="3"/>
  <c r="B2982" i="3"/>
  <c r="A2982" i="3"/>
  <c r="H2981" i="3"/>
  <c r="G2981" i="3"/>
  <c r="F2981" i="3"/>
  <c r="E2981" i="3"/>
  <c r="D2981" i="3"/>
  <c r="C2981" i="3"/>
  <c r="B2981" i="3"/>
  <c r="A2981" i="3"/>
  <c r="H2980" i="3"/>
  <c r="G2980" i="3"/>
  <c r="F2980" i="3"/>
  <c r="E2980" i="3"/>
  <c r="D2980" i="3"/>
  <c r="C2980" i="3"/>
  <c r="B2980" i="3"/>
  <c r="A2980" i="3"/>
  <c r="H2979" i="3"/>
  <c r="G2979" i="3"/>
  <c r="F2979" i="3"/>
  <c r="E2979" i="3"/>
  <c r="D2979" i="3"/>
  <c r="C2979" i="3"/>
  <c r="B2979" i="3"/>
  <c r="A2979" i="3"/>
  <c r="H2978" i="3"/>
  <c r="G2978" i="3"/>
  <c r="F2978" i="3"/>
  <c r="E2978" i="3"/>
  <c r="D2978" i="3"/>
  <c r="C2978" i="3"/>
  <c r="B2978" i="3"/>
  <c r="A2978" i="3"/>
  <c r="H2977" i="3"/>
  <c r="G2977" i="3"/>
  <c r="F2977" i="3"/>
  <c r="E2977" i="3"/>
  <c r="D2977" i="3"/>
  <c r="C2977" i="3"/>
  <c r="B2977" i="3"/>
  <c r="A2977" i="3"/>
  <c r="H2976" i="3"/>
  <c r="G2976" i="3"/>
  <c r="F2976" i="3"/>
  <c r="E2976" i="3"/>
  <c r="D2976" i="3"/>
  <c r="C2976" i="3"/>
  <c r="B2976" i="3"/>
  <c r="A2976" i="3"/>
  <c r="H2975" i="3"/>
  <c r="G2975" i="3"/>
  <c r="F2975" i="3"/>
  <c r="E2975" i="3"/>
  <c r="D2975" i="3"/>
  <c r="C2975" i="3"/>
  <c r="B2975" i="3"/>
  <c r="A2975" i="3"/>
  <c r="H2974" i="3"/>
  <c r="G2974" i="3"/>
  <c r="F2974" i="3"/>
  <c r="E2974" i="3"/>
  <c r="D2974" i="3"/>
  <c r="C2974" i="3"/>
  <c r="B2974" i="3"/>
  <c r="A2974" i="3"/>
  <c r="H2973" i="3"/>
  <c r="G2973" i="3"/>
  <c r="F2973" i="3"/>
  <c r="E2973" i="3"/>
  <c r="D2973" i="3"/>
  <c r="C2973" i="3"/>
  <c r="B2973" i="3"/>
  <c r="A2973" i="3"/>
  <c r="H2972" i="3"/>
  <c r="G2972" i="3"/>
  <c r="F2972" i="3"/>
  <c r="E2972" i="3"/>
  <c r="D2972" i="3"/>
  <c r="C2972" i="3"/>
  <c r="B2972" i="3"/>
  <c r="A2972" i="3"/>
  <c r="H2971" i="3"/>
  <c r="G2971" i="3"/>
  <c r="F2971" i="3"/>
  <c r="E2971" i="3"/>
  <c r="D2971" i="3"/>
  <c r="C2971" i="3"/>
  <c r="B2971" i="3"/>
  <c r="A2971" i="3"/>
  <c r="H2970" i="3"/>
  <c r="G2970" i="3"/>
  <c r="F2970" i="3"/>
  <c r="E2970" i="3"/>
  <c r="D2970" i="3"/>
  <c r="C2970" i="3"/>
  <c r="B2970" i="3"/>
  <c r="A2970" i="3"/>
  <c r="H2969" i="3"/>
  <c r="G2969" i="3"/>
  <c r="F2969" i="3"/>
  <c r="E2969" i="3"/>
  <c r="D2969" i="3"/>
  <c r="C2969" i="3"/>
  <c r="B2969" i="3"/>
  <c r="A2969" i="3"/>
  <c r="H2968" i="3"/>
  <c r="G2968" i="3"/>
  <c r="F2968" i="3"/>
  <c r="E2968" i="3"/>
  <c r="D2968" i="3"/>
  <c r="C2968" i="3"/>
  <c r="B2968" i="3"/>
  <c r="A2968" i="3"/>
  <c r="H2967" i="3"/>
  <c r="G2967" i="3"/>
  <c r="F2967" i="3"/>
  <c r="E2967" i="3"/>
  <c r="D2967" i="3"/>
  <c r="C2967" i="3"/>
  <c r="B2967" i="3"/>
  <c r="A2967" i="3"/>
  <c r="H2966" i="3"/>
  <c r="G2966" i="3"/>
  <c r="F2966" i="3"/>
  <c r="E2966" i="3"/>
  <c r="D2966" i="3"/>
  <c r="C2966" i="3"/>
  <c r="B2966" i="3"/>
  <c r="A2966" i="3"/>
  <c r="H2965" i="3"/>
  <c r="G2965" i="3"/>
  <c r="F2965" i="3"/>
  <c r="E2965" i="3"/>
  <c r="D2965" i="3"/>
  <c r="C2965" i="3"/>
  <c r="B2965" i="3"/>
  <c r="A2965" i="3"/>
  <c r="H2964" i="3"/>
  <c r="G2964" i="3"/>
  <c r="F2964" i="3"/>
  <c r="E2964" i="3"/>
  <c r="D2964" i="3"/>
  <c r="C2964" i="3"/>
  <c r="B2964" i="3"/>
  <c r="A2964" i="3"/>
  <c r="H2963" i="3"/>
  <c r="G2963" i="3"/>
  <c r="F2963" i="3"/>
  <c r="E2963" i="3"/>
  <c r="D2963" i="3"/>
  <c r="C2963" i="3"/>
  <c r="B2963" i="3"/>
  <c r="A2963" i="3"/>
  <c r="H2962" i="3"/>
  <c r="G2962" i="3"/>
  <c r="F2962" i="3"/>
  <c r="E2962" i="3"/>
  <c r="D2962" i="3"/>
  <c r="C2962" i="3"/>
  <c r="B2962" i="3"/>
  <c r="A2962" i="3"/>
  <c r="H2961" i="3"/>
  <c r="G2961" i="3"/>
  <c r="F2961" i="3"/>
  <c r="E2961" i="3"/>
  <c r="D2961" i="3"/>
  <c r="C2961" i="3"/>
  <c r="B2961" i="3"/>
  <c r="A2961" i="3"/>
  <c r="H2960" i="3"/>
  <c r="G2960" i="3"/>
  <c r="F2960" i="3"/>
  <c r="E2960" i="3"/>
  <c r="D2960" i="3"/>
  <c r="C2960" i="3"/>
  <c r="B2960" i="3"/>
  <c r="A2960" i="3"/>
  <c r="H2959" i="3"/>
  <c r="G2959" i="3"/>
  <c r="F2959" i="3"/>
  <c r="E2959" i="3"/>
  <c r="D2959" i="3"/>
  <c r="C2959" i="3"/>
  <c r="B2959" i="3"/>
  <c r="A2959" i="3"/>
  <c r="H2958" i="3"/>
  <c r="G2958" i="3"/>
  <c r="F2958" i="3"/>
  <c r="E2958" i="3"/>
  <c r="D2958" i="3"/>
  <c r="C2958" i="3"/>
  <c r="B2958" i="3"/>
  <c r="A2958" i="3"/>
  <c r="H2957" i="3"/>
  <c r="G2957" i="3"/>
  <c r="F2957" i="3"/>
  <c r="E2957" i="3"/>
  <c r="D2957" i="3"/>
  <c r="C2957" i="3"/>
  <c r="B2957" i="3"/>
  <c r="A2957" i="3"/>
  <c r="H2956" i="3"/>
  <c r="G2956" i="3"/>
  <c r="F2956" i="3"/>
  <c r="E2956" i="3"/>
  <c r="D2956" i="3"/>
  <c r="C2956" i="3"/>
  <c r="B2956" i="3"/>
  <c r="A2956" i="3"/>
  <c r="H2955" i="3"/>
  <c r="G2955" i="3"/>
  <c r="F2955" i="3"/>
  <c r="E2955" i="3"/>
  <c r="D2955" i="3"/>
  <c r="C2955" i="3"/>
  <c r="B2955" i="3"/>
  <c r="A2955" i="3"/>
  <c r="H2954" i="3"/>
  <c r="G2954" i="3"/>
  <c r="F2954" i="3"/>
  <c r="E2954" i="3"/>
  <c r="D2954" i="3"/>
  <c r="C2954" i="3"/>
  <c r="B2954" i="3"/>
  <c r="A2954" i="3"/>
  <c r="H2953" i="3"/>
  <c r="G2953" i="3"/>
  <c r="F2953" i="3"/>
  <c r="E2953" i="3"/>
  <c r="D2953" i="3"/>
  <c r="C2953" i="3"/>
  <c r="B2953" i="3"/>
  <c r="A2953" i="3"/>
  <c r="H2952" i="3"/>
  <c r="G2952" i="3"/>
  <c r="F2952" i="3"/>
  <c r="E2952" i="3"/>
  <c r="D2952" i="3"/>
  <c r="C2952" i="3"/>
  <c r="B2952" i="3"/>
  <c r="A2952" i="3"/>
  <c r="H2951" i="3"/>
  <c r="G2951" i="3"/>
  <c r="F2951" i="3"/>
  <c r="E2951" i="3"/>
  <c r="D2951" i="3"/>
  <c r="C2951" i="3"/>
  <c r="B2951" i="3"/>
  <c r="A2951" i="3"/>
  <c r="H2950" i="3"/>
  <c r="G2950" i="3"/>
  <c r="F2950" i="3"/>
  <c r="E2950" i="3"/>
  <c r="D2950" i="3"/>
  <c r="C2950" i="3"/>
  <c r="B2950" i="3"/>
  <c r="A2950" i="3"/>
  <c r="H2949" i="3"/>
  <c r="G2949" i="3"/>
  <c r="F2949" i="3"/>
  <c r="E2949" i="3"/>
  <c r="D2949" i="3"/>
  <c r="C2949" i="3"/>
  <c r="B2949" i="3"/>
  <c r="A2949" i="3"/>
  <c r="H2948" i="3"/>
  <c r="G2948" i="3"/>
  <c r="F2948" i="3"/>
  <c r="E2948" i="3"/>
  <c r="D2948" i="3"/>
  <c r="C2948" i="3"/>
  <c r="B2948" i="3"/>
  <c r="A2948" i="3"/>
  <c r="H2947" i="3"/>
  <c r="G2947" i="3"/>
  <c r="F2947" i="3"/>
  <c r="E2947" i="3"/>
  <c r="D2947" i="3"/>
  <c r="C2947" i="3"/>
  <c r="B2947" i="3"/>
  <c r="A2947" i="3"/>
  <c r="H2946" i="3"/>
  <c r="G2946" i="3"/>
  <c r="F2946" i="3"/>
  <c r="E2946" i="3"/>
  <c r="D2946" i="3"/>
  <c r="C2946" i="3"/>
  <c r="B2946" i="3"/>
  <c r="A2946" i="3"/>
  <c r="H2945" i="3"/>
  <c r="G2945" i="3"/>
  <c r="F2945" i="3"/>
  <c r="E2945" i="3"/>
  <c r="D2945" i="3"/>
  <c r="C2945" i="3"/>
  <c r="B2945" i="3"/>
  <c r="A2945" i="3"/>
  <c r="H2944" i="3"/>
  <c r="G2944" i="3"/>
  <c r="F2944" i="3"/>
  <c r="E2944" i="3"/>
  <c r="D2944" i="3"/>
  <c r="C2944" i="3"/>
  <c r="B2944" i="3"/>
  <c r="A2944" i="3"/>
  <c r="H2943" i="3"/>
  <c r="G2943" i="3"/>
  <c r="F2943" i="3"/>
  <c r="E2943" i="3"/>
  <c r="D2943" i="3"/>
  <c r="C2943" i="3"/>
  <c r="B2943" i="3"/>
  <c r="A2943" i="3"/>
  <c r="H2942" i="3"/>
  <c r="G2942" i="3"/>
  <c r="F2942" i="3"/>
  <c r="E2942" i="3"/>
  <c r="D2942" i="3"/>
  <c r="C2942" i="3"/>
  <c r="B2942" i="3"/>
  <c r="A2942" i="3"/>
  <c r="H2941" i="3"/>
  <c r="G2941" i="3"/>
  <c r="F2941" i="3"/>
  <c r="E2941" i="3"/>
  <c r="D2941" i="3"/>
  <c r="C2941" i="3"/>
  <c r="B2941" i="3"/>
  <c r="A2941" i="3"/>
  <c r="H2940" i="3"/>
  <c r="G2940" i="3"/>
  <c r="F2940" i="3"/>
  <c r="E2940" i="3"/>
  <c r="D2940" i="3"/>
  <c r="C2940" i="3"/>
  <c r="B2940" i="3"/>
  <c r="A2940" i="3"/>
  <c r="H2939" i="3"/>
  <c r="G2939" i="3"/>
  <c r="F2939" i="3"/>
  <c r="E2939" i="3"/>
  <c r="D2939" i="3"/>
  <c r="C2939" i="3"/>
  <c r="B2939" i="3"/>
  <c r="A2939" i="3"/>
  <c r="H2938" i="3"/>
  <c r="G2938" i="3"/>
  <c r="F2938" i="3"/>
  <c r="E2938" i="3"/>
  <c r="D2938" i="3"/>
  <c r="C2938" i="3"/>
  <c r="B2938" i="3"/>
  <c r="A2938" i="3"/>
  <c r="H2937" i="3"/>
  <c r="G2937" i="3"/>
  <c r="F2937" i="3"/>
  <c r="E2937" i="3"/>
  <c r="D2937" i="3"/>
  <c r="C2937" i="3"/>
  <c r="B2937" i="3"/>
  <c r="A2937" i="3"/>
  <c r="H2936" i="3"/>
  <c r="G2936" i="3"/>
  <c r="F2936" i="3"/>
  <c r="E2936" i="3"/>
  <c r="D2936" i="3"/>
  <c r="C2936" i="3"/>
  <c r="B2936" i="3"/>
  <c r="A2936" i="3"/>
  <c r="H2935" i="3"/>
  <c r="G2935" i="3"/>
  <c r="F2935" i="3"/>
  <c r="E2935" i="3"/>
  <c r="D2935" i="3"/>
  <c r="C2935" i="3"/>
  <c r="B2935" i="3"/>
  <c r="A2935" i="3"/>
  <c r="H2934" i="3"/>
  <c r="G2934" i="3"/>
  <c r="F2934" i="3"/>
  <c r="E2934" i="3"/>
  <c r="D2934" i="3"/>
  <c r="C2934" i="3"/>
  <c r="B2934" i="3"/>
  <c r="A2934" i="3"/>
  <c r="H2933" i="3"/>
  <c r="G2933" i="3"/>
  <c r="F2933" i="3"/>
  <c r="E2933" i="3"/>
  <c r="D2933" i="3"/>
  <c r="C2933" i="3"/>
  <c r="B2933" i="3"/>
  <c r="A2933" i="3"/>
  <c r="H2932" i="3"/>
  <c r="G2932" i="3"/>
  <c r="F2932" i="3"/>
  <c r="E2932" i="3"/>
  <c r="D2932" i="3"/>
  <c r="C2932" i="3"/>
  <c r="B2932" i="3"/>
  <c r="A2932" i="3"/>
  <c r="H2931" i="3"/>
  <c r="G2931" i="3"/>
  <c r="F2931" i="3"/>
  <c r="E2931" i="3"/>
  <c r="D2931" i="3"/>
  <c r="C2931" i="3"/>
  <c r="B2931" i="3"/>
  <c r="A2931" i="3"/>
  <c r="H2930" i="3"/>
  <c r="G2930" i="3"/>
  <c r="F2930" i="3"/>
  <c r="E2930" i="3"/>
  <c r="D2930" i="3"/>
  <c r="C2930" i="3"/>
  <c r="B2930" i="3"/>
  <c r="A2930" i="3"/>
  <c r="H2929" i="3"/>
  <c r="G2929" i="3"/>
  <c r="F2929" i="3"/>
  <c r="E2929" i="3"/>
  <c r="D2929" i="3"/>
  <c r="C2929" i="3"/>
  <c r="B2929" i="3"/>
  <c r="A2929" i="3"/>
  <c r="H2928" i="3"/>
  <c r="G2928" i="3"/>
  <c r="F2928" i="3"/>
  <c r="E2928" i="3"/>
  <c r="D2928" i="3"/>
  <c r="C2928" i="3"/>
  <c r="B2928" i="3"/>
  <c r="A2928" i="3"/>
  <c r="H2927" i="3"/>
  <c r="G2927" i="3"/>
  <c r="F2927" i="3"/>
  <c r="E2927" i="3"/>
  <c r="D2927" i="3"/>
  <c r="C2927" i="3"/>
  <c r="B2927" i="3"/>
  <c r="A2927" i="3"/>
  <c r="H2926" i="3"/>
  <c r="G2926" i="3"/>
  <c r="F2926" i="3"/>
  <c r="E2926" i="3"/>
  <c r="D2926" i="3"/>
  <c r="C2926" i="3"/>
  <c r="B2926" i="3"/>
  <c r="A2926" i="3"/>
  <c r="H2925" i="3"/>
  <c r="G2925" i="3"/>
  <c r="F2925" i="3"/>
  <c r="E2925" i="3"/>
  <c r="D2925" i="3"/>
  <c r="C2925" i="3"/>
  <c r="B2925" i="3"/>
  <c r="A2925" i="3"/>
  <c r="H2924" i="3"/>
  <c r="G2924" i="3"/>
  <c r="F2924" i="3"/>
  <c r="E2924" i="3"/>
  <c r="D2924" i="3"/>
  <c r="C2924" i="3"/>
  <c r="B2924" i="3"/>
  <c r="A2924" i="3"/>
  <c r="H2923" i="3"/>
  <c r="G2923" i="3"/>
  <c r="F2923" i="3"/>
  <c r="E2923" i="3"/>
  <c r="D2923" i="3"/>
  <c r="C2923" i="3"/>
  <c r="B2923" i="3"/>
  <c r="A2923" i="3"/>
  <c r="H2922" i="3"/>
  <c r="G2922" i="3"/>
  <c r="F2922" i="3"/>
  <c r="E2922" i="3"/>
  <c r="D2922" i="3"/>
  <c r="C2922" i="3"/>
  <c r="B2922" i="3"/>
  <c r="A2922" i="3"/>
  <c r="H2921" i="3"/>
  <c r="G2921" i="3"/>
  <c r="F2921" i="3"/>
  <c r="E2921" i="3"/>
  <c r="D2921" i="3"/>
  <c r="C2921" i="3"/>
  <c r="B2921" i="3"/>
  <c r="A2921" i="3"/>
  <c r="H2920" i="3"/>
  <c r="G2920" i="3"/>
  <c r="F2920" i="3"/>
  <c r="E2920" i="3"/>
  <c r="D2920" i="3"/>
  <c r="C2920" i="3"/>
  <c r="B2920" i="3"/>
  <c r="A2920" i="3"/>
  <c r="H2919" i="3"/>
  <c r="G2919" i="3"/>
  <c r="F2919" i="3"/>
  <c r="E2919" i="3"/>
  <c r="D2919" i="3"/>
  <c r="C2919" i="3"/>
  <c r="B2919" i="3"/>
  <c r="A2919" i="3"/>
  <c r="H2918" i="3"/>
  <c r="G2918" i="3"/>
  <c r="F2918" i="3"/>
  <c r="E2918" i="3"/>
  <c r="D2918" i="3"/>
  <c r="C2918" i="3"/>
  <c r="B2918" i="3"/>
  <c r="A2918" i="3"/>
  <c r="H2917" i="3"/>
  <c r="G2917" i="3"/>
  <c r="F2917" i="3"/>
  <c r="E2917" i="3"/>
  <c r="D2917" i="3"/>
  <c r="C2917" i="3"/>
  <c r="B2917" i="3"/>
  <c r="A2917" i="3"/>
  <c r="H2916" i="3"/>
  <c r="G2916" i="3"/>
  <c r="F2916" i="3"/>
  <c r="E2916" i="3"/>
  <c r="D2916" i="3"/>
  <c r="C2916" i="3"/>
  <c r="B2916" i="3"/>
  <c r="A2916" i="3"/>
  <c r="H2915" i="3"/>
  <c r="G2915" i="3"/>
  <c r="F2915" i="3"/>
  <c r="E2915" i="3"/>
  <c r="D2915" i="3"/>
  <c r="C2915" i="3"/>
  <c r="B2915" i="3"/>
  <c r="A2915" i="3"/>
  <c r="H2914" i="3"/>
  <c r="G2914" i="3"/>
  <c r="F2914" i="3"/>
  <c r="E2914" i="3"/>
  <c r="D2914" i="3"/>
  <c r="C2914" i="3"/>
  <c r="B2914" i="3"/>
  <c r="A2914" i="3"/>
  <c r="H2913" i="3"/>
  <c r="G2913" i="3"/>
  <c r="F2913" i="3"/>
  <c r="E2913" i="3"/>
  <c r="D2913" i="3"/>
  <c r="C2913" i="3"/>
  <c r="B2913" i="3"/>
  <c r="A2913" i="3"/>
  <c r="H2912" i="3"/>
  <c r="G2912" i="3"/>
  <c r="F2912" i="3"/>
  <c r="E2912" i="3"/>
  <c r="D2912" i="3"/>
  <c r="C2912" i="3"/>
  <c r="B2912" i="3"/>
  <c r="A2912" i="3"/>
  <c r="H2911" i="3"/>
  <c r="G2911" i="3"/>
  <c r="F2911" i="3"/>
  <c r="E2911" i="3"/>
  <c r="D2911" i="3"/>
  <c r="C2911" i="3"/>
  <c r="B2911" i="3"/>
  <c r="A2911" i="3"/>
  <c r="H2910" i="3"/>
  <c r="G2910" i="3"/>
  <c r="F2910" i="3"/>
  <c r="E2910" i="3"/>
  <c r="D2910" i="3"/>
  <c r="C2910" i="3"/>
  <c r="B2910" i="3"/>
  <c r="A2910" i="3"/>
  <c r="H2909" i="3"/>
  <c r="G2909" i="3"/>
  <c r="F2909" i="3"/>
  <c r="E2909" i="3"/>
  <c r="D2909" i="3"/>
  <c r="C2909" i="3"/>
  <c r="B2909" i="3"/>
  <c r="A2909" i="3"/>
  <c r="H2908" i="3"/>
  <c r="G2908" i="3"/>
  <c r="F2908" i="3"/>
  <c r="E2908" i="3"/>
  <c r="D2908" i="3"/>
  <c r="C2908" i="3"/>
  <c r="B2908" i="3"/>
  <c r="A2908" i="3"/>
  <c r="H2907" i="3"/>
  <c r="G2907" i="3"/>
  <c r="F2907" i="3"/>
  <c r="E2907" i="3"/>
  <c r="D2907" i="3"/>
  <c r="C2907" i="3"/>
  <c r="B2907" i="3"/>
  <c r="A2907" i="3"/>
  <c r="H2906" i="3"/>
  <c r="G2906" i="3"/>
  <c r="F2906" i="3"/>
  <c r="E2906" i="3"/>
  <c r="D2906" i="3"/>
  <c r="C2906" i="3"/>
  <c r="B2906" i="3"/>
  <c r="A2906" i="3"/>
  <c r="H2905" i="3"/>
  <c r="G2905" i="3"/>
  <c r="F2905" i="3"/>
  <c r="E2905" i="3"/>
  <c r="D2905" i="3"/>
  <c r="C2905" i="3"/>
  <c r="B2905" i="3"/>
  <c r="A2905" i="3"/>
  <c r="H2904" i="3"/>
  <c r="G2904" i="3"/>
  <c r="F2904" i="3"/>
  <c r="E2904" i="3"/>
  <c r="D2904" i="3"/>
  <c r="C2904" i="3"/>
  <c r="B2904" i="3"/>
  <c r="A2904" i="3"/>
  <c r="H2903" i="3"/>
  <c r="G2903" i="3"/>
  <c r="F2903" i="3"/>
  <c r="E2903" i="3"/>
  <c r="D2903" i="3"/>
  <c r="C2903" i="3"/>
  <c r="B2903" i="3"/>
  <c r="A2903" i="3"/>
  <c r="H2902" i="3"/>
  <c r="G2902" i="3"/>
  <c r="F2902" i="3"/>
  <c r="E2902" i="3"/>
  <c r="D2902" i="3"/>
  <c r="C2902" i="3"/>
  <c r="B2902" i="3"/>
  <c r="A2902" i="3"/>
  <c r="H2901" i="3"/>
  <c r="G2901" i="3"/>
  <c r="F2901" i="3"/>
  <c r="E2901" i="3"/>
  <c r="D2901" i="3"/>
  <c r="C2901" i="3"/>
  <c r="B2901" i="3"/>
  <c r="A2901" i="3"/>
  <c r="H2900" i="3"/>
  <c r="G2900" i="3"/>
  <c r="F2900" i="3"/>
  <c r="E2900" i="3"/>
  <c r="D2900" i="3"/>
  <c r="C2900" i="3"/>
  <c r="B2900" i="3"/>
  <c r="A2900" i="3"/>
  <c r="H2899" i="3"/>
  <c r="G2899" i="3"/>
  <c r="F2899" i="3"/>
  <c r="E2899" i="3"/>
  <c r="D2899" i="3"/>
  <c r="C2899" i="3"/>
  <c r="B2899" i="3"/>
  <c r="A2899" i="3"/>
  <c r="H2898" i="3"/>
  <c r="G2898" i="3"/>
  <c r="F2898" i="3"/>
  <c r="E2898" i="3"/>
  <c r="D2898" i="3"/>
  <c r="C2898" i="3"/>
  <c r="B2898" i="3"/>
  <c r="A2898" i="3"/>
  <c r="H2897" i="3"/>
  <c r="G2897" i="3"/>
  <c r="F2897" i="3"/>
  <c r="E2897" i="3"/>
  <c r="D2897" i="3"/>
  <c r="C2897" i="3"/>
  <c r="B2897" i="3"/>
  <c r="A2897" i="3"/>
  <c r="H2896" i="3"/>
  <c r="G2896" i="3"/>
  <c r="F2896" i="3"/>
  <c r="E2896" i="3"/>
  <c r="D2896" i="3"/>
  <c r="C2896" i="3"/>
  <c r="B2896" i="3"/>
  <c r="A2896" i="3"/>
  <c r="H2895" i="3"/>
  <c r="G2895" i="3"/>
  <c r="F2895" i="3"/>
  <c r="E2895" i="3"/>
  <c r="D2895" i="3"/>
  <c r="C2895" i="3"/>
  <c r="B2895" i="3"/>
  <c r="A2895" i="3"/>
  <c r="H2894" i="3"/>
  <c r="G2894" i="3"/>
  <c r="F2894" i="3"/>
  <c r="E2894" i="3"/>
  <c r="D2894" i="3"/>
  <c r="C2894" i="3"/>
  <c r="B2894" i="3"/>
  <c r="A2894" i="3"/>
  <c r="H2893" i="3"/>
  <c r="G2893" i="3"/>
  <c r="F2893" i="3"/>
  <c r="E2893" i="3"/>
  <c r="D2893" i="3"/>
  <c r="C2893" i="3"/>
  <c r="B2893" i="3"/>
  <c r="A2893" i="3"/>
  <c r="H2892" i="3"/>
  <c r="G2892" i="3"/>
  <c r="F2892" i="3"/>
  <c r="E2892" i="3"/>
  <c r="D2892" i="3"/>
  <c r="C2892" i="3"/>
  <c r="B2892" i="3"/>
  <c r="A2892" i="3"/>
  <c r="H2891" i="3"/>
  <c r="G2891" i="3"/>
  <c r="F2891" i="3"/>
  <c r="E2891" i="3"/>
  <c r="D2891" i="3"/>
  <c r="C2891" i="3"/>
  <c r="B2891" i="3"/>
  <c r="A2891" i="3"/>
  <c r="H2890" i="3"/>
  <c r="G2890" i="3"/>
  <c r="F2890" i="3"/>
  <c r="E2890" i="3"/>
  <c r="D2890" i="3"/>
  <c r="C2890" i="3"/>
  <c r="B2890" i="3"/>
  <c r="A2890" i="3"/>
  <c r="H2889" i="3"/>
  <c r="G2889" i="3"/>
  <c r="F2889" i="3"/>
  <c r="E2889" i="3"/>
  <c r="D2889" i="3"/>
  <c r="C2889" i="3"/>
  <c r="B2889" i="3"/>
  <c r="A2889" i="3"/>
  <c r="H2888" i="3"/>
  <c r="G2888" i="3"/>
  <c r="F2888" i="3"/>
  <c r="E2888" i="3"/>
  <c r="D2888" i="3"/>
  <c r="C2888" i="3"/>
  <c r="B2888" i="3"/>
  <c r="A2888" i="3"/>
  <c r="H2887" i="3"/>
  <c r="G2887" i="3"/>
  <c r="F2887" i="3"/>
  <c r="E2887" i="3"/>
  <c r="D2887" i="3"/>
  <c r="C2887" i="3"/>
  <c r="B2887" i="3"/>
  <c r="A2887" i="3"/>
  <c r="H2886" i="3"/>
  <c r="G2886" i="3"/>
  <c r="F2886" i="3"/>
  <c r="E2886" i="3"/>
  <c r="D2886" i="3"/>
  <c r="C2886" i="3"/>
  <c r="B2886" i="3"/>
  <c r="A2886" i="3"/>
  <c r="H2885" i="3"/>
  <c r="G2885" i="3"/>
  <c r="F2885" i="3"/>
  <c r="E2885" i="3"/>
  <c r="D2885" i="3"/>
  <c r="C2885" i="3"/>
  <c r="B2885" i="3"/>
  <c r="A2885" i="3"/>
  <c r="H2884" i="3"/>
  <c r="G2884" i="3"/>
  <c r="F2884" i="3"/>
  <c r="E2884" i="3"/>
  <c r="D2884" i="3"/>
  <c r="C2884" i="3"/>
  <c r="B2884" i="3"/>
  <c r="A2884" i="3"/>
  <c r="H2883" i="3"/>
  <c r="G2883" i="3"/>
  <c r="F2883" i="3"/>
  <c r="E2883" i="3"/>
  <c r="D2883" i="3"/>
  <c r="C2883" i="3"/>
  <c r="B2883" i="3"/>
  <c r="A2883" i="3"/>
  <c r="H2882" i="3"/>
  <c r="G2882" i="3"/>
  <c r="F2882" i="3"/>
  <c r="E2882" i="3"/>
  <c r="D2882" i="3"/>
  <c r="C2882" i="3"/>
  <c r="B2882" i="3"/>
  <c r="A2882" i="3"/>
  <c r="H2881" i="3"/>
  <c r="G2881" i="3"/>
  <c r="F2881" i="3"/>
  <c r="E2881" i="3"/>
  <c r="D2881" i="3"/>
  <c r="C2881" i="3"/>
  <c r="B2881" i="3"/>
  <c r="A2881" i="3"/>
  <c r="H2880" i="3"/>
  <c r="G2880" i="3"/>
  <c r="F2880" i="3"/>
  <c r="E2880" i="3"/>
  <c r="D2880" i="3"/>
  <c r="C2880" i="3"/>
  <c r="B2880" i="3"/>
  <c r="A2880" i="3"/>
  <c r="H2879" i="3"/>
  <c r="G2879" i="3"/>
  <c r="F2879" i="3"/>
  <c r="E2879" i="3"/>
  <c r="D2879" i="3"/>
  <c r="C2879" i="3"/>
  <c r="B2879" i="3"/>
  <c r="A2879" i="3"/>
  <c r="H2878" i="3"/>
  <c r="G2878" i="3"/>
  <c r="F2878" i="3"/>
  <c r="E2878" i="3"/>
  <c r="D2878" i="3"/>
  <c r="C2878" i="3"/>
  <c r="B2878" i="3"/>
  <c r="A2878" i="3"/>
  <c r="H2877" i="3"/>
  <c r="G2877" i="3"/>
  <c r="F2877" i="3"/>
  <c r="E2877" i="3"/>
  <c r="D2877" i="3"/>
  <c r="C2877" i="3"/>
  <c r="B2877" i="3"/>
  <c r="A2877" i="3"/>
  <c r="H2876" i="3"/>
  <c r="G2876" i="3"/>
  <c r="F2876" i="3"/>
  <c r="E2876" i="3"/>
  <c r="D2876" i="3"/>
  <c r="C2876" i="3"/>
  <c r="B2876" i="3"/>
  <c r="A2876" i="3"/>
  <c r="H2875" i="3"/>
  <c r="G2875" i="3"/>
  <c r="F2875" i="3"/>
  <c r="E2875" i="3"/>
  <c r="D2875" i="3"/>
  <c r="C2875" i="3"/>
  <c r="B2875" i="3"/>
  <c r="A2875" i="3"/>
  <c r="H2874" i="3"/>
  <c r="G2874" i="3"/>
  <c r="F2874" i="3"/>
  <c r="E2874" i="3"/>
  <c r="D2874" i="3"/>
  <c r="C2874" i="3"/>
  <c r="B2874" i="3"/>
  <c r="A2874" i="3"/>
  <c r="H2873" i="3"/>
  <c r="G2873" i="3"/>
  <c r="F2873" i="3"/>
  <c r="E2873" i="3"/>
  <c r="D2873" i="3"/>
  <c r="C2873" i="3"/>
  <c r="B2873" i="3"/>
  <c r="A2873" i="3"/>
  <c r="H2872" i="3"/>
  <c r="G2872" i="3"/>
  <c r="F2872" i="3"/>
  <c r="E2872" i="3"/>
  <c r="D2872" i="3"/>
  <c r="C2872" i="3"/>
  <c r="B2872" i="3"/>
  <c r="A2872" i="3"/>
  <c r="H2871" i="3"/>
  <c r="G2871" i="3"/>
  <c r="F2871" i="3"/>
  <c r="E2871" i="3"/>
  <c r="D2871" i="3"/>
  <c r="C2871" i="3"/>
  <c r="B2871" i="3"/>
  <c r="A2871" i="3"/>
  <c r="H2870" i="3"/>
  <c r="G2870" i="3"/>
  <c r="F2870" i="3"/>
  <c r="E2870" i="3"/>
  <c r="D2870" i="3"/>
  <c r="C2870" i="3"/>
  <c r="B2870" i="3"/>
  <c r="A2870" i="3"/>
  <c r="H2869" i="3"/>
  <c r="G2869" i="3"/>
  <c r="F2869" i="3"/>
  <c r="E2869" i="3"/>
  <c r="D2869" i="3"/>
  <c r="C2869" i="3"/>
  <c r="B2869" i="3"/>
  <c r="A2869" i="3"/>
  <c r="H2868" i="3"/>
  <c r="G2868" i="3"/>
  <c r="F2868" i="3"/>
  <c r="E2868" i="3"/>
  <c r="D2868" i="3"/>
  <c r="C2868" i="3"/>
  <c r="B2868" i="3"/>
  <c r="A2868" i="3"/>
  <c r="H2867" i="3"/>
  <c r="G2867" i="3"/>
  <c r="F2867" i="3"/>
  <c r="E2867" i="3"/>
  <c r="D2867" i="3"/>
  <c r="C2867" i="3"/>
  <c r="B2867" i="3"/>
  <c r="A2867" i="3"/>
  <c r="H2866" i="3"/>
  <c r="G2866" i="3"/>
  <c r="F2866" i="3"/>
  <c r="E2866" i="3"/>
  <c r="D2866" i="3"/>
  <c r="C2866" i="3"/>
  <c r="B2866" i="3"/>
  <c r="A2866" i="3"/>
  <c r="H2865" i="3"/>
  <c r="G2865" i="3"/>
  <c r="F2865" i="3"/>
  <c r="E2865" i="3"/>
  <c r="D2865" i="3"/>
  <c r="C2865" i="3"/>
  <c r="B2865" i="3"/>
  <c r="A2865" i="3"/>
  <c r="H2864" i="3"/>
  <c r="G2864" i="3"/>
  <c r="F2864" i="3"/>
  <c r="E2864" i="3"/>
  <c r="D2864" i="3"/>
  <c r="C2864" i="3"/>
  <c r="B2864" i="3"/>
  <c r="A2864" i="3"/>
  <c r="H2863" i="3"/>
  <c r="G2863" i="3"/>
  <c r="F2863" i="3"/>
  <c r="E2863" i="3"/>
  <c r="D2863" i="3"/>
  <c r="C2863" i="3"/>
  <c r="B2863" i="3"/>
  <c r="A2863" i="3"/>
  <c r="H2862" i="3"/>
  <c r="G2862" i="3"/>
  <c r="F2862" i="3"/>
  <c r="E2862" i="3"/>
  <c r="D2862" i="3"/>
  <c r="C2862" i="3"/>
  <c r="B2862" i="3"/>
  <c r="A2862" i="3"/>
  <c r="H2861" i="3"/>
  <c r="G2861" i="3"/>
  <c r="F2861" i="3"/>
  <c r="E2861" i="3"/>
  <c r="D2861" i="3"/>
  <c r="C2861" i="3"/>
  <c r="B2861" i="3"/>
  <c r="A2861" i="3"/>
  <c r="H2860" i="3"/>
  <c r="G2860" i="3"/>
  <c r="F2860" i="3"/>
  <c r="E2860" i="3"/>
  <c r="D2860" i="3"/>
  <c r="C2860" i="3"/>
  <c r="B2860" i="3"/>
  <c r="A2860" i="3"/>
  <c r="H2859" i="3"/>
  <c r="G2859" i="3"/>
  <c r="F2859" i="3"/>
  <c r="E2859" i="3"/>
  <c r="D2859" i="3"/>
  <c r="C2859" i="3"/>
  <c r="B2859" i="3"/>
  <c r="A2859" i="3"/>
  <c r="H2858" i="3"/>
  <c r="G2858" i="3"/>
  <c r="F2858" i="3"/>
  <c r="E2858" i="3"/>
  <c r="D2858" i="3"/>
  <c r="C2858" i="3"/>
  <c r="B2858" i="3"/>
  <c r="A2858" i="3"/>
  <c r="H2857" i="3"/>
  <c r="G2857" i="3"/>
  <c r="F2857" i="3"/>
  <c r="E2857" i="3"/>
  <c r="D2857" i="3"/>
  <c r="C2857" i="3"/>
  <c r="B2857" i="3"/>
  <c r="A2857" i="3"/>
  <c r="H2856" i="3"/>
  <c r="G2856" i="3"/>
  <c r="F2856" i="3"/>
  <c r="E2856" i="3"/>
  <c r="D2856" i="3"/>
  <c r="C2856" i="3"/>
  <c r="B2856" i="3"/>
  <c r="A2856" i="3"/>
  <c r="H2855" i="3"/>
  <c r="G2855" i="3"/>
  <c r="F2855" i="3"/>
  <c r="E2855" i="3"/>
  <c r="D2855" i="3"/>
  <c r="C2855" i="3"/>
  <c r="B2855" i="3"/>
  <c r="A2855" i="3"/>
  <c r="H2854" i="3"/>
  <c r="G2854" i="3"/>
  <c r="F2854" i="3"/>
  <c r="E2854" i="3"/>
  <c r="D2854" i="3"/>
  <c r="C2854" i="3"/>
  <c r="B2854" i="3"/>
  <c r="A2854" i="3"/>
  <c r="H2853" i="3"/>
  <c r="G2853" i="3"/>
  <c r="F2853" i="3"/>
  <c r="E2853" i="3"/>
  <c r="D2853" i="3"/>
  <c r="C2853" i="3"/>
  <c r="B2853" i="3"/>
  <c r="A2853" i="3"/>
  <c r="H2852" i="3"/>
  <c r="G2852" i="3"/>
  <c r="F2852" i="3"/>
  <c r="E2852" i="3"/>
  <c r="D2852" i="3"/>
  <c r="C2852" i="3"/>
  <c r="B2852" i="3"/>
  <c r="A2852" i="3"/>
  <c r="H2851" i="3"/>
  <c r="G2851" i="3"/>
  <c r="F2851" i="3"/>
  <c r="E2851" i="3"/>
  <c r="D2851" i="3"/>
  <c r="C2851" i="3"/>
  <c r="B2851" i="3"/>
  <c r="A2851" i="3"/>
  <c r="H2850" i="3"/>
  <c r="G2850" i="3"/>
  <c r="F2850" i="3"/>
  <c r="E2850" i="3"/>
  <c r="D2850" i="3"/>
  <c r="C2850" i="3"/>
  <c r="B2850" i="3"/>
  <c r="A2850" i="3"/>
  <c r="H2849" i="3"/>
  <c r="G2849" i="3"/>
  <c r="F2849" i="3"/>
  <c r="E2849" i="3"/>
  <c r="D2849" i="3"/>
  <c r="C2849" i="3"/>
  <c r="B2849" i="3"/>
  <c r="A2849" i="3"/>
  <c r="H2848" i="3"/>
  <c r="G2848" i="3"/>
  <c r="F2848" i="3"/>
  <c r="E2848" i="3"/>
  <c r="D2848" i="3"/>
  <c r="C2848" i="3"/>
  <c r="B2848" i="3"/>
  <c r="A2848" i="3"/>
  <c r="H2847" i="3"/>
  <c r="G2847" i="3"/>
  <c r="F2847" i="3"/>
  <c r="E2847" i="3"/>
  <c r="D2847" i="3"/>
  <c r="C2847" i="3"/>
  <c r="B2847" i="3"/>
  <c r="A2847" i="3"/>
  <c r="H2846" i="3"/>
  <c r="G2846" i="3"/>
  <c r="F2846" i="3"/>
  <c r="E2846" i="3"/>
  <c r="D2846" i="3"/>
  <c r="C2846" i="3"/>
  <c r="B2846" i="3"/>
  <c r="A2846" i="3"/>
  <c r="H2845" i="3"/>
  <c r="G2845" i="3"/>
  <c r="F2845" i="3"/>
  <c r="E2845" i="3"/>
  <c r="D2845" i="3"/>
  <c r="C2845" i="3"/>
  <c r="B2845" i="3"/>
  <c r="A2845" i="3"/>
  <c r="H2844" i="3"/>
  <c r="G2844" i="3"/>
  <c r="F2844" i="3"/>
  <c r="E2844" i="3"/>
  <c r="D2844" i="3"/>
  <c r="C2844" i="3"/>
  <c r="B2844" i="3"/>
  <c r="A2844" i="3"/>
  <c r="H2843" i="3"/>
  <c r="G2843" i="3"/>
  <c r="F2843" i="3"/>
  <c r="E2843" i="3"/>
  <c r="D2843" i="3"/>
  <c r="C2843" i="3"/>
  <c r="B2843" i="3"/>
  <c r="A2843" i="3"/>
  <c r="H2842" i="3"/>
  <c r="G2842" i="3"/>
  <c r="F2842" i="3"/>
  <c r="E2842" i="3"/>
  <c r="D2842" i="3"/>
  <c r="C2842" i="3"/>
  <c r="B2842" i="3"/>
  <c r="A2842" i="3"/>
  <c r="H2841" i="3"/>
  <c r="G2841" i="3"/>
  <c r="F2841" i="3"/>
  <c r="E2841" i="3"/>
  <c r="D2841" i="3"/>
  <c r="C2841" i="3"/>
  <c r="B2841" i="3"/>
  <c r="A2841" i="3"/>
  <c r="H2840" i="3"/>
  <c r="G2840" i="3"/>
  <c r="F2840" i="3"/>
  <c r="E2840" i="3"/>
  <c r="D2840" i="3"/>
  <c r="C2840" i="3"/>
  <c r="B2840" i="3"/>
  <c r="A2840" i="3"/>
  <c r="H2839" i="3"/>
  <c r="G2839" i="3"/>
  <c r="F2839" i="3"/>
  <c r="E2839" i="3"/>
  <c r="D2839" i="3"/>
  <c r="C2839" i="3"/>
  <c r="B2839" i="3"/>
  <c r="A2839" i="3"/>
  <c r="H2838" i="3"/>
  <c r="G2838" i="3"/>
  <c r="F2838" i="3"/>
  <c r="E2838" i="3"/>
  <c r="D2838" i="3"/>
  <c r="C2838" i="3"/>
  <c r="B2838" i="3"/>
  <c r="A2838" i="3"/>
  <c r="H2837" i="3"/>
  <c r="G2837" i="3"/>
  <c r="F2837" i="3"/>
  <c r="E2837" i="3"/>
  <c r="D2837" i="3"/>
  <c r="C2837" i="3"/>
  <c r="B2837" i="3"/>
  <c r="A2837" i="3"/>
  <c r="H2836" i="3"/>
  <c r="G2836" i="3"/>
  <c r="F2836" i="3"/>
  <c r="E2836" i="3"/>
  <c r="D2836" i="3"/>
  <c r="C2836" i="3"/>
  <c r="B2836" i="3"/>
  <c r="A2836" i="3"/>
  <c r="H2835" i="3"/>
  <c r="G2835" i="3"/>
  <c r="F2835" i="3"/>
  <c r="E2835" i="3"/>
  <c r="D2835" i="3"/>
  <c r="C2835" i="3"/>
  <c r="B2835" i="3"/>
  <c r="A2835" i="3"/>
  <c r="H2834" i="3"/>
  <c r="G2834" i="3"/>
  <c r="F2834" i="3"/>
  <c r="E2834" i="3"/>
  <c r="D2834" i="3"/>
  <c r="C2834" i="3"/>
  <c r="B2834" i="3"/>
  <c r="A2834" i="3"/>
  <c r="H2833" i="3"/>
  <c r="G2833" i="3"/>
  <c r="F2833" i="3"/>
  <c r="E2833" i="3"/>
  <c r="D2833" i="3"/>
  <c r="C2833" i="3"/>
  <c r="B2833" i="3"/>
  <c r="A2833" i="3"/>
  <c r="H2832" i="3"/>
  <c r="G2832" i="3"/>
  <c r="F2832" i="3"/>
  <c r="E2832" i="3"/>
  <c r="D2832" i="3"/>
  <c r="C2832" i="3"/>
  <c r="B2832" i="3"/>
  <c r="A2832" i="3"/>
  <c r="H2831" i="3"/>
  <c r="G2831" i="3"/>
  <c r="F2831" i="3"/>
  <c r="E2831" i="3"/>
  <c r="D2831" i="3"/>
  <c r="C2831" i="3"/>
  <c r="B2831" i="3"/>
  <c r="A2831" i="3"/>
  <c r="H2830" i="3"/>
  <c r="G2830" i="3"/>
  <c r="F2830" i="3"/>
  <c r="E2830" i="3"/>
  <c r="D2830" i="3"/>
  <c r="C2830" i="3"/>
  <c r="B2830" i="3"/>
  <c r="A2830" i="3"/>
  <c r="H2829" i="3"/>
  <c r="G2829" i="3"/>
  <c r="F2829" i="3"/>
  <c r="E2829" i="3"/>
  <c r="D2829" i="3"/>
  <c r="C2829" i="3"/>
  <c r="B2829" i="3"/>
  <c r="A2829" i="3"/>
  <c r="H2828" i="3"/>
  <c r="G2828" i="3"/>
  <c r="F2828" i="3"/>
  <c r="E2828" i="3"/>
  <c r="D2828" i="3"/>
  <c r="C2828" i="3"/>
  <c r="B2828" i="3"/>
  <c r="A2828" i="3"/>
  <c r="H2827" i="3"/>
  <c r="G2827" i="3"/>
  <c r="F2827" i="3"/>
  <c r="E2827" i="3"/>
  <c r="D2827" i="3"/>
  <c r="C2827" i="3"/>
  <c r="B2827" i="3"/>
  <c r="A2827" i="3"/>
  <c r="H2826" i="3"/>
  <c r="G2826" i="3"/>
  <c r="F2826" i="3"/>
  <c r="E2826" i="3"/>
  <c r="D2826" i="3"/>
  <c r="C2826" i="3"/>
  <c r="B2826" i="3"/>
  <c r="A2826" i="3"/>
  <c r="H2825" i="3"/>
  <c r="G2825" i="3"/>
  <c r="F2825" i="3"/>
  <c r="E2825" i="3"/>
  <c r="D2825" i="3"/>
  <c r="C2825" i="3"/>
  <c r="B2825" i="3"/>
  <c r="A2825" i="3"/>
  <c r="H2824" i="3"/>
  <c r="G2824" i="3"/>
  <c r="F2824" i="3"/>
  <c r="E2824" i="3"/>
  <c r="D2824" i="3"/>
  <c r="C2824" i="3"/>
  <c r="B2824" i="3"/>
  <c r="A2824" i="3"/>
  <c r="H2823" i="3"/>
  <c r="G2823" i="3"/>
  <c r="F2823" i="3"/>
  <c r="E2823" i="3"/>
  <c r="D2823" i="3"/>
  <c r="C2823" i="3"/>
  <c r="B2823" i="3"/>
  <c r="A2823" i="3"/>
  <c r="H2822" i="3"/>
  <c r="G2822" i="3"/>
  <c r="F2822" i="3"/>
  <c r="E2822" i="3"/>
  <c r="D2822" i="3"/>
  <c r="C2822" i="3"/>
  <c r="B2822" i="3"/>
  <c r="A2822" i="3"/>
  <c r="H2821" i="3"/>
  <c r="G2821" i="3"/>
  <c r="F2821" i="3"/>
  <c r="E2821" i="3"/>
  <c r="D2821" i="3"/>
  <c r="C2821" i="3"/>
  <c r="B2821" i="3"/>
  <c r="A2821" i="3"/>
  <c r="H2820" i="3"/>
  <c r="G2820" i="3"/>
  <c r="F2820" i="3"/>
  <c r="E2820" i="3"/>
  <c r="D2820" i="3"/>
  <c r="C2820" i="3"/>
  <c r="B2820" i="3"/>
  <c r="A2820" i="3"/>
  <c r="H2819" i="3"/>
  <c r="G2819" i="3"/>
  <c r="F2819" i="3"/>
  <c r="E2819" i="3"/>
  <c r="D2819" i="3"/>
  <c r="C2819" i="3"/>
  <c r="B2819" i="3"/>
  <c r="A2819" i="3"/>
  <c r="H2818" i="3"/>
  <c r="G2818" i="3"/>
  <c r="F2818" i="3"/>
  <c r="E2818" i="3"/>
  <c r="D2818" i="3"/>
  <c r="C2818" i="3"/>
  <c r="B2818" i="3"/>
  <c r="A2818" i="3"/>
  <c r="H2817" i="3"/>
  <c r="G2817" i="3"/>
  <c r="F2817" i="3"/>
  <c r="E2817" i="3"/>
  <c r="D2817" i="3"/>
  <c r="C2817" i="3"/>
  <c r="B2817" i="3"/>
  <c r="A2817" i="3"/>
  <c r="H2816" i="3"/>
  <c r="G2816" i="3"/>
  <c r="F2816" i="3"/>
  <c r="E2816" i="3"/>
  <c r="D2816" i="3"/>
  <c r="C2816" i="3"/>
  <c r="B2816" i="3"/>
  <c r="A2816" i="3"/>
  <c r="H2815" i="3"/>
  <c r="G2815" i="3"/>
  <c r="F2815" i="3"/>
  <c r="E2815" i="3"/>
  <c r="D2815" i="3"/>
  <c r="C2815" i="3"/>
  <c r="B2815" i="3"/>
  <c r="A2815" i="3"/>
  <c r="H2814" i="3"/>
  <c r="G2814" i="3"/>
  <c r="F2814" i="3"/>
  <c r="E2814" i="3"/>
  <c r="D2814" i="3"/>
  <c r="C2814" i="3"/>
  <c r="B2814" i="3"/>
  <c r="A2814" i="3"/>
  <c r="H2813" i="3"/>
  <c r="G2813" i="3"/>
  <c r="F2813" i="3"/>
  <c r="E2813" i="3"/>
  <c r="D2813" i="3"/>
  <c r="C2813" i="3"/>
  <c r="B2813" i="3"/>
  <c r="A2813" i="3"/>
  <c r="H2812" i="3"/>
  <c r="G2812" i="3"/>
  <c r="F2812" i="3"/>
  <c r="E2812" i="3"/>
  <c r="D2812" i="3"/>
  <c r="C2812" i="3"/>
  <c r="B2812" i="3"/>
  <c r="A2812" i="3"/>
  <c r="H2811" i="3"/>
  <c r="G2811" i="3"/>
  <c r="F2811" i="3"/>
  <c r="E2811" i="3"/>
  <c r="D2811" i="3"/>
  <c r="C2811" i="3"/>
  <c r="B2811" i="3"/>
  <c r="A2811" i="3"/>
  <c r="H2810" i="3"/>
  <c r="G2810" i="3"/>
  <c r="F2810" i="3"/>
  <c r="E2810" i="3"/>
  <c r="D2810" i="3"/>
  <c r="C2810" i="3"/>
  <c r="B2810" i="3"/>
  <c r="A2810" i="3"/>
  <c r="H2809" i="3"/>
  <c r="G2809" i="3"/>
  <c r="F2809" i="3"/>
  <c r="E2809" i="3"/>
  <c r="D2809" i="3"/>
  <c r="C2809" i="3"/>
  <c r="B2809" i="3"/>
  <c r="A2809" i="3"/>
  <c r="H2808" i="3"/>
  <c r="G2808" i="3"/>
  <c r="F2808" i="3"/>
  <c r="E2808" i="3"/>
  <c r="D2808" i="3"/>
  <c r="C2808" i="3"/>
  <c r="B2808" i="3"/>
  <c r="A2808" i="3"/>
  <c r="H2807" i="3"/>
  <c r="G2807" i="3"/>
  <c r="F2807" i="3"/>
  <c r="E2807" i="3"/>
  <c r="D2807" i="3"/>
  <c r="C2807" i="3"/>
  <c r="B2807" i="3"/>
  <c r="A2807" i="3"/>
  <c r="H2806" i="3"/>
  <c r="G2806" i="3"/>
  <c r="F2806" i="3"/>
  <c r="E2806" i="3"/>
  <c r="D2806" i="3"/>
  <c r="C2806" i="3"/>
  <c r="B2806" i="3"/>
  <c r="A2806" i="3"/>
  <c r="H2805" i="3"/>
  <c r="G2805" i="3"/>
  <c r="F2805" i="3"/>
  <c r="E2805" i="3"/>
  <c r="D2805" i="3"/>
  <c r="C2805" i="3"/>
  <c r="B2805" i="3"/>
  <c r="A2805" i="3"/>
  <c r="H2804" i="3"/>
  <c r="G2804" i="3"/>
  <c r="F2804" i="3"/>
  <c r="E2804" i="3"/>
  <c r="D2804" i="3"/>
  <c r="C2804" i="3"/>
  <c r="B2804" i="3"/>
  <c r="A2804" i="3"/>
  <c r="H2803" i="3"/>
  <c r="G2803" i="3"/>
  <c r="F2803" i="3"/>
  <c r="E2803" i="3"/>
  <c r="D2803" i="3"/>
  <c r="C2803" i="3"/>
  <c r="B2803" i="3"/>
  <c r="A2803" i="3"/>
  <c r="H2802" i="3"/>
  <c r="G2802" i="3"/>
  <c r="F2802" i="3"/>
  <c r="E2802" i="3"/>
  <c r="D2802" i="3"/>
  <c r="C2802" i="3"/>
  <c r="B2802" i="3"/>
  <c r="A2802" i="3"/>
  <c r="H2801" i="3"/>
  <c r="G2801" i="3"/>
  <c r="F2801" i="3"/>
  <c r="E2801" i="3"/>
  <c r="D2801" i="3"/>
  <c r="C2801" i="3"/>
  <c r="B2801" i="3"/>
  <c r="A2801" i="3"/>
  <c r="H2800" i="3"/>
  <c r="G2800" i="3"/>
  <c r="F2800" i="3"/>
  <c r="E2800" i="3"/>
  <c r="D2800" i="3"/>
  <c r="C2800" i="3"/>
  <c r="B2800" i="3"/>
  <c r="A2800" i="3"/>
  <c r="H2799" i="3"/>
  <c r="G2799" i="3"/>
  <c r="F2799" i="3"/>
  <c r="E2799" i="3"/>
  <c r="D2799" i="3"/>
  <c r="C2799" i="3"/>
  <c r="B2799" i="3"/>
  <c r="A2799" i="3"/>
  <c r="H2798" i="3"/>
  <c r="G2798" i="3"/>
  <c r="F2798" i="3"/>
  <c r="E2798" i="3"/>
  <c r="D2798" i="3"/>
  <c r="C2798" i="3"/>
  <c r="B2798" i="3"/>
  <c r="A2798" i="3"/>
  <c r="H2797" i="3"/>
  <c r="G2797" i="3"/>
  <c r="F2797" i="3"/>
  <c r="E2797" i="3"/>
  <c r="D2797" i="3"/>
  <c r="C2797" i="3"/>
  <c r="B2797" i="3"/>
  <c r="A2797" i="3"/>
  <c r="H2796" i="3"/>
  <c r="G2796" i="3"/>
  <c r="F2796" i="3"/>
  <c r="E2796" i="3"/>
  <c r="D2796" i="3"/>
  <c r="C2796" i="3"/>
  <c r="B2796" i="3"/>
  <c r="A2796" i="3"/>
  <c r="H2795" i="3"/>
  <c r="G2795" i="3"/>
  <c r="F2795" i="3"/>
  <c r="E2795" i="3"/>
  <c r="D2795" i="3"/>
  <c r="C2795" i="3"/>
  <c r="B2795" i="3"/>
  <c r="A2795" i="3"/>
  <c r="H2794" i="3"/>
  <c r="G2794" i="3"/>
  <c r="F2794" i="3"/>
  <c r="E2794" i="3"/>
  <c r="D2794" i="3"/>
  <c r="C2794" i="3"/>
  <c r="B2794" i="3"/>
  <c r="A2794" i="3"/>
  <c r="H2793" i="3"/>
  <c r="G2793" i="3"/>
  <c r="F2793" i="3"/>
  <c r="E2793" i="3"/>
  <c r="D2793" i="3"/>
  <c r="C2793" i="3"/>
  <c r="B2793" i="3"/>
  <c r="A2793" i="3"/>
  <c r="H2792" i="3"/>
  <c r="G2792" i="3"/>
  <c r="F2792" i="3"/>
  <c r="E2792" i="3"/>
  <c r="D2792" i="3"/>
  <c r="C2792" i="3"/>
  <c r="B2792" i="3"/>
  <c r="A2792" i="3"/>
  <c r="H2791" i="3"/>
  <c r="G2791" i="3"/>
  <c r="F2791" i="3"/>
  <c r="E2791" i="3"/>
  <c r="D2791" i="3"/>
  <c r="C2791" i="3"/>
  <c r="B2791" i="3"/>
  <c r="A2791" i="3"/>
  <c r="H2790" i="3"/>
  <c r="G2790" i="3"/>
  <c r="F2790" i="3"/>
  <c r="E2790" i="3"/>
  <c r="D2790" i="3"/>
  <c r="C2790" i="3"/>
  <c r="B2790" i="3"/>
  <c r="A2790" i="3"/>
  <c r="H2789" i="3"/>
  <c r="G2789" i="3"/>
  <c r="F2789" i="3"/>
  <c r="E2789" i="3"/>
  <c r="D2789" i="3"/>
  <c r="C2789" i="3"/>
  <c r="B2789" i="3"/>
  <c r="A2789" i="3"/>
  <c r="H2788" i="3"/>
  <c r="G2788" i="3"/>
  <c r="F2788" i="3"/>
  <c r="E2788" i="3"/>
  <c r="D2788" i="3"/>
  <c r="C2788" i="3"/>
  <c r="B2788" i="3"/>
  <c r="A2788" i="3"/>
  <c r="H2787" i="3"/>
  <c r="G2787" i="3"/>
  <c r="F2787" i="3"/>
  <c r="E2787" i="3"/>
  <c r="D2787" i="3"/>
  <c r="C2787" i="3"/>
  <c r="B2787" i="3"/>
  <c r="A2787" i="3"/>
  <c r="H2786" i="3"/>
  <c r="G2786" i="3"/>
  <c r="F2786" i="3"/>
  <c r="E2786" i="3"/>
  <c r="D2786" i="3"/>
  <c r="C2786" i="3"/>
  <c r="B2786" i="3"/>
  <c r="A2786" i="3"/>
  <c r="H2785" i="3"/>
  <c r="G2785" i="3"/>
  <c r="F2785" i="3"/>
  <c r="E2785" i="3"/>
  <c r="D2785" i="3"/>
  <c r="C2785" i="3"/>
  <c r="B2785" i="3"/>
  <c r="A2785" i="3"/>
  <c r="H2784" i="3"/>
  <c r="G2784" i="3"/>
  <c r="F2784" i="3"/>
  <c r="E2784" i="3"/>
  <c r="D2784" i="3"/>
  <c r="C2784" i="3"/>
  <c r="B2784" i="3"/>
  <c r="A2784" i="3"/>
  <c r="H2783" i="3"/>
  <c r="G2783" i="3"/>
  <c r="F2783" i="3"/>
  <c r="E2783" i="3"/>
  <c r="D2783" i="3"/>
  <c r="C2783" i="3"/>
  <c r="B2783" i="3"/>
  <c r="A2783" i="3"/>
  <c r="H2782" i="3"/>
  <c r="G2782" i="3"/>
  <c r="F2782" i="3"/>
  <c r="E2782" i="3"/>
  <c r="D2782" i="3"/>
  <c r="C2782" i="3"/>
  <c r="B2782" i="3"/>
  <c r="A2782" i="3"/>
  <c r="H2781" i="3"/>
  <c r="G2781" i="3"/>
  <c r="F2781" i="3"/>
  <c r="E2781" i="3"/>
  <c r="D2781" i="3"/>
  <c r="C2781" i="3"/>
  <c r="B2781" i="3"/>
  <c r="A2781" i="3"/>
  <c r="H2780" i="3"/>
  <c r="G2780" i="3"/>
  <c r="F2780" i="3"/>
  <c r="E2780" i="3"/>
  <c r="D2780" i="3"/>
  <c r="C2780" i="3"/>
  <c r="B2780" i="3"/>
  <c r="A2780" i="3"/>
  <c r="H2779" i="3"/>
  <c r="G2779" i="3"/>
  <c r="F2779" i="3"/>
  <c r="E2779" i="3"/>
  <c r="D2779" i="3"/>
  <c r="C2779" i="3"/>
  <c r="B2779" i="3"/>
  <c r="A2779" i="3"/>
  <c r="H2778" i="3"/>
  <c r="G2778" i="3"/>
  <c r="F2778" i="3"/>
  <c r="E2778" i="3"/>
  <c r="D2778" i="3"/>
  <c r="C2778" i="3"/>
  <c r="B2778" i="3"/>
  <c r="A2778" i="3"/>
  <c r="H2777" i="3"/>
  <c r="G2777" i="3"/>
  <c r="F2777" i="3"/>
  <c r="E2777" i="3"/>
  <c r="D2777" i="3"/>
  <c r="C2777" i="3"/>
  <c r="B2777" i="3"/>
  <c r="A2777" i="3"/>
  <c r="H2776" i="3"/>
  <c r="G2776" i="3"/>
  <c r="F2776" i="3"/>
  <c r="E2776" i="3"/>
  <c r="D2776" i="3"/>
  <c r="C2776" i="3"/>
  <c r="B2776" i="3"/>
  <c r="A2776" i="3"/>
  <c r="H2775" i="3"/>
  <c r="G2775" i="3"/>
  <c r="F2775" i="3"/>
  <c r="E2775" i="3"/>
  <c r="D2775" i="3"/>
  <c r="C2775" i="3"/>
  <c r="B2775" i="3"/>
  <c r="A2775" i="3"/>
  <c r="H2774" i="3"/>
  <c r="G2774" i="3"/>
  <c r="F2774" i="3"/>
  <c r="E2774" i="3"/>
  <c r="D2774" i="3"/>
  <c r="C2774" i="3"/>
  <c r="B2774" i="3"/>
  <c r="A2774" i="3"/>
  <c r="H2773" i="3"/>
  <c r="G2773" i="3"/>
  <c r="F2773" i="3"/>
  <c r="E2773" i="3"/>
  <c r="D2773" i="3"/>
  <c r="C2773" i="3"/>
  <c r="B2773" i="3"/>
  <c r="A2773" i="3"/>
  <c r="H2772" i="3"/>
  <c r="G2772" i="3"/>
  <c r="F2772" i="3"/>
  <c r="E2772" i="3"/>
  <c r="D2772" i="3"/>
  <c r="C2772" i="3"/>
  <c r="B2772" i="3"/>
  <c r="A2772" i="3"/>
  <c r="H2771" i="3"/>
  <c r="G2771" i="3"/>
  <c r="F2771" i="3"/>
  <c r="E2771" i="3"/>
  <c r="D2771" i="3"/>
  <c r="C2771" i="3"/>
  <c r="B2771" i="3"/>
  <c r="A2771" i="3"/>
  <c r="H2770" i="3"/>
  <c r="G2770" i="3"/>
  <c r="F2770" i="3"/>
  <c r="E2770" i="3"/>
  <c r="D2770" i="3"/>
  <c r="C2770" i="3"/>
  <c r="B2770" i="3"/>
  <c r="A2770" i="3"/>
  <c r="H2769" i="3"/>
  <c r="G2769" i="3"/>
  <c r="F2769" i="3"/>
  <c r="E2769" i="3"/>
  <c r="D2769" i="3"/>
  <c r="C2769" i="3"/>
  <c r="B2769" i="3"/>
  <c r="A2769" i="3"/>
  <c r="H2768" i="3"/>
  <c r="G2768" i="3"/>
  <c r="F2768" i="3"/>
  <c r="E2768" i="3"/>
  <c r="D2768" i="3"/>
  <c r="C2768" i="3"/>
  <c r="B2768" i="3"/>
  <c r="A2768" i="3"/>
  <c r="H2767" i="3"/>
  <c r="G2767" i="3"/>
  <c r="F2767" i="3"/>
  <c r="E2767" i="3"/>
  <c r="D2767" i="3"/>
  <c r="C2767" i="3"/>
  <c r="B2767" i="3"/>
  <c r="A2767" i="3"/>
  <c r="H2766" i="3"/>
  <c r="G2766" i="3"/>
  <c r="F2766" i="3"/>
  <c r="E2766" i="3"/>
  <c r="D2766" i="3"/>
  <c r="C2766" i="3"/>
  <c r="B2766" i="3"/>
  <c r="A2766" i="3"/>
  <c r="H2765" i="3"/>
  <c r="G2765" i="3"/>
  <c r="F2765" i="3"/>
  <c r="E2765" i="3"/>
  <c r="D2765" i="3"/>
  <c r="C2765" i="3"/>
  <c r="B2765" i="3"/>
  <c r="A2765" i="3"/>
  <c r="H2764" i="3"/>
  <c r="G2764" i="3"/>
  <c r="F2764" i="3"/>
  <c r="E2764" i="3"/>
  <c r="D2764" i="3"/>
  <c r="C2764" i="3"/>
  <c r="B2764" i="3"/>
  <c r="A2764" i="3"/>
  <c r="H2763" i="3"/>
  <c r="G2763" i="3"/>
  <c r="F2763" i="3"/>
  <c r="E2763" i="3"/>
  <c r="D2763" i="3"/>
  <c r="C2763" i="3"/>
  <c r="B2763" i="3"/>
  <c r="A2763" i="3"/>
  <c r="H2762" i="3"/>
  <c r="G2762" i="3"/>
  <c r="F2762" i="3"/>
  <c r="E2762" i="3"/>
  <c r="D2762" i="3"/>
  <c r="C2762" i="3"/>
  <c r="B2762" i="3"/>
  <c r="A2762" i="3"/>
  <c r="H2761" i="3"/>
  <c r="G2761" i="3"/>
  <c r="F2761" i="3"/>
  <c r="E2761" i="3"/>
  <c r="D2761" i="3"/>
  <c r="C2761" i="3"/>
  <c r="B2761" i="3"/>
  <c r="A2761" i="3"/>
  <c r="H2760" i="3"/>
  <c r="G2760" i="3"/>
  <c r="F2760" i="3"/>
  <c r="E2760" i="3"/>
  <c r="D2760" i="3"/>
  <c r="C2760" i="3"/>
  <c r="B2760" i="3"/>
  <c r="A2760" i="3"/>
  <c r="H2759" i="3"/>
  <c r="G2759" i="3"/>
  <c r="F2759" i="3"/>
  <c r="E2759" i="3"/>
  <c r="D2759" i="3"/>
  <c r="C2759" i="3"/>
  <c r="B2759" i="3"/>
  <c r="A2759" i="3"/>
  <c r="H2758" i="3"/>
  <c r="G2758" i="3"/>
  <c r="F2758" i="3"/>
  <c r="E2758" i="3"/>
  <c r="D2758" i="3"/>
  <c r="C2758" i="3"/>
  <c r="B2758" i="3"/>
  <c r="A2758" i="3"/>
  <c r="H2757" i="3"/>
  <c r="G2757" i="3"/>
  <c r="F2757" i="3"/>
  <c r="E2757" i="3"/>
  <c r="D2757" i="3"/>
  <c r="C2757" i="3"/>
  <c r="B2757" i="3"/>
  <c r="A2757" i="3"/>
  <c r="H2756" i="3"/>
  <c r="G2756" i="3"/>
  <c r="F2756" i="3"/>
  <c r="E2756" i="3"/>
  <c r="D2756" i="3"/>
  <c r="C2756" i="3"/>
  <c r="B2756" i="3"/>
  <c r="A2756" i="3"/>
  <c r="H2755" i="3"/>
  <c r="G2755" i="3"/>
  <c r="F2755" i="3"/>
  <c r="E2755" i="3"/>
  <c r="D2755" i="3"/>
  <c r="C2755" i="3"/>
  <c r="B2755" i="3"/>
  <c r="A2755" i="3"/>
  <c r="H2754" i="3"/>
  <c r="G2754" i="3"/>
  <c r="F2754" i="3"/>
  <c r="E2754" i="3"/>
  <c r="D2754" i="3"/>
  <c r="C2754" i="3"/>
  <c r="B2754" i="3"/>
  <c r="A2754" i="3"/>
  <c r="H2753" i="3"/>
  <c r="G2753" i="3"/>
  <c r="F2753" i="3"/>
  <c r="E2753" i="3"/>
  <c r="D2753" i="3"/>
  <c r="C2753" i="3"/>
  <c r="B2753" i="3"/>
  <c r="A2753" i="3"/>
  <c r="H2752" i="3"/>
  <c r="G2752" i="3"/>
  <c r="F2752" i="3"/>
  <c r="E2752" i="3"/>
  <c r="D2752" i="3"/>
  <c r="C2752" i="3"/>
  <c r="B2752" i="3"/>
  <c r="A2752" i="3"/>
  <c r="H2751" i="3"/>
  <c r="G2751" i="3"/>
  <c r="F2751" i="3"/>
  <c r="E2751" i="3"/>
  <c r="D2751" i="3"/>
  <c r="C2751" i="3"/>
  <c r="B2751" i="3"/>
  <c r="A2751" i="3"/>
  <c r="H2750" i="3"/>
  <c r="G2750" i="3"/>
  <c r="F2750" i="3"/>
  <c r="E2750" i="3"/>
  <c r="D2750" i="3"/>
  <c r="C2750" i="3"/>
  <c r="B2750" i="3"/>
  <c r="A2750" i="3"/>
  <c r="H2749" i="3"/>
  <c r="G2749" i="3"/>
  <c r="F2749" i="3"/>
  <c r="E2749" i="3"/>
  <c r="D2749" i="3"/>
  <c r="C2749" i="3"/>
  <c r="B2749" i="3"/>
  <c r="A2749" i="3"/>
  <c r="H2748" i="3"/>
  <c r="G2748" i="3"/>
  <c r="F2748" i="3"/>
  <c r="E2748" i="3"/>
  <c r="D2748" i="3"/>
  <c r="C2748" i="3"/>
  <c r="B2748" i="3"/>
  <c r="A2748" i="3"/>
  <c r="H2747" i="3"/>
  <c r="G2747" i="3"/>
  <c r="F2747" i="3"/>
  <c r="E2747" i="3"/>
  <c r="D2747" i="3"/>
  <c r="C2747" i="3"/>
  <c r="B2747" i="3"/>
  <c r="A2747" i="3"/>
  <c r="H2746" i="3"/>
  <c r="G2746" i="3"/>
  <c r="F2746" i="3"/>
  <c r="E2746" i="3"/>
  <c r="D2746" i="3"/>
  <c r="C2746" i="3"/>
  <c r="B2746" i="3"/>
  <c r="A2746" i="3"/>
  <c r="H2745" i="3"/>
  <c r="G2745" i="3"/>
  <c r="F2745" i="3"/>
  <c r="E2745" i="3"/>
  <c r="D2745" i="3"/>
  <c r="C2745" i="3"/>
  <c r="B2745" i="3"/>
  <c r="A2745" i="3"/>
  <c r="H2744" i="3"/>
  <c r="G2744" i="3"/>
  <c r="F2744" i="3"/>
  <c r="E2744" i="3"/>
  <c r="D2744" i="3"/>
  <c r="C2744" i="3"/>
  <c r="B2744" i="3"/>
  <c r="A2744" i="3"/>
  <c r="H2743" i="3"/>
  <c r="G2743" i="3"/>
  <c r="F2743" i="3"/>
  <c r="E2743" i="3"/>
  <c r="D2743" i="3"/>
  <c r="C2743" i="3"/>
  <c r="B2743" i="3"/>
  <c r="A2743" i="3"/>
  <c r="H2742" i="3"/>
  <c r="G2742" i="3"/>
  <c r="F2742" i="3"/>
  <c r="E2742" i="3"/>
  <c r="D2742" i="3"/>
  <c r="C2742" i="3"/>
  <c r="B2742" i="3"/>
  <c r="A2742" i="3"/>
  <c r="H2741" i="3"/>
  <c r="G2741" i="3"/>
  <c r="F2741" i="3"/>
  <c r="E2741" i="3"/>
  <c r="D2741" i="3"/>
  <c r="C2741" i="3"/>
  <c r="B2741" i="3"/>
  <c r="A2741" i="3"/>
  <c r="H2740" i="3"/>
  <c r="G2740" i="3"/>
  <c r="F2740" i="3"/>
  <c r="E2740" i="3"/>
  <c r="D2740" i="3"/>
  <c r="C2740" i="3"/>
  <c r="B2740" i="3"/>
  <c r="A2740" i="3"/>
  <c r="H2739" i="3"/>
  <c r="G2739" i="3"/>
  <c r="F2739" i="3"/>
  <c r="E2739" i="3"/>
  <c r="D2739" i="3"/>
  <c r="C2739" i="3"/>
  <c r="B2739" i="3"/>
  <c r="A2739" i="3"/>
  <c r="H2738" i="3"/>
  <c r="G2738" i="3"/>
  <c r="F2738" i="3"/>
  <c r="E2738" i="3"/>
  <c r="D2738" i="3"/>
  <c r="C2738" i="3"/>
  <c r="B2738" i="3"/>
  <c r="A2738" i="3"/>
  <c r="H2737" i="3"/>
  <c r="G2737" i="3"/>
  <c r="F2737" i="3"/>
  <c r="E2737" i="3"/>
  <c r="D2737" i="3"/>
  <c r="C2737" i="3"/>
  <c r="B2737" i="3"/>
  <c r="A2737" i="3"/>
  <c r="H2736" i="3"/>
  <c r="G2736" i="3"/>
  <c r="F2736" i="3"/>
  <c r="E2736" i="3"/>
  <c r="D2736" i="3"/>
  <c r="C2736" i="3"/>
  <c r="B2736" i="3"/>
  <c r="A2736" i="3"/>
  <c r="H2735" i="3"/>
  <c r="G2735" i="3"/>
  <c r="F2735" i="3"/>
  <c r="E2735" i="3"/>
  <c r="D2735" i="3"/>
  <c r="C2735" i="3"/>
  <c r="B2735" i="3"/>
  <c r="A2735" i="3"/>
  <c r="H2734" i="3"/>
  <c r="G2734" i="3"/>
  <c r="F2734" i="3"/>
  <c r="E2734" i="3"/>
  <c r="D2734" i="3"/>
  <c r="C2734" i="3"/>
  <c r="B2734" i="3"/>
  <c r="A2734" i="3"/>
  <c r="H2733" i="3"/>
  <c r="G2733" i="3"/>
  <c r="F2733" i="3"/>
  <c r="E2733" i="3"/>
  <c r="D2733" i="3"/>
  <c r="C2733" i="3"/>
  <c r="B2733" i="3"/>
  <c r="A2733" i="3"/>
  <c r="H2732" i="3"/>
  <c r="G2732" i="3"/>
  <c r="F2732" i="3"/>
  <c r="E2732" i="3"/>
  <c r="D2732" i="3"/>
  <c r="C2732" i="3"/>
  <c r="B2732" i="3"/>
  <c r="A2732" i="3"/>
  <c r="H2731" i="3"/>
  <c r="G2731" i="3"/>
  <c r="F2731" i="3"/>
  <c r="E2731" i="3"/>
  <c r="D2731" i="3"/>
  <c r="C2731" i="3"/>
  <c r="B2731" i="3"/>
  <c r="A2731" i="3"/>
  <c r="H2730" i="3"/>
  <c r="G2730" i="3"/>
  <c r="F2730" i="3"/>
  <c r="E2730" i="3"/>
  <c r="D2730" i="3"/>
  <c r="C2730" i="3"/>
  <c r="B2730" i="3"/>
  <c r="A2730" i="3"/>
  <c r="H2729" i="3"/>
  <c r="G2729" i="3"/>
  <c r="F2729" i="3"/>
  <c r="E2729" i="3"/>
  <c r="D2729" i="3"/>
  <c r="C2729" i="3"/>
  <c r="B2729" i="3"/>
  <c r="A2729" i="3"/>
  <c r="H2728" i="3"/>
  <c r="G2728" i="3"/>
  <c r="F2728" i="3"/>
  <c r="E2728" i="3"/>
  <c r="D2728" i="3"/>
  <c r="C2728" i="3"/>
  <c r="B2728" i="3"/>
  <c r="A2728" i="3"/>
  <c r="H2727" i="3"/>
  <c r="G2727" i="3"/>
  <c r="F2727" i="3"/>
  <c r="E2727" i="3"/>
  <c r="D2727" i="3"/>
  <c r="C2727" i="3"/>
  <c r="B2727" i="3"/>
  <c r="A2727" i="3"/>
  <c r="H2726" i="3"/>
  <c r="G2726" i="3"/>
  <c r="F2726" i="3"/>
  <c r="E2726" i="3"/>
  <c r="D2726" i="3"/>
  <c r="C2726" i="3"/>
  <c r="B2726" i="3"/>
  <c r="A2726" i="3"/>
  <c r="H2725" i="3"/>
  <c r="G2725" i="3"/>
  <c r="F2725" i="3"/>
  <c r="E2725" i="3"/>
  <c r="D2725" i="3"/>
  <c r="C2725" i="3"/>
  <c r="B2725" i="3"/>
  <c r="A2725" i="3"/>
  <c r="H2724" i="3"/>
  <c r="G2724" i="3"/>
  <c r="F2724" i="3"/>
  <c r="E2724" i="3"/>
  <c r="D2724" i="3"/>
  <c r="C2724" i="3"/>
  <c r="B2724" i="3"/>
  <c r="A2724" i="3"/>
  <c r="H2723" i="3"/>
  <c r="G2723" i="3"/>
  <c r="F2723" i="3"/>
  <c r="E2723" i="3"/>
  <c r="D2723" i="3"/>
  <c r="C2723" i="3"/>
  <c r="B2723" i="3"/>
  <c r="A2723" i="3"/>
  <c r="H2722" i="3"/>
  <c r="G2722" i="3"/>
  <c r="F2722" i="3"/>
  <c r="E2722" i="3"/>
  <c r="D2722" i="3"/>
  <c r="C2722" i="3"/>
  <c r="B2722" i="3"/>
  <c r="A2722" i="3"/>
  <c r="H2721" i="3"/>
  <c r="G2721" i="3"/>
  <c r="F2721" i="3"/>
  <c r="E2721" i="3"/>
  <c r="D2721" i="3"/>
  <c r="C2721" i="3"/>
  <c r="B2721" i="3"/>
  <c r="A2721" i="3"/>
  <c r="H2720" i="3"/>
  <c r="G2720" i="3"/>
  <c r="F2720" i="3"/>
  <c r="E2720" i="3"/>
  <c r="D2720" i="3"/>
  <c r="C2720" i="3"/>
  <c r="B2720" i="3"/>
  <c r="A2720" i="3"/>
  <c r="H2719" i="3"/>
  <c r="G2719" i="3"/>
  <c r="F2719" i="3"/>
  <c r="E2719" i="3"/>
  <c r="D2719" i="3"/>
  <c r="C2719" i="3"/>
  <c r="B2719" i="3"/>
  <c r="A2719" i="3"/>
  <c r="H2718" i="3"/>
  <c r="G2718" i="3"/>
  <c r="F2718" i="3"/>
  <c r="E2718" i="3"/>
  <c r="D2718" i="3"/>
  <c r="C2718" i="3"/>
  <c r="B2718" i="3"/>
  <c r="A2718" i="3"/>
  <c r="H2717" i="3"/>
  <c r="G2717" i="3"/>
  <c r="F2717" i="3"/>
  <c r="E2717" i="3"/>
  <c r="D2717" i="3"/>
  <c r="C2717" i="3"/>
  <c r="B2717" i="3"/>
  <c r="A2717" i="3"/>
  <c r="H2716" i="3"/>
  <c r="G2716" i="3"/>
  <c r="F2716" i="3"/>
  <c r="E2716" i="3"/>
  <c r="D2716" i="3"/>
  <c r="C2716" i="3"/>
  <c r="B2716" i="3"/>
  <c r="A2716" i="3"/>
  <c r="H2715" i="3"/>
  <c r="G2715" i="3"/>
  <c r="F2715" i="3"/>
  <c r="E2715" i="3"/>
  <c r="D2715" i="3"/>
  <c r="C2715" i="3"/>
  <c r="B2715" i="3"/>
  <c r="A2715" i="3"/>
  <c r="H2714" i="3"/>
  <c r="G2714" i="3"/>
  <c r="F2714" i="3"/>
  <c r="E2714" i="3"/>
  <c r="D2714" i="3"/>
  <c r="C2714" i="3"/>
  <c r="B2714" i="3"/>
  <c r="A2714" i="3"/>
  <c r="H2713" i="3"/>
  <c r="G2713" i="3"/>
  <c r="F2713" i="3"/>
  <c r="E2713" i="3"/>
  <c r="D2713" i="3"/>
  <c r="C2713" i="3"/>
  <c r="B2713" i="3"/>
  <c r="A2713" i="3"/>
  <c r="H2712" i="3"/>
  <c r="G2712" i="3"/>
  <c r="F2712" i="3"/>
  <c r="E2712" i="3"/>
  <c r="D2712" i="3"/>
  <c r="C2712" i="3"/>
  <c r="B2712" i="3"/>
  <c r="A2712" i="3"/>
  <c r="H2711" i="3"/>
  <c r="G2711" i="3"/>
  <c r="F2711" i="3"/>
  <c r="E2711" i="3"/>
  <c r="D2711" i="3"/>
  <c r="C2711" i="3"/>
  <c r="B2711" i="3"/>
  <c r="A2711" i="3"/>
  <c r="H2710" i="3"/>
  <c r="G2710" i="3"/>
  <c r="F2710" i="3"/>
  <c r="E2710" i="3"/>
  <c r="D2710" i="3"/>
  <c r="C2710" i="3"/>
  <c r="B2710" i="3"/>
  <c r="A2710" i="3"/>
  <c r="H2709" i="3"/>
  <c r="G2709" i="3"/>
  <c r="F2709" i="3"/>
  <c r="E2709" i="3"/>
  <c r="D2709" i="3"/>
  <c r="C2709" i="3"/>
  <c r="B2709" i="3"/>
  <c r="A2709" i="3"/>
  <c r="H2708" i="3"/>
  <c r="G2708" i="3"/>
  <c r="F2708" i="3"/>
  <c r="E2708" i="3"/>
  <c r="D2708" i="3"/>
  <c r="C2708" i="3"/>
  <c r="B2708" i="3"/>
  <c r="A2708" i="3"/>
  <c r="H2707" i="3"/>
  <c r="G2707" i="3"/>
  <c r="F2707" i="3"/>
  <c r="E2707" i="3"/>
  <c r="D2707" i="3"/>
  <c r="C2707" i="3"/>
  <c r="B2707" i="3"/>
  <c r="A2707" i="3"/>
  <c r="H2706" i="3"/>
  <c r="G2706" i="3"/>
  <c r="F2706" i="3"/>
  <c r="E2706" i="3"/>
  <c r="D2706" i="3"/>
  <c r="C2706" i="3"/>
  <c r="B2706" i="3"/>
  <c r="A2706" i="3"/>
  <c r="H2705" i="3"/>
  <c r="G2705" i="3"/>
  <c r="F2705" i="3"/>
  <c r="E2705" i="3"/>
  <c r="D2705" i="3"/>
  <c r="C2705" i="3"/>
  <c r="B2705" i="3"/>
  <c r="A2705" i="3"/>
  <c r="H2704" i="3"/>
  <c r="G2704" i="3"/>
  <c r="F2704" i="3"/>
  <c r="E2704" i="3"/>
  <c r="D2704" i="3"/>
  <c r="C2704" i="3"/>
  <c r="B2704" i="3"/>
  <c r="A2704" i="3"/>
  <c r="H2703" i="3"/>
  <c r="G2703" i="3"/>
  <c r="F2703" i="3"/>
  <c r="E2703" i="3"/>
  <c r="D2703" i="3"/>
  <c r="C2703" i="3"/>
  <c r="B2703" i="3"/>
  <c r="A2703" i="3"/>
  <c r="H2702" i="3"/>
  <c r="G2702" i="3"/>
  <c r="F2702" i="3"/>
  <c r="E2702" i="3"/>
  <c r="D2702" i="3"/>
  <c r="C2702" i="3"/>
  <c r="B2702" i="3"/>
  <c r="A2702" i="3"/>
  <c r="H2701" i="3"/>
  <c r="G2701" i="3"/>
  <c r="F2701" i="3"/>
  <c r="E2701" i="3"/>
  <c r="D2701" i="3"/>
  <c r="C2701" i="3"/>
  <c r="B2701" i="3"/>
  <c r="A2701" i="3"/>
  <c r="H2700" i="3"/>
  <c r="G2700" i="3"/>
  <c r="F2700" i="3"/>
  <c r="E2700" i="3"/>
  <c r="D2700" i="3"/>
  <c r="C2700" i="3"/>
  <c r="B2700" i="3"/>
  <c r="A2700" i="3"/>
  <c r="H2699" i="3"/>
  <c r="G2699" i="3"/>
  <c r="F2699" i="3"/>
  <c r="E2699" i="3"/>
  <c r="D2699" i="3"/>
  <c r="C2699" i="3"/>
  <c r="B2699" i="3"/>
  <c r="A2699" i="3"/>
  <c r="H2698" i="3"/>
  <c r="G2698" i="3"/>
  <c r="F2698" i="3"/>
  <c r="E2698" i="3"/>
  <c r="D2698" i="3"/>
  <c r="C2698" i="3"/>
  <c r="B2698" i="3"/>
  <c r="A2698" i="3"/>
  <c r="H2697" i="3"/>
  <c r="G2697" i="3"/>
  <c r="F2697" i="3"/>
  <c r="E2697" i="3"/>
  <c r="D2697" i="3"/>
  <c r="C2697" i="3"/>
  <c r="B2697" i="3"/>
  <c r="A2697" i="3"/>
  <c r="H2696" i="3"/>
  <c r="G2696" i="3"/>
  <c r="F2696" i="3"/>
  <c r="E2696" i="3"/>
  <c r="D2696" i="3"/>
  <c r="C2696" i="3"/>
  <c r="B2696" i="3"/>
  <c r="A2696" i="3"/>
  <c r="H2695" i="3"/>
  <c r="G2695" i="3"/>
  <c r="F2695" i="3"/>
  <c r="E2695" i="3"/>
  <c r="D2695" i="3"/>
  <c r="C2695" i="3"/>
  <c r="B2695" i="3"/>
  <c r="A2695" i="3"/>
  <c r="H2694" i="3"/>
  <c r="G2694" i="3"/>
  <c r="F2694" i="3"/>
  <c r="E2694" i="3"/>
  <c r="D2694" i="3"/>
  <c r="C2694" i="3"/>
  <c r="B2694" i="3"/>
  <c r="A2694" i="3"/>
  <c r="H2693" i="3"/>
  <c r="G2693" i="3"/>
  <c r="F2693" i="3"/>
  <c r="E2693" i="3"/>
  <c r="D2693" i="3"/>
  <c r="C2693" i="3"/>
  <c r="B2693" i="3"/>
  <c r="A2693" i="3"/>
  <c r="H2692" i="3"/>
  <c r="G2692" i="3"/>
  <c r="F2692" i="3"/>
  <c r="E2692" i="3"/>
  <c r="D2692" i="3"/>
  <c r="C2692" i="3"/>
  <c r="B2692" i="3"/>
  <c r="A2692" i="3"/>
  <c r="H2691" i="3"/>
  <c r="G2691" i="3"/>
  <c r="F2691" i="3"/>
  <c r="E2691" i="3"/>
  <c r="D2691" i="3"/>
  <c r="C2691" i="3"/>
  <c r="B2691" i="3"/>
  <c r="A2691" i="3"/>
  <c r="H2690" i="3"/>
  <c r="G2690" i="3"/>
  <c r="F2690" i="3"/>
  <c r="E2690" i="3"/>
  <c r="D2690" i="3"/>
  <c r="C2690" i="3"/>
  <c r="B2690" i="3"/>
  <c r="A2690" i="3"/>
  <c r="H2689" i="3"/>
  <c r="G2689" i="3"/>
  <c r="F2689" i="3"/>
  <c r="E2689" i="3"/>
  <c r="D2689" i="3"/>
  <c r="C2689" i="3"/>
  <c r="B2689" i="3"/>
  <c r="A2689" i="3"/>
  <c r="H2688" i="3"/>
  <c r="G2688" i="3"/>
  <c r="F2688" i="3"/>
  <c r="E2688" i="3"/>
  <c r="D2688" i="3"/>
  <c r="C2688" i="3"/>
  <c r="B2688" i="3"/>
  <c r="A2688" i="3"/>
  <c r="H2687" i="3"/>
  <c r="G2687" i="3"/>
  <c r="F2687" i="3"/>
  <c r="E2687" i="3"/>
  <c r="D2687" i="3"/>
  <c r="C2687" i="3"/>
  <c r="B2687" i="3"/>
  <c r="A2687" i="3"/>
  <c r="H2686" i="3"/>
  <c r="G2686" i="3"/>
  <c r="F2686" i="3"/>
  <c r="E2686" i="3"/>
  <c r="D2686" i="3"/>
  <c r="C2686" i="3"/>
  <c r="B2686" i="3"/>
  <c r="A2686" i="3"/>
  <c r="H2685" i="3"/>
  <c r="G2685" i="3"/>
  <c r="F2685" i="3"/>
  <c r="E2685" i="3"/>
  <c r="D2685" i="3"/>
  <c r="C2685" i="3"/>
  <c r="B2685" i="3"/>
  <c r="A2685" i="3"/>
  <c r="H2684" i="3"/>
  <c r="G2684" i="3"/>
  <c r="F2684" i="3"/>
  <c r="E2684" i="3"/>
  <c r="D2684" i="3"/>
  <c r="C2684" i="3"/>
  <c r="B2684" i="3"/>
  <c r="A2684" i="3"/>
  <c r="H2683" i="3"/>
  <c r="G2683" i="3"/>
  <c r="F2683" i="3"/>
  <c r="E2683" i="3"/>
  <c r="D2683" i="3"/>
  <c r="C2683" i="3"/>
  <c r="B2683" i="3"/>
  <c r="A2683" i="3"/>
  <c r="H2682" i="3"/>
  <c r="G2682" i="3"/>
  <c r="F2682" i="3"/>
  <c r="E2682" i="3"/>
  <c r="D2682" i="3"/>
  <c r="C2682" i="3"/>
  <c r="B2682" i="3"/>
  <c r="A2682" i="3"/>
  <c r="H2681" i="3"/>
  <c r="G2681" i="3"/>
  <c r="F2681" i="3"/>
  <c r="E2681" i="3"/>
  <c r="D2681" i="3"/>
  <c r="C2681" i="3"/>
  <c r="B2681" i="3"/>
  <c r="A2681" i="3"/>
  <c r="H2680" i="3"/>
  <c r="G2680" i="3"/>
  <c r="F2680" i="3"/>
  <c r="E2680" i="3"/>
  <c r="D2680" i="3"/>
  <c r="C2680" i="3"/>
  <c r="B2680" i="3"/>
  <c r="A2680" i="3"/>
  <c r="H2679" i="3"/>
  <c r="G2679" i="3"/>
  <c r="F2679" i="3"/>
  <c r="E2679" i="3"/>
  <c r="D2679" i="3"/>
  <c r="C2679" i="3"/>
  <c r="B2679" i="3"/>
  <c r="A2679" i="3"/>
  <c r="H2678" i="3"/>
  <c r="G2678" i="3"/>
  <c r="F2678" i="3"/>
  <c r="E2678" i="3"/>
  <c r="D2678" i="3"/>
  <c r="C2678" i="3"/>
  <c r="B2678" i="3"/>
  <c r="A2678" i="3"/>
  <c r="H2677" i="3"/>
  <c r="G2677" i="3"/>
  <c r="F2677" i="3"/>
  <c r="E2677" i="3"/>
  <c r="D2677" i="3"/>
  <c r="C2677" i="3"/>
  <c r="B2677" i="3"/>
  <c r="A2677" i="3"/>
  <c r="H2676" i="3"/>
  <c r="G2676" i="3"/>
  <c r="F2676" i="3"/>
  <c r="E2676" i="3"/>
  <c r="D2676" i="3"/>
  <c r="C2676" i="3"/>
  <c r="B2676" i="3"/>
  <c r="A2676" i="3"/>
  <c r="H2675" i="3"/>
  <c r="G2675" i="3"/>
  <c r="F2675" i="3"/>
  <c r="E2675" i="3"/>
  <c r="D2675" i="3"/>
  <c r="C2675" i="3"/>
  <c r="B2675" i="3"/>
  <c r="A2675" i="3"/>
  <c r="H2674" i="3"/>
  <c r="G2674" i="3"/>
  <c r="F2674" i="3"/>
  <c r="E2674" i="3"/>
  <c r="D2674" i="3"/>
  <c r="C2674" i="3"/>
  <c r="B2674" i="3"/>
  <c r="A2674" i="3"/>
  <c r="H2673" i="3"/>
  <c r="G2673" i="3"/>
  <c r="F2673" i="3"/>
  <c r="E2673" i="3"/>
  <c r="D2673" i="3"/>
  <c r="C2673" i="3"/>
  <c r="B2673" i="3"/>
  <c r="A2673" i="3"/>
  <c r="H2672" i="3"/>
  <c r="G2672" i="3"/>
  <c r="F2672" i="3"/>
  <c r="E2672" i="3"/>
  <c r="D2672" i="3"/>
  <c r="C2672" i="3"/>
  <c r="B2672" i="3"/>
  <c r="A2672" i="3"/>
  <c r="H2671" i="3"/>
  <c r="G2671" i="3"/>
  <c r="F2671" i="3"/>
  <c r="E2671" i="3"/>
  <c r="D2671" i="3"/>
  <c r="C2671" i="3"/>
  <c r="B2671" i="3"/>
  <c r="A2671" i="3"/>
  <c r="H2670" i="3"/>
  <c r="G2670" i="3"/>
  <c r="F2670" i="3"/>
  <c r="E2670" i="3"/>
  <c r="D2670" i="3"/>
  <c r="C2670" i="3"/>
  <c r="B2670" i="3"/>
  <c r="A2670" i="3"/>
  <c r="H2669" i="3"/>
  <c r="G2669" i="3"/>
  <c r="F2669" i="3"/>
  <c r="E2669" i="3"/>
  <c r="D2669" i="3"/>
  <c r="C2669" i="3"/>
  <c r="B2669" i="3"/>
  <c r="A2669" i="3"/>
  <c r="H2668" i="3"/>
  <c r="G2668" i="3"/>
  <c r="F2668" i="3"/>
  <c r="E2668" i="3"/>
  <c r="D2668" i="3"/>
  <c r="C2668" i="3"/>
  <c r="B2668" i="3"/>
  <c r="A2668" i="3"/>
  <c r="H2667" i="3"/>
  <c r="G2667" i="3"/>
  <c r="F2667" i="3"/>
  <c r="E2667" i="3"/>
  <c r="D2667" i="3"/>
  <c r="C2667" i="3"/>
  <c r="B2667" i="3"/>
  <c r="A2667" i="3"/>
  <c r="H2666" i="3"/>
  <c r="G2666" i="3"/>
  <c r="F2666" i="3"/>
  <c r="E2666" i="3"/>
  <c r="D2666" i="3"/>
  <c r="C2666" i="3"/>
  <c r="B2666" i="3"/>
  <c r="A2666" i="3"/>
  <c r="H2665" i="3"/>
  <c r="G2665" i="3"/>
  <c r="F2665" i="3"/>
  <c r="E2665" i="3"/>
  <c r="D2665" i="3"/>
  <c r="C2665" i="3"/>
  <c r="B2665" i="3"/>
  <c r="A2665" i="3"/>
  <c r="H2664" i="3"/>
  <c r="G2664" i="3"/>
  <c r="F2664" i="3"/>
  <c r="E2664" i="3"/>
  <c r="D2664" i="3"/>
  <c r="C2664" i="3"/>
  <c r="B2664" i="3"/>
  <c r="A2664" i="3"/>
  <c r="H2663" i="3"/>
  <c r="G2663" i="3"/>
  <c r="F2663" i="3"/>
  <c r="E2663" i="3"/>
  <c r="D2663" i="3"/>
  <c r="C2663" i="3"/>
  <c r="B2663" i="3"/>
  <c r="A2663" i="3"/>
  <c r="H2662" i="3"/>
  <c r="G2662" i="3"/>
  <c r="F2662" i="3"/>
  <c r="E2662" i="3"/>
  <c r="D2662" i="3"/>
  <c r="C2662" i="3"/>
  <c r="B2662" i="3"/>
  <c r="A2662" i="3"/>
  <c r="H2661" i="3"/>
  <c r="G2661" i="3"/>
  <c r="F2661" i="3"/>
  <c r="E2661" i="3"/>
  <c r="D2661" i="3"/>
  <c r="C2661" i="3"/>
  <c r="B2661" i="3"/>
  <c r="A2661" i="3"/>
  <c r="H2660" i="3"/>
  <c r="G2660" i="3"/>
  <c r="F2660" i="3"/>
  <c r="E2660" i="3"/>
  <c r="D2660" i="3"/>
  <c r="C2660" i="3"/>
  <c r="B2660" i="3"/>
  <c r="A2660" i="3"/>
  <c r="H2659" i="3"/>
  <c r="G2659" i="3"/>
  <c r="F2659" i="3"/>
  <c r="E2659" i="3"/>
  <c r="D2659" i="3"/>
  <c r="C2659" i="3"/>
  <c r="B2659" i="3"/>
  <c r="A2659" i="3"/>
  <c r="H2658" i="3"/>
  <c r="G2658" i="3"/>
  <c r="F2658" i="3"/>
  <c r="E2658" i="3"/>
  <c r="D2658" i="3"/>
  <c r="C2658" i="3"/>
  <c r="B2658" i="3"/>
  <c r="A2658" i="3"/>
  <c r="H2657" i="3"/>
  <c r="G2657" i="3"/>
  <c r="F2657" i="3"/>
  <c r="E2657" i="3"/>
  <c r="D2657" i="3"/>
  <c r="C2657" i="3"/>
  <c r="B2657" i="3"/>
  <c r="A2657" i="3"/>
  <c r="H2656" i="3"/>
  <c r="G2656" i="3"/>
  <c r="F2656" i="3"/>
  <c r="E2656" i="3"/>
  <c r="D2656" i="3"/>
  <c r="C2656" i="3"/>
  <c r="B2656" i="3"/>
  <c r="A2656" i="3"/>
  <c r="H2655" i="3"/>
  <c r="G2655" i="3"/>
  <c r="F2655" i="3"/>
  <c r="E2655" i="3"/>
  <c r="D2655" i="3"/>
  <c r="C2655" i="3"/>
  <c r="B2655" i="3"/>
  <c r="A2655" i="3"/>
  <c r="H2654" i="3"/>
  <c r="G2654" i="3"/>
  <c r="F2654" i="3"/>
  <c r="E2654" i="3"/>
  <c r="D2654" i="3"/>
  <c r="C2654" i="3"/>
  <c r="B2654" i="3"/>
  <c r="A2654" i="3"/>
  <c r="H2653" i="3"/>
  <c r="G2653" i="3"/>
  <c r="F2653" i="3"/>
  <c r="E2653" i="3"/>
  <c r="D2653" i="3"/>
  <c r="C2653" i="3"/>
  <c r="B2653" i="3"/>
  <c r="A2653" i="3"/>
  <c r="H2652" i="3"/>
  <c r="G2652" i="3"/>
  <c r="F2652" i="3"/>
  <c r="E2652" i="3"/>
  <c r="D2652" i="3"/>
  <c r="C2652" i="3"/>
  <c r="B2652" i="3"/>
  <c r="A2652" i="3"/>
  <c r="H2651" i="3"/>
  <c r="G2651" i="3"/>
  <c r="F2651" i="3"/>
  <c r="E2651" i="3"/>
  <c r="D2651" i="3"/>
  <c r="C2651" i="3"/>
  <c r="B2651" i="3"/>
  <c r="A2651" i="3"/>
  <c r="H2650" i="3"/>
  <c r="G2650" i="3"/>
  <c r="F2650" i="3"/>
  <c r="E2650" i="3"/>
  <c r="D2650" i="3"/>
  <c r="C2650" i="3"/>
  <c r="B2650" i="3"/>
  <c r="A2650" i="3"/>
  <c r="H2649" i="3"/>
  <c r="G2649" i="3"/>
  <c r="F2649" i="3"/>
  <c r="E2649" i="3"/>
  <c r="D2649" i="3"/>
  <c r="C2649" i="3"/>
  <c r="B2649" i="3"/>
  <c r="A2649" i="3"/>
  <c r="H2648" i="3"/>
  <c r="G2648" i="3"/>
  <c r="F2648" i="3"/>
  <c r="E2648" i="3"/>
  <c r="D2648" i="3"/>
  <c r="C2648" i="3"/>
  <c r="B2648" i="3"/>
  <c r="A2648" i="3"/>
  <c r="H2647" i="3"/>
  <c r="G2647" i="3"/>
  <c r="F2647" i="3"/>
  <c r="E2647" i="3"/>
  <c r="D2647" i="3"/>
  <c r="C2647" i="3"/>
  <c r="B2647" i="3"/>
  <c r="A2647" i="3"/>
  <c r="H2646" i="3"/>
  <c r="G2646" i="3"/>
  <c r="F2646" i="3"/>
  <c r="E2646" i="3"/>
  <c r="D2646" i="3"/>
  <c r="C2646" i="3"/>
  <c r="B2646" i="3"/>
  <c r="A2646" i="3"/>
  <c r="H2645" i="3"/>
  <c r="G2645" i="3"/>
  <c r="F2645" i="3"/>
  <c r="E2645" i="3"/>
  <c r="D2645" i="3"/>
  <c r="C2645" i="3"/>
  <c r="B2645" i="3"/>
  <c r="A2645" i="3"/>
  <c r="H2644" i="3"/>
  <c r="G2644" i="3"/>
  <c r="F2644" i="3"/>
  <c r="E2644" i="3"/>
  <c r="D2644" i="3"/>
  <c r="C2644" i="3"/>
  <c r="B2644" i="3"/>
  <c r="A2644" i="3"/>
  <c r="H2643" i="3"/>
  <c r="G2643" i="3"/>
  <c r="F2643" i="3"/>
  <c r="E2643" i="3"/>
  <c r="D2643" i="3"/>
  <c r="C2643" i="3"/>
  <c r="B2643" i="3"/>
  <c r="A2643" i="3"/>
  <c r="H2642" i="3"/>
  <c r="G2642" i="3"/>
  <c r="F2642" i="3"/>
  <c r="E2642" i="3"/>
  <c r="D2642" i="3"/>
  <c r="C2642" i="3"/>
  <c r="B2642" i="3"/>
  <c r="A2642" i="3"/>
  <c r="H2641" i="3"/>
  <c r="G2641" i="3"/>
  <c r="F2641" i="3"/>
  <c r="E2641" i="3"/>
  <c r="D2641" i="3"/>
  <c r="C2641" i="3"/>
  <c r="B2641" i="3"/>
  <c r="A2641" i="3"/>
  <c r="H2640" i="3"/>
  <c r="G2640" i="3"/>
  <c r="F2640" i="3"/>
  <c r="E2640" i="3"/>
  <c r="D2640" i="3"/>
  <c r="C2640" i="3"/>
  <c r="B2640" i="3"/>
  <c r="A2640" i="3"/>
  <c r="H2639" i="3"/>
  <c r="G2639" i="3"/>
  <c r="F2639" i="3"/>
  <c r="E2639" i="3"/>
  <c r="D2639" i="3"/>
  <c r="C2639" i="3"/>
  <c r="B2639" i="3"/>
  <c r="A2639" i="3"/>
  <c r="H2638" i="3"/>
  <c r="G2638" i="3"/>
  <c r="F2638" i="3"/>
  <c r="E2638" i="3"/>
  <c r="D2638" i="3"/>
  <c r="C2638" i="3"/>
  <c r="B2638" i="3"/>
  <c r="A2638" i="3"/>
  <c r="H2637" i="3"/>
  <c r="G2637" i="3"/>
  <c r="F2637" i="3"/>
  <c r="E2637" i="3"/>
  <c r="D2637" i="3"/>
  <c r="C2637" i="3"/>
  <c r="B2637" i="3"/>
  <c r="A2637" i="3"/>
  <c r="H2636" i="3"/>
  <c r="G2636" i="3"/>
  <c r="F2636" i="3"/>
  <c r="E2636" i="3"/>
  <c r="D2636" i="3"/>
  <c r="C2636" i="3"/>
  <c r="B2636" i="3"/>
  <c r="A2636" i="3"/>
  <c r="H2635" i="3"/>
  <c r="G2635" i="3"/>
  <c r="F2635" i="3"/>
  <c r="E2635" i="3"/>
  <c r="D2635" i="3"/>
  <c r="C2635" i="3"/>
  <c r="B2635" i="3"/>
  <c r="A2635" i="3"/>
  <c r="H2634" i="3"/>
  <c r="G2634" i="3"/>
  <c r="F2634" i="3"/>
  <c r="E2634" i="3"/>
  <c r="D2634" i="3"/>
  <c r="C2634" i="3"/>
  <c r="B2634" i="3"/>
  <c r="A2634" i="3"/>
  <c r="H2633" i="3"/>
  <c r="G2633" i="3"/>
  <c r="F2633" i="3"/>
  <c r="E2633" i="3"/>
  <c r="D2633" i="3"/>
  <c r="C2633" i="3"/>
  <c r="B2633" i="3"/>
  <c r="A2633" i="3"/>
  <c r="H2632" i="3"/>
  <c r="G2632" i="3"/>
  <c r="F2632" i="3"/>
  <c r="E2632" i="3"/>
  <c r="D2632" i="3"/>
  <c r="C2632" i="3"/>
  <c r="B2632" i="3"/>
  <c r="A2632" i="3"/>
  <c r="H2631" i="3"/>
  <c r="G2631" i="3"/>
  <c r="F2631" i="3"/>
  <c r="E2631" i="3"/>
  <c r="D2631" i="3"/>
  <c r="C2631" i="3"/>
  <c r="B2631" i="3"/>
  <c r="A2631" i="3"/>
  <c r="H2630" i="3"/>
  <c r="G2630" i="3"/>
  <c r="F2630" i="3"/>
  <c r="E2630" i="3"/>
  <c r="D2630" i="3"/>
  <c r="C2630" i="3"/>
  <c r="B2630" i="3"/>
  <c r="A2630" i="3"/>
  <c r="H2629" i="3"/>
  <c r="G2629" i="3"/>
  <c r="F2629" i="3"/>
  <c r="E2629" i="3"/>
  <c r="D2629" i="3"/>
  <c r="C2629" i="3"/>
  <c r="B2629" i="3"/>
  <c r="A2629" i="3"/>
  <c r="H2628" i="3"/>
  <c r="G2628" i="3"/>
  <c r="F2628" i="3"/>
  <c r="E2628" i="3"/>
  <c r="D2628" i="3"/>
  <c r="C2628" i="3"/>
  <c r="B2628" i="3"/>
  <c r="A2628" i="3"/>
  <c r="H2627" i="3"/>
  <c r="G2627" i="3"/>
  <c r="F2627" i="3"/>
  <c r="E2627" i="3"/>
  <c r="D2627" i="3"/>
  <c r="C2627" i="3"/>
  <c r="B2627" i="3"/>
  <c r="A2627" i="3"/>
  <c r="H2626" i="3"/>
  <c r="G2626" i="3"/>
  <c r="F2626" i="3"/>
  <c r="E2626" i="3"/>
  <c r="D2626" i="3"/>
  <c r="C2626" i="3"/>
  <c r="B2626" i="3"/>
  <c r="A2626" i="3"/>
  <c r="H2625" i="3"/>
  <c r="G2625" i="3"/>
  <c r="F2625" i="3"/>
  <c r="E2625" i="3"/>
  <c r="D2625" i="3"/>
  <c r="C2625" i="3"/>
  <c r="B2625" i="3"/>
  <c r="A2625" i="3"/>
  <c r="H2624" i="3"/>
  <c r="G2624" i="3"/>
  <c r="F2624" i="3"/>
  <c r="E2624" i="3"/>
  <c r="D2624" i="3"/>
  <c r="C2624" i="3"/>
  <c r="B2624" i="3"/>
  <c r="A2624" i="3"/>
  <c r="H2623" i="3"/>
  <c r="G2623" i="3"/>
  <c r="F2623" i="3"/>
  <c r="E2623" i="3"/>
  <c r="D2623" i="3"/>
  <c r="C2623" i="3"/>
  <c r="B2623" i="3"/>
  <c r="A2623" i="3"/>
  <c r="H2622" i="3"/>
  <c r="G2622" i="3"/>
  <c r="F2622" i="3"/>
  <c r="E2622" i="3"/>
  <c r="D2622" i="3"/>
  <c r="C2622" i="3"/>
  <c r="B2622" i="3"/>
  <c r="A2622" i="3"/>
  <c r="H2621" i="3"/>
  <c r="G2621" i="3"/>
  <c r="F2621" i="3"/>
  <c r="E2621" i="3"/>
  <c r="D2621" i="3"/>
  <c r="C2621" i="3"/>
  <c r="B2621" i="3"/>
  <c r="A2621" i="3"/>
  <c r="H2620" i="3"/>
  <c r="G2620" i="3"/>
  <c r="F2620" i="3"/>
  <c r="E2620" i="3"/>
  <c r="D2620" i="3"/>
  <c r="C2620" i="3"/>
  <c r="B2620" i="3"/>
  <c r="A2620" i="3"/>
  <c r="H2619" i="3"/>
  <c r="G2619" i="3"/>
  <c r="F2619" i="3"/>
  <c r="E2619" i="3"/>
  <c r="D2619" i="3"/>
  <c r="C2619" i="3"/>
  <c r="B2619" i="3"/>
  <c r="A2619" i="3"/>
  <c r="H2618" i="3"/>
  <c r="G2618" i="3"/>
  <c r="F2618" i="3"/>
  <c r="E2618" i="3"/>
  <c r="D2618" i="3"/>
  <c r="C2618" i="3"/>
  <c r="B2618" i="3"/>
  <c r="A2618" i="3"/>
  <c r="H2617" i="3"/>
  <c r="G2617" i="3"/>
  <c r="F2617" i="3"/>
  <c r="E2617" i="3"/>
  <c r="D2617" i="3"/>
  <c r="C2617" i="3"/>
  <c r="B2617" i="3"/>
  <c r="A2617" i="3"/>
  <c r="H2616" i="3"/>
  <c r="G2616" i="3"/>
  <c r="F2616" i="3"/>
  <c r="E2616" i="3"/>
  <c r="D2616" i="3"/>
  <c r="C2616" i="3"/>
  <c r="B2616" i="3"/>
  <c r="A2616" i="3"/>
  <c r="H2615" i="3"/>
  <c r="G2615" i="3"/>
  <c r="F2615" i="3"/>
  <c r="E2615" i="3"/>
  <c r="D2615" i="3"/>
  <c r="C2615" i="3"/>
  <c r="B2615" i="3"/>
  <c r="A2615" i="3"/>
  <c r="H2614" i="3"/>
  <c r="G2614" i="3"/>
  <c r="F2614" i="3"/>
  <c r="E2614" i="3"/>
  <c r="D2614" i="3"/>
  <c r="C2614" i="3"/>
  <c r="B2614" i="3"/>
  <c r="A2614" i="3"/>
  <c r="H2613" i="3"/>
  <c r="G2613" i="3"/>
  <c r="F2613" i="3"/>
  <c r="E2613" i="3"/>
  <c r="D2613" i="3"/>
  <c r="C2613" i="3"/>
  <c r="B2613" i="3"/>
  <c r="A2613" i="3"/>
  <c r="H2612" i="3"/>
  <c r="G2612" i="3"/>
  <c r="F2612" i="3"/>
  <c r="E2612" i="3"/>
  <c r="D2612" i="3"/>
  <c r="C2612" i="3"/>
  <c r="B2612" i="3"/>
  <c r="A2612" i="3"/>
  <c r="H2611" i="3"/>
  <c r="G2611" i="3"/>
  <c r="F2611" i="3"/>
  <c r="E2611" i="3"/>
  <c r="D2611" i="3"/>
  <c r="C2611" i="3"/>
  <c r="B2611" i="3"/>
  <c r="A2611" i="3"/>
  <c r="H2610" i="3"/>
  <c r="G2610" i="3"/>
  <c r="F2610" i="3"/>
  <c r="E2610" i="3"/>
  <c r="D2610" i="3"/>
  <c r="C2610" i="3"/>
  <c r="B2610" i="3"/>
  <c r="A2610" i="3"/>
  <c r="H2609" i="3"/>
  <c r="G2609" i="3"/>
  <c r="F2609" i="3"/>
  <c r="E2609" i="3"/>
  <c r="D2609" i="3"/>
  <c r="C2609" i="3"/>
  <c r="B2609" i="3"/>
  <c r="A2609" i="3"/>
  <c r="H2608" i="3"/>
  <c r="G2608" i="3"/>
  <c r="F2608" i="3"/>
  <c r="E2608" i="3"/>
  <c r="D2608" i="3"/>
  <c r="C2608" i="3"/>
  <c r="B2608" i="3"/>
  <c r="A2608" i="3"/>
  <c r="H2607" i="3"/>
  <c r="G2607" i="3"/>
  <c r="F2607" i="3"/>
  <c r="E2607" i="3"/>
  <c r="D2607" i="3"/>
  <c r="C2607" i="3"/>
  <c r="B2607" i="3"/>
  <c r="A2607" i="3"/>
  <c r="H2606" i="3"/>
  <c r="G2606" i="3"/>
  <c r="F2606" i="3"/>
  <c r="E2606" i="3"/>
  <c r="D2606" i="3"/>
  <c r="C2606" i="3"/>
  <c r="B2606" i="3"/>
  <c r="A2606" i="3"/>
  <c r="H2605" i="3"/>
  <c r="G2605" i="3"/>
  <c r="F2605" i="3"/>
  <c r="E2605" i="3"/>
  <c r="D2605" i="3"/>
  <c r="C2605" i="3"/>
  <c r="B2605" i="3"/>
  <c r="A2605" i="3"/>
  <c r="H2604" i="3"/>
  <c r="G2604" i="3"/>
  <c r="F2604" i="3"/>
  <c r="E2604" i="3"/>
  <c r="D2604" i="3"/>
  <c r="C2604" i="3"/>
  <c r="B2604" i="3"/>
  <c r="A2604" i="3"/>
  <c r="H2603" i="3"/>
  <c r="G2603" i="3"/>
  <c r="F2603" i="3"/>
  <c r="E2603" i="3"/>
  <c r="D2603" i="3"/>
  <c r="C2603" i="3"/>
  <c r="B2603" i="3"/>
  <c r="A2603" i="3"/>
  <c r="H2602" i="3"/>
  <c r="G2602" i="3"/>
  <c r="F2602" i="3"/>
  <c r="E2602" i="3"/>
  <c r="D2602" i="3"/>
  <c r="C2602" i="3"/>
  <c r="B2602" i="3"/>
  <c r="A2602" i="3"/>
  <c r="H2601" i="3"/>
  <c r="G2601" i="3"/>
  <c r="F2601" i="3"/>
  <c r="E2601" i="3"/>
  <c r="D2601" i="3"/>
  <c r="C2601" i="3"/>
  <c r="B2601" i="3"/>
  <c r="A2601" i="3"/>
  <c r="H2600" i="3"/>
  <c r="G2600" i="3"/>
  <c r="F2600" i="3"/>
  <c r="E2600" i="3"/>
  <c r="D2600" i="3"/>
  <c r="C2600" i="3"/>
  <c r="B2600" i="3"/>
  <c r="A2600" i="3"/>
  <c r="H2599" i="3"/>
  <c r="G2599" i="3"/>
  <c r="F2599" i="3"/>
  <c r="E2599" i="3"/>
  <c r="D2599" i="3"/>
  <c r="C2599" i="3"/>
  <c r="B2599" i="3"/>
  <c r="A2599" i="3"/>
  <c r="H2598" i="3"/>
  <c r="G2598" i="3"/>
  <c r="F2598" i="3"/>
  <c r="E2598" i="3"/>
  <c r="D2598" i="3"/>
  <c r="C2598" i="3"/>
  <c r="B2598" i="3"/>
  <c r="A2598" i="3"/>
  <c r="H2597" i="3"/>
  <c r="G2597" i="3"/>
  <c r="F2597" i="3"/>
  <c r="E2597" i="3"/>
  <c r="D2597" i="3"/>
  <c r="C2597" i="3"/>
  <c r="B2597" i="3"/>
  <c r="A2597" i="3"/>
  <c r="H2596" i="3"/>
  <c r="G2596" i="3"/>
  <c r="F2596" i="3"/>
  <c r="E2596" i="3"/>
  <c r="D2596" i="3"/>
  <c r="C2596" i="3"/>
  <c r="B2596" i="3"/>
  <c r="A2596" i="3"/>
  <c r="H2595" i="3"/>
  <c r="G2595" i="3"/>
  <c r="F2595" i="3"/>
  <c r="E2595" i="3"/>
  <c r="D2595" i="3"/>
  <c r="C2595" i="3"/>
  <c r="B2595" i="3"/>
  <c r="A2595" i="3"/>
  <c r="H2594" i="3"/>
  <c r="G2594" i="3"/>
  <c r="F2594" i="3"/>
  <c r="E2594" i="3"/>
  <c r="D2594" i="3"/>
  <c r="C2594" i="3"/>
  <c r="B2594" i="3"/>
  <c r="A2594" i="3"/>
  <c r="H2593" i="3"/>
  <c r="G2593" i="3"/>
  <c r="F2593" i="3"/>
  <c r="E2593" i="3"/>
  <c r="D2593" i="3"/>
  <c r="C2593" i="3"/>
  <c r="B2593" i="3"/>
  <c r="A2593" i="3"/>
  <c r="H2592" i="3"/>
  <c r="G2592" i="3"/>
  <c r="F2592" i="3"/>
  <c r="E2592" i="3"/>
  <c r="D2592" i="3"/>
  <c r="C2592" i="3"/>
  <c r="B2592" i="3"/>
  <c r="A2592" i="3"/>
  <c r="H2591" i="3"/>
  <c r="G2591" i="3"/>
  <c r="F2591" i="3"/>
  <c r="E2591" i="3"/>
  <c r="D2591" i="3"/>
  <c r="C2591" i="3"/>
  <c r="B2591" i="3"/>
  <c r="A2591" i="3"/>
  <c r="H2590" i="3"/>
  <c r="G2590" i="3"/>
  <c r="F2590" i="3"/>
  <c r="E2590" i="3"/>
  <c r="D2590" i="3"/>
  <c r="C2590" i="3"/>
  <c r="B2590" i="3"/>
  <c r="A2590" i="3"/>
  <c r="H2589" i="3"/>
  <c r="G2589" i="3"/>
  <c r="F2589" i="3"/>
  <c r="E2589" i="3"/>
  <c r="D2589" i="3"/>
  <c r="C2589" i="3"/>
  <c r="B2589" i="3"/>
  <c r="A2589" i="3"/>
  <c r="H2588" i="3"/>
  <c r="G2588" i="3"/>
  <c r="F2588" i="3"/>
  <c r="E2588" i="3"/>
  <c r="D2588" i="3"/>
  <c r="C2588" i="3"/>
  <c r="B2588" i="3"/>
  <c r="A2588" i="3"/>
  <c r="H2587" i="3"/>
  <c r="G2587" i="3"/>
  <c r="F2587" i="3"/>
  <c r="E2587" i="3"/>
  <c r="D2587" i="3"/>
  <c r="C2587" i="3"/>
  <c r="B2587" i="3"/>
  <c r="A2587" i="3"/>
  <c r="H2586" i="3"/>
  <c r="G2586" i="3"/>
  <c r="F2586" i="3"/>
  <c r="E2586" i="3"/>
  <c r="D2586" i="3"/>
  <c r="C2586" i="3"/>
  <c r="B2586" i="3"/>
  <c r="A2586" i="3"/>
  <c r="H2585" i="3"/>
  <c r="G2585" i="3"/>
  <c r="F2585" i="3"/>
  <c r="E2585" i="3"/>
  <c r="D2585" i="3"/>
  <c r="C2585" i="3"/>
  <c r="B2585" i="3"/>
  <c r="A2585" i="3"/>
  <c r="H2584" i="3"/>
  <c r="G2584" i="3"/>
  <c r="F2584" i="3"/>
  <c r="E2584" i="3"/>
  <c r="D2584" i="3"/>
  <c r="C2584" i="3"/>
  <c r="B2584" i="3"/>
  <c r="A2584" i="3"/>
  <c r="H2583" i="3"/>
  <c r="G2583" i="3"/>
  <c r="F2583" i="3"/>
  <c r="E2583" i="3"/>
  <c r="D2583" i="3"/>
  <c r="C2583" i="3"/>
  <c r="B2583" i="3"/>
  <c r="A2583" i="3"/>
  <c r="H2582" i="3"/>
  <c r="G2582" i="3"/>
  <c r="F2582" i="3"/>
  <c r="E2582" i="3"/>
  <c r="D2582" i="3"/>
  <c r="C2582" i="3"/>
  <c r="B2582" i="3"/>
  <c r="A2582" i="3"/>
  <c r="H2581" i="3"/>
  <c r="G2581" i="3"/>
  <c r="F2581" i="3"/>
  <c r="E2581" i="3"/>
  <c r="D2581" i="3"/>
  <c r="C2581" i="3"/>
  <c r="B2581" i="3"/>
  <c r="A2581" i="3"/>
  <c r="H2580" i="3"/>
  <c r="G2580" i="3"/>
  <c r="F2580" i="3"/>
  <c r="E2580" i="3"/>
  <c r="D2580" i="3"/>
  <c r="C2580" i="3"/>
  <c r="B2580" i="3"/>
  <c r="A2580" i="3"/>
  <c r="H2579" i="3"/>
  <c r="G2579" i="3"/>
  <c r="F2579" i="3"/>
  <c r="E2579" i="3"/>
  <c r="D2579" i="3"/>
  <c r="C2579" i="3"/>
  <c r="B2579" i="3"/>
  <c r="A2579" i="3"/>
  <c r="H2578" i="3"/>
  <c r="G2578" i="3"/>
  <c r="F2578" i="3"/>
  <c r="E2578" i="3"/>
  <c r="D2578" i="3"/>
  <c r="C2578" i="3"/>
  <c r="B2578" i="3"/>
  <c r="A2578" i="3"/>
  <c r="H2577" i="3"/>
  <c r="G2577" i="3"/>
  <c r="F2577" i="3"/>
  <c r="E2577" i="3"/>
  <c r="D2577" i="3"/>
  <c r="C2577" i="3"/>
  <c r="B2577" i="3"/>
  <c r="A2577" i="3"/>
  <c r="H2576" i="3"/>
  <c r="G2576" i="3"/>
  <c r="F2576" i="3"/>
  <c r="E2576" i="3"/>
  <c r="D2576" i="3"/>
  <c r="C2576" i="3"/>
  <c r="B2576" i="3"/>
  <c r="A2576" i="3"/>
  <c r="H2575" i="3"/>
  <c r="G2575" i="3"/>
  <c r="F2575" i="3"/>
  <c r="E2575" i="3"/>
  <c r="D2575" i="3"/>
  <c r="C2575" i="3"/>
  <c r="B2575" i="3"/>
  <c r="A2575" i="3"/>
  <c r="H2574" i="3"/>
  <c r="G2574" i="3"/>
  <c r="F2574" i="3"/>
  <c r="E2574" i="3"/>
  <c r="D2574" i="3"/>
  <c r="C2574" i="3"/>
  <c r="B2574" i="3"/>
  <c r="A2574" i="3"/>
  <c r="H2573" i="3"/>
  <c r="G2573" i="3"/>
  <c r="F2573" i="3"/>
  <c r="E2573" i="3"/>
  <c r="D2573" i="3"/>
  <c r="C2573" i="3"/>
  <c r="B2573" i="3"/>
  <c r="A2573" i="3"/>
  <c r="H2572" i="3"/>
  <c r="G2572" i="3"/>
  <c r="F2572" i="3"/>
  <c r="E2572" i="3"/>
  <c r="D2572" i="3"/>
  <c r="C2572" i="3"/>
  <c r="B2572" i="3"/>
  <c r="A2572" i="3"/>
  <c r="H2571" i="3"/>
  <c r="G2571" i="3"/>
  <c r="F2571" i="3"/>
  <c r="E2571" i="3"/>
  <c r="D2571" i="3"/>
  <c r="C2571" i="3"/>
  <c r="B2571" i="3"/>
  <c r="A2571" i="3"/>
  <c r="H2570" i="3"/>
  <c r="G2570" i="3"/>
  <c r="F2570" i="3"/>
  <c r="E2570" i="3"/>
  <c r="D2570" i="3"/>
  <c r="C2570" i="3"/>
  <c r="B2570" i="3"/>
  <c r="A2570" i="3"/>
  <c r="H2569" i="3"/>
  <c r="G2569" i="3"/>
  <c r="F2569" i="3"/>
  <c r="E2569" i="3"/>
  <c r="D2569" i="3"/>
  <c r="C2569" i="3"/>
  <c r="B2569" i="3"/>
  <c r="A2569" i="3"/>
  <c r="H2568" i="3"/>
  <c r="G2568" i="3"/>
  <c r="F2568" i="3"/>
  <c r="E2568" i="3"/>
  <c r="D2568" i="3"/>
  <c r="C2568" i="3"/>
  <c r="B2568" i="3"/>
  <c r="A2568" i="3"/>
  <c r="H2567" i="3"/>
  <c r="G2567" i="3"/>
  <c r="F2567" i="3"/>
  <c r="E2567" i="3"/>
  <c r="D2567" i="3"/>
  <c r="C2567" i="3"/>
  <c r="B2567" i="3"/>
  <c r="A2567" i="3"/>
  <c r="H2566" i="3"/>
  <c r="G2566" i="3"/>
  <c r="F2566" i="3"/>
  <c r="E2566" i="3"/>
  <c r="D2566" i="3"/>
  <c r="C2566" i="3"/>
  <c r="B2566" i="3"/>
  <c r="A2566" i="3"/>
  <c r="H2565" i="3"/>
  <c r="G2565" i="3"/>
  <c r="F2565" i="3"/>
  <c r="E2565" i="3"/>
  <c r="D2565" i="3"/>
  <c r="C2565" i="3"/>
  <c r="B2565" i="3"/>
  <c r="A2565" i="3"/>
  <c r="H2564" i="3"/>
  <c r="G2564" i="3"/>
  <c r="F2564" i="3"/>
  <c r="E2564" i="3"/>
  <c r="D2564" i="3"/>
  <c r="C2564" i="3"/>
  <c r="B2564" i="3"/>
  <c r="A2564" i="3"/>
  <c r="H2563" i="3"/>
  <c r="G2563" i="3"/>
  <c r="F2563" i="3"/>
  <c r="E2563" i="3"/>
  <c r="D2563" i="3"/>
  <c r="C2563" i="3"/>
  <c r="B2563" i="3"/>
  <c r="A2563" i="3"/>
  <c r="H2562" i="3"/>
  <c r="G2562" i="3"/>
  <c r="F2562" i="3"/>
  <c r="E2562" i="3"/>
  <c r="D2562" i="3"/>
  <c r="C2562" i="3"/>
  <c r="B2562" i="3"/>
  <c r="A2562" i="3"/>
  <c r="H2561" i="3"/>
  <c r="G2561" i="3"/>
  <c r="F2561" i="3"/>
  <c r="E2561" i="3"/>
  <c r="D2561" i="3"/>
  <c r="C2561" i="3"/>
  <c r="B2561" i="3"/>
  <c r="A2561" i="3"/>
  <c r="H2560" i="3"/>
  <c r="G2560" i="3"/>
  <c r="F2560" i="3"/>
  <c r="E2560" i="3"/>
  <c r="D2560" i="3"/>
  <c r="C2560" i="3"/>
  <c r="B2560" i="3"/>
  <c r="A2560" i="3"/>
  <c r="H2559" i="3"/>
  <c r="G2559" i="3"/>
  <c r="F2559" i="3"/>
  <c r="E2559" i="3"/>
  <c r="D2559" i="3"/>
  <c r="C2559" i="3"/>
  <c r="B2559" i="3"/>
  <c r="A2559" i="3"/>
  <c r="H2558" i="3"/>
  <c r="G2558" i="3"/>
  <c r="F2558" i="3"/>
  <c r="E2558" i="3"/>
  <c r="D2558" i="3"/>
  <c r="C2558" i="3"/>
  <c r="B2558" i="3"/>
  <c r="A2558" i="3"/>
  <c r="H2557" i="3"/>
  <c r="G2557" i="3"/>
  <c r="F2557" i="3"/>
  <c r="E2557" i="3"/>
  <c r="D2557" i="3"/>
  <c r="C2557" i="3"/>
  <c r="B2557" i="3"/>
  <c r="A2557" i="3"/>
  <c r="H2556" i="3"/>
  <c r="G2556" i="3"/>
  <c r="F2556" i="3"/>
  <c r="E2556" i="3"/>
  <c r="D2556" i="3"/>
  <c r="C2556" i="3"/>
  <c r="B2556" i="3"/>
  <c r="A2556" i="3"/>
  <c r="H2555" i="3"/>
  <c r="G2555" i="3"/>
  <c r="F2555" i="3"/>
  <c r="E2555" i="3"/>
  <c r="D2555" i="3"/>
  <c r="C2555" i="3"/>
  <c r="B2555" i="3"/>
  <c r="A2555" i="3"/>
  <c r="H2554" i="3"/>
  <c r="G2554" i="3"/>
  <c r="F2554" i="3"/>
  <c r="E2554" i="3"/>
  <c r="D2554" i="3"/>
  <c r="C2554" i="3"/>
  <c r="B2554" i="3"/>
  <c r="A2554" i="3"/>
  <c r="H2553" i="3"/>
  <c r="G2553" i="3"/>
  <c r="F2553" i="3"/>
  <c r="E2553" i="3"/>
  <c r="D2553" i="3"/>
  <c r="C2553" i="3"/>
  <c r="B2553" i="3"/>
  <c r="A2553" i="3"/>
  <c r="H2552" i="3"/>
  <c r="G2552" i="3"/>
  <c r="F2552" i="3"/>
  <c r="E2552" i="3"/>
  <c r="D2552" i="3"/>
  <c r="C2552" i="3"/>
  <c r="B2552" i="3"/>
  <c r="A2552" i="3"/>
  <c r="H2551" i="3"/>
  <c r="G2551" i="3"/>
  <c r="F2551" i="3"/>
  <c r="E2551" i="3"/>
  <c r="D2551" i="3"/>
  <c r="C2551" i="3"/>
  <c r="B2551" i="3"/>
  <c r="A2551" i="3"/>
  <c r="H2550" i="3"/>
  <c r="G2550" i="3"/>
  <c r="F2550" i="3"/>
  <c r="E2550" i="3"/>
  <c r="D2550" i="3"/>
  <c r="C2550" i="3"/>
  <c r="B2550" i="3"/>
  <c r="A2550" i="3"/>
  <c r="H2549" i="3"/>
  <c r="G2549" i="3"/>
  <c r="F2549" i="3"/>
  <c r="E2549" i="3"/>
  <c r="D2549" i="3"/>
  <c r="C2549" i="3"/>
  <c r="B2549" i="3"/>
  <c r="A2549" i="3"/>
  <c r="H2548" i="3"/>
  <c r="G2548" i="3"/>
  <c r="F2548" i="3"/>
  <c r="E2548" i="3"/>
  <c r="D2548" i="3"/>
  <c r="C2548" i="3"/>
  <c r="B2548" i="3"/>
  <c r="A2548" i="3"/>
  <c r="H2547" i="3"/>
  <c r="G2547" i="3"/>
  <c r="F2547" i="3"/>
  <c r="E2547" i="3"/>
  <c r="D2547" i="3"/>
  <c r="C2547" i="3"/>
  <c r="B2547" i="3"/>
  <c r="A2547" i="3"/>
  <c r="H2546" i="3"/>
  <c r="G2546" i="3"/>
  <c r="F2546" i="3"/>
  <c r="E2546" i="3"/>
  <c r="D2546" i="3"/>
  <c r="C2546" i="3"/>
  <c r="B2546" i="3"/>
  <c r="A2546" i="3"/>
  <c r="H2545" i="3"/>
  <c r="G2545" i="3"/>
  <c r="F2545" i="3"/>
  <c r="E2545" i="3"/>
  <c r="D2545" i="3"/>
  <c r="C2545" i="3"/>
  <c r="B2545" i="3"/>
  <c r="A2545" i="3"/>
  <c r="H2544" i="3"/>
  <c r="G2544" i="3"/>
  <c r="F2544" i="3"/>
  <c r="E2544" i="3"/>
  <c r="D2544" i="3"/>
  <c r="C2544" i="3"/>
  <c r="B2544" i="3"/>
  <c r="A2544" i="3"/>
  <c r="H2543" i="3"/>
  <c r="G2543" i="3"/>
  <c r="F2543" i="3"/>
  <c r="E2543" i="3"/>
  <c r="D2543" i="3"/>
  <c r="C2543" i="3"/>
  <c r="B2543" i="3"/>
  <c r="A2543" i="3"/>
  <c r="H2542" i="3"/>
  <c r="G2542" i="3"/>
  <c r="F2542" i="3"/>
  <c r="E2542" i="3"/>
  <c r="D2542" i="3"/>
  <c r="C2542" i="3"/>
  <c r="B2542" i="3"/>
  <c r="A2542" i="3"/>
  <c r="H2541" i="3"/>
  <c r="G2541" i="3"/>
  <c r="F2541" i="3"/>
  <c r="E2541" i="3"/>
  <c r="D2541" i="3"/>
  <c r="C2541" i="3"/>
  <c r="B2541" i="3"/>
  <c r="A2541" i="3"/>
  <c r="H2540" i="3"/>
  <c r="G2540" i="3"/>
  <c r="F2540" i="3"/>
  <c r="E2540" i="3"/>
  <c r="D2540" i="3"/>
  <c r="C2540" i="3"/>
  <c r="B2540" i="3"/>
  <c r="A2540" i="3"/>
  <c r="H2539" i="3"/>
  <c r="G2539" i="3"/>
  <c r="F2539" i="3"/>
  <c r="E2539" i="3"/>
  <c r="D2539" i="3"/>
  <c r="C2539" i="3"/>
  <c r="B2539" i="3"/>
  <c r="A2539" i="3"/>
  <c r="H2538" i="3"/>
  <c r="G2538" i="3"/>
  <c r="F2538" i="3"/>
  <c r="E2538" i="3"/>
  <c r="D2538" i="3"/>
  <c r="C2538" i="3"/>
  <c r="B2538" i="3"/>
  <c r="A2538" i="3"/>
  <c r="H2537" i="3"/>
  <c r="G2537" i="3"/>
  <c r="F2537" i="3"/>
  <c r="E2537" i="3"/>
  <c r="D2537" i="3"/>
  <c r="C2537" i="3"/>
  <c r="B2537" i="3"/>
  <c r="A2537" i="3"/>
  <c r="H2536" i="3"/>
  <c r="G2536" i="3"/>
  <c r="F2536" i="3"/>
  <c r="E2536" i="3"/>
  <c r="D2536" i="3"/>
  <c r="C2536" i="3"/>
  <c r="B2536" i="3"/>
  <c r="A2536" i="3"/>
  <c r="H2535" i="3"/>
  <c r="G2535" i="3"/>
  <c r="F2535" i="3"/>
  <c r="E2535" i="3"/>
  <c r="D2535" i="3"/>
  <c r="C2535" i="3"/>
  <c r="B2535" i="3"/>
  <c r="A2535" i="3"/>
  <c r="H2534" i="3"/>
  <c r="G2534" i="3"/>
  <c r="F2534" i="3"/>
  <c r="E2534" i="3"/>
  <c r="D2534" i="3"/>
  <c r="C2534" i="3"/>
  <c r="B2534" i="3"/>
  <c r="A2534" i="3"/>
  <c r="H2533" i="3"/>
  <c r="G2533" i="3"/>
  <c r="F2533" i="3"/>
  <c r="E2533" i="3"/>
  <c r="D2533" i="3"/>
  <c r="C2533" i="3"/>
  <c r="B2533" i="3"/>
  <c r="A2533" i="3"/>
  <c r="H2532" i="3"/>
  <c r="G2532" i="3"/>
  <c r="F2532" i="3"/>
  <c r="E2532" i="3"/>
  <c r="D2532" i="3"/>
  <c r="C2532" i="3"/>
  <c r="B2532" i="3"/>
  <c r="A2532" i="3"/>
  <c r="H2531" i="3"/>
  <c r="G2531" i="3"/>
  <c r="F2531" i="3"/>
  <c r="E2531" i="3"/>
  <c r="D2531" i="3"/>
  <c r="C2531" i="3"/>
  <c r="B2531" i="3"/>
  <c r="A2531" i="3"/>
  <c r="H2530" i="3"/>
  <c r="G2530" i="3"/>
  <c r="F2530" i="3"/>
  <c r="E2530" i="3"/>
  <c r="D2530" i="3"/>
  <c r="C2530" i="3"/>
  <c r="B2530" i="3"/>
  <c r="A2530" i="3"/>
  <c r="H2529" i="3"/>
  <c r="G2529" i="3"/>
  <c r="F2529" i="3"/>
  <c r="E2529" i="3"/>
  <c r="D2529" i="3"/>
  <c r="C2529" i="3"/>
  <c r="B2529" i="3"/>
  <c r="A2529" i="3"/>
  <c r="H2528" i="3"/>
  <c r="G2528" i="3"/>
  <c r="F2528" i="3"/>
  <c r="E2528" i="3"/>
  <c r="D2528" i="3"/>
  <c r="C2528" i="3"/>
  <c r="B2528" i="3"/>
  <c r="A2528" i="3"/>
  <c r="H2527" i="3"/>
  <c r="G2527" i="3"/>
  <c r="F2527" i="3"/>
  <c r="E2527" i="3"/>
  <c r="D2527" i="3"/>
  <c r="C2527" i="3"/>
  <c r="B2527" i="3"/>
  <c r="A2527" i="3"/>
  <c r="H2526" i="3"/>
  <c r="G2526" i="3"/>
  <c r="F2526" i="3"/>
  <c r="E2526" i="3"/>
  <c r="D2526" i="3"/>
  <c r="C2526" i="3"/>
  <c r="B2526" i="3"/>
  <c r="A2526" i="3"/>
  <c r="H2525" i="3"/>
  <c r="G2525" i="3"/>
  <c r="F2525" i="3"/>
  <c r="E2525" i="3"/>
  <c r="D2525" i="3"/>
  <c r="C2525" i="3"/>
  <c r="B2525" i="3"/>
  <c r="A2525" i="3"/>
  <c r="H2524" i="3"/>
  <c r="G2524" i="3"/>
  <c r="F2524" i="3"/>
  <c r="E2524" i="3"/>
  <c r="D2524" i="3"/>
  <c r="C2524" i="3"/>
  <c r="B2524" i="3"/>
  <c r="A2524" i="3"/>
  <c r="H2523" i="3"/>
  <c r="G2523" i="3"/>
  <c r="F2523" i="3"/>
  <c r="E2523" i="3"/>
  <c r="D2523" i="3"/>
  <c r="C2523" i="3"/>
  <c r="B2523" i="3"/>
  <c r="A2523" i="3"/>
  <c r="H2522" i="3"/>
  <c r="G2522" i="3"/>
  <c r="F2522" i="3"/>
  <c r="E2522" i="3"/>
  <c r="D2522" i="3"/>
  <c r="C2522" i="3"/>
  <c r="B2522" i="3"/>
  <c r="A2522" i="3"/>
  <c r="H2521" i="3"/>
  <c r="G2521" i="3"/>
  <c r="F2521" i="3"/>
  <c r="E2521" i="3"/>
  <c r="D2521" i="3"/>
  <c r="C2521" i="3"/>
  <c r="B2521" i="3"/>
  <c r="A2521" i="3"/>
  <c r="H2520" i="3"/>
  <c r="G2520" i="3"/>
  <c r="F2520" i="3"/>
  <c r="E2520" i="3"/>
  <c r="D2520" i="3"/>
  <c r="C2520" i="3"/>
  <c r="B2520" i="3"/>
  <c r="A2520" i="3"/>
  <c r="H2519" i="3"/>
  <c r="G2519" i="3"/>
  <c r="F2519" i="3"/>
  <c r="E2519" i="3"/>
  <c r="D2519" i="3"/>
  <c r="C2519" i="3"/>
  <c r="B2519" i="3"/>
  <c r="A2519" i="3"/>
  <c r="H2518" i="3"/>
  <c r="G2518" i="3"/>
  <c r="F2518" i="3"/>
  <c r="E2518" i="3"/>
  <c r="D2518" i="3"/>
  <c r="C2518" i="3"/>
  <c r="B2518" i="3"/>
  <c r="A2518" i="3"/>
  <c r="H2517" i="3"/>
  <c r="G2517" i="3"/>
  <c r="F2517" i="3"/>
  <c r="E2517" i="3"/>
  <c r="D2517" i="3"/>
  <c r="C2517" i="3"/>
  <c r="B2517" i="3"/>
  <c r="A2517" i="3"/>
  <c r="H2516" i="3"/>
  <c r="G2516" i="3"/>
  <c r="F2516" i="3"/>
  <c r="E2516" i="3"/>
  <c r="D2516" i="3"/>
  <c r="C2516" i="3"/>
  <c r="B2516" i="3"/>
  <c r="A2516" i="3"/>
  <c r="H2515" i="3"/>
  <c r="G2515" i="3"/>
  <c r="F2515" i="3"/>
  <c r="E2515" i="3"/>
  <c r="D2515" i="3"/>
  <c r="C2515" i="3"/>
  <c r="B2515" i="3"/>
  <c r="A2515" i="3"/>
  <c r="H2514" i="3"/>
  <c r="G2514" i="3"/>
  <c r="F2514" i="3"/>
  <c r="E2514" i="3"/>
  <c r="D2514" i="3"/>
  <c r="C2514" i="3"/>
  <c r="B2514" i="3"/>
  <c r="A2514" i="3"/>
  <c r="H2513" i="3"/>
  <c r="G2513" i="3"/>
  <c r="F2513" i="3"/>
  <c r="E2513" i="3"/>
  <c r="D2513" i="3"/>
  <c r="C2513" i="3"/>
  <c r="B2513" i="3"/>
  <c r="A2513" i="3"/>
  <c r="H2512" i="3"/>
  <c r="G2512" i="3"/>
  <c r="F2512" i="3"/>
  <c r="E2512" i="3"/>
  <c r="D2512" i="3"/>
  <c r="C2512" i="3"/>
  <c r="B2512" i="3"/>
  <c r="A2512" i="3"/>
  <c r="H2511" i="3"/>
  <c r="G2511" i="3"/>
  <c r="F2511" i="3"/>
  <c r="E2511" i="3"/>
  <c r="D2511" i="3"/>
  <c r="C2511" i="3"/>
  <c r="B2511" i="3"/>
  <c r="A2511" i="3"/>
  <c r="H2510" i="3"/>
  <c r="G2510" i="3"/>
  <c r="F2510" i="3"/>
  <c r="E2510" i="3"/>
  <c r="D2510" i="3"/>
  <c r="C2510" i="3"/>
  <c r="B2510" i="3"/>
  <c r="A2510" i="3"/>
  <c r="H2509" i="3"/>
  <c r="G2509" i="3"/>
  <c r="F2509" i="3"/>
  <c r="E2509" i="3"/>
  <c r="D2509" i="3"/>
  <c r="C2509" i="3"/>
  <c r="B2509" i="3"/>
  <c r="A2509" i="3"/>
  <c r="H2508" i="3"/>
  <c r="G2508" i="3"/>
  <c r="F2508" i="3"/>
  <c r="E2508" i="3"/>
  <c r="D2508" i="3"/>
  <c r="C2508" i="3"/>
  <c r="B2508" i="3"/>
  <c r="A2508" i="3"/>
  <c r="H2507" i="3"/>
  <c r="G2507" i="3"/>
  <c r="F2507" i="3"/>
  <c r="E2507" i="3"/>
  <c r="D2507" i="3"/>
  <c r="C2507" i="3"/>
  <c r="B2507" i="3"/>
  <c r="A2507" i="3"/>
  <c r="H2506" i="3"/>
  <c r="G2506" i="3"/>
  <c r="F2506" i="3"/>
  <c r="E2506" i="3"/>
  <c r="D2506" i="3"/>
  <c r="C2506" i="3"/>
  <c r="B2506" i="3"/>
  <c r="A2506" i="3"/>
  <c r="H2505" i="3"/>
  <c r="G2505" i="3"/>
  <c r="F2505" i="3"/>
  <c r="E2505" i="3"/>
  <c r="D2505" i="3"/>
  <c r="C2505" i="3"/>
  <c r="B2505" i="3"/>
  <c r="A2505" i="3"/>
  <c r="H2504" i="3"/>
  <c r="G2504" i="3"/>
  <c r="F2504" i="3"/>
  <c r="E2504" i="3"/>
  <c r="D2504" i="3"/>
  <c r="C2504" i="3"/>
  <c r="B2504" i="3"/>
  <c r="A2504" i="3"/>
  <c r="H2503" i="3"/>
  <c r="G2503" i="3"/>
  <c r="F2503" i="3"/>
  <c r="E2503" i="3"/>
  <c r="D2503" i="3"/>
  <c r="C2503" i="3"/>
  <c r="B2503" i="3"/>
  <c r="A2503" i="3"/>
  <c r="H2502" i="3"/>
  <c r="G2502" i="3"/>
  <c r="F2502" i="3"/>
  <c r="E2502" i="3"/>
  <c r="D2502" i="3"/>
  <c r="C2502" i="3"/>
  <c r="B2502" i="3"/>
  <c r="A2502" i="3"/>
  <c r="H2501" i="3"/>
  <c r="G2501" i="3"/>
  <c r="F2501" i="3"/>
  <c r="E2501" i="3"/>
  <c r="D2501" i="3"/>
  <c r="C2501" i="3"/>
  <c r="B2501" i="3"/>
  <c r="A2501" i="3"/>
  <c r="H2500" i="3"/>
  <c r="G2500" i="3"/>
  <c r="F2500" i="3"/>
  <c r="E2500" i="3"/>
  <c r="D2500" i="3"/>
  <c r="C2500" i="3"/>
  <c r="B2500" i="3"/>
  <c r="A2500" i="3"/>
  <c r="H2499" i="3"/>
  <c r="G2499" i="3"/>
  <c r="F2499" i="3"/>
  <c r="E2499" i="3"/>
  <c r="D2499" i="3"/>
  <c r="C2499" i="3"/>
  <c r="B2499" i="3"/>
  <c r="A2499" i="3"/>
  <c r="H2498" i="3"/>
  <c r="G2498" i="3"/>
  <c r="F2498" i="3"/>
  <c r="E2498" i="3"/>
  <c r="D2498" i="3"/>
  <c r="C2498" i="3"/>
  <c r="B2498" i="3"/>
  <c r="A2498" i="3"/>
  <c r="H2497" i="3"/>
  <c r="G2497" i="3"/>
  <c r="F2497" i="3"/>
  <c r="E2497" i="3"/>
  <c r="D2497" i="3"/>
  <c r="C2497" i="3"/>
  <c r="B2497" i="3"/>
  <c r="A2497" i="3"/>
  <c r="H2496" i="3"/>
  <c r="G2496" i="3"/>
  <c r="F2496" i="3"/>
  <c r="E2496" i="3"/>
  <c r="D2496" i="3"/>
  <c r="C2496" i="3"/>
  <c r="B2496" i="3"/>
  <c r="A2496" i="3"/>
  <c r="H2495" i="3"/>
  <c r="G2495" i="3"/>
  <c r="F2495" i="3"/>
  <c r="E2495" i="3"/>
  <c r="D2495" i="3"/>
  <c r="C2495" i="3"/>
  <c r="B2495" i="3"/>
  <c r="A2495" i="3"/>
  <c r="H2494" i="3"/>
  <c r="G2494" i="3"/>
  <c r="F2494" i="3"/>
  <c r="E2494" i="3"/>
  <c r="D2494" i="3"/>
  <c r="C2494" i="3"/>
  <c r="B2494" i="3"/>
  <c r="A2494" i="3"/>
  <c r="H2493" i="3"/>
  <c r="G2493" i="3"/>
  <c r="F2493" i="3"/>
  <c r="E2493" i="3"/>
  <c r="D2493" i="3"/>
  <c r="C2493" i="3"/>
  <c r="B2493" i="3"/>
  <c r="A2493" i="3"/>
  <c r="H2492" i="3"/>
  <c r="G2492" i="3"/>
  <c r="F2492" i="3"/>
  <c r="E2492" i="3"/>
  <c r="D2492" i="3"/>
  <c r="C2492" i="3"/>
  <c r="B2492" i="3"/>
  <c r="A2492" i="3"/>
  <c r="H2491" i="3"/>
  <c r="G2491" i="3"/>
  <c r="F2491" i="3"/>
  <c r="E2491" i="3"/>
  <c r="D2491" i="3"/>
  <c r="C2491" i="3"/>
  <c r="B2491" i="3"/>
  <c r="A2491" i="3"/>
  <c r="H2490" i="3"/>
  <c r="G2490" i="3"/>
  <c r="F2490" i="3"/>
  <c r="E2490" i="3"/>
  <c r="D2490" i="3"/>
  <c r="C2490" i="3"/>
  <c r="B2490" i="3"/>
  <c r="A2490" i="3"/>
  <c r="H2489" i="3"/>
  <c r="G2489" i="3"/>
  <c r="F2489" i="3"/>
  <c r="E2489" i="3"/>
  <c r="D2489" i="3"/>
  <c r="C2489" i="3"/>
  <c r="B2489" i="3"/>
  <c r="A2489" i="3"/>
  <c r="H2488" i="3"/>
  <c r="G2488" i="3"/>
  <c r="F2488" i="3"/>
  <c r="E2488" i="3"/>
  <c r="D2488" i="3"/>
  <c r="C2488" i="3"/>
  <c r="B2488" i="3"/>
  <c r="A2488" i="3"/>
  <c r="H2487" i="3"/>
  <c r="G2487" i="3"/>
  <c r="F2487" i="3"/>
  <c r="E2487" i="3"/>
  <c r="D2487" i="3"/>
  <c r="C2487" i="3"/>
  <c r="B2487" i="3"/>
  <c r="A2487" i="3"/>
  <c r="H2486" i="3"/>
  <c r="G2486" i="3"/>
  <c r="F2486" i="3"/>
  <c r="E2486" i="3"/>
  <c r="D2486" i="3"/>
  <c r="C2486" i="3"/>
  <c r="B2486" i="3"/>
  <c r="A2486" i="3"/>
  <c r="H2485" i="3"/>
  <c r="G2485" i="3"/>
  <c r="F2485" i="3"/>
  <c r="E2485" i="3"/>
  <c r="D2485" i="3"/>
  <c r="C2485" i="3"/>
  <c r="B2485" i="3"/>
  <c r="A2485" i="3"/>
  <c r="H2484" i="3"/>
  <c r="G2484" i="3"/>
  <c r="F2484" i="3"/>
  <c r="E2484" i="3"/>
  <c r="D2484" i="3"/>
  <c r="C2484" i="3"/>
  <c r="B2484" i="3"/>
  <c r="A2484" i="3"/>
  <c r="H2483" i="3"/>
  <c r="G2483" i="3"/>
  <c r="F2483" i="3"/>
  <c r="E2483" i="3"/>
  <c r="D2483" i="3"/>
  <c r="C2483" i="3"/>
  <c r="B2483" i="3"/>
  <c r="A2483" i="3"/>
  <c r="H2482" i="3"/>
  <c r="G2482" i="3"/>
  <c r="F2482" i="3"/>
  <c r="E2482" i="3"/>
  <c r="D2482" i="3"/>
  <c r="C2482" i="3"/>
  <c r="B2482" i="3"/>
  <c r="A2482" i="3"/>
  <c r="H2481" i="3"/>
  <c r="G2481" i="3"/>
  <c r="F2481" i="3"/>
  <c r="E2481" i="3"/>
  <c r="D2481" i="3"/>
  <c r="C2481" i="3"/>
  <c r="B2481" i="3"/>
  <c r="A2481" i="3"/>
  <c r="H2480" i="3"/>
  <c r="G2480" i="3"/>
  <c r="F2480" i="3"/>
  <c r="E2480" i="3"/>
  <c r="D2480" i="3"/>
  <c r="C2480" i="3"/>
  <c r="B2480" i="3"/>
  <c r="A2480" i="3"/>
  <c r="H2479" i="3"/>
  <c r="G2479" i="3"/>
  <c r="F2479" i="3"/>
  <c r="E2479" i="3"/>
  <c r="D2479" i="3"/>
  <c r="C2479" i="3"/>
  <c r="B2479" i="3"/>
  <c r="A2479" i="3"/>
  <c r="H2478" i="3"/>
  <c r="G2478" i="3"/>
  <c r="F2478" i="3"/>
  <c r="E2478" i="3"/>
  <c r="D2478" i="3"/>
  <c r="C2478" i="3"/>
  <c r="B2478" i="3"/>
  <c r="A2478" i="3"/>
  <c r="H2477" i="3"/>
  <c r="G2477" i="3"/>
  <c r="F2477" i="3"/>
  <c r="E2477" i="3"/>
  <c r="D2477" i="3"/>
  <c r="C2477" i="3"/>
  <c r="B2477" i="3"/>
  <c r="A2477" i="3"/>
  <c r="H2476" i="3"/>
  <c r="G2476" i="3"/>
  <c r="F2476" i="3"/>
  <c r="E2476" i="3"/>
  <c r="D2476" i="3"/>
  <c r="C2476" i="3"/>
  <c r="B2476" i="3"/>
  <c r="A2476" i="3"/>
  <c r="H2475" i="3"/>
  <c r="G2475" i="3"/>
  <c r="F2475" i="3"/>
  <c r="E2475" i="3"/>
  <c r="D2475" i="3"/>
  <c r="C2475" i="3"/>
  <c r="B2475" i="3"/>
  <c r="A2475" i="3"/>
  <c r="H2474" i="3"/>
  <c r="G2474" i="3"/>
  <c r="F2474" i="3"/>
  <c r="E2474" i="3"/>
  <c r="D2474" i="3"/>
  <c r="C2474" i="3"/>
  <c r="B2474" i="3"/>
  <c r="A2474" i="3"/>
  <c r="H2473" i="3"/>
  <c r="G2473" i="3"/>
  <c r="F2473" i="3"/>
  <c r="E2473" i="3"/>
  <c r="D2473" i="3"/>
  <c r="C2473" i="3"/>
  <c r="B2473" i="3"/>
  <c r="A2473" i="3"/>
  <c r="H2472" i="3"/>
  <c r="G2472" i="3"/>
  <c r="F2472" i="3"/>
  <c r="E2472" i="3"/>
  <c r="D2472" i="3"/>
  <c r="C2472" i="3"/>
  <c r="B2472" i="3"/>
  <c r="A2472" i="3"/>
  <c r="H2471" i="3"/>
  <c r="G2471" i="3"/>
  <c r="F2471" i="3"/>
  <c r="E2471" i="3"/>
  <c r="D2471" i="3"/>
  <c r="C2471" i="3"/>
  <c r="B2471" i="3"/>
  <c r="A2471" i="3"/>
  <c r="H2470" i="3"/>
  <c r="G2470" i="3"/>
  <c r="F2470" i="3"/>
  <c r="E2470" i="3"/>
  <c r="D2470" i="3"/>
  <c r="C2470" i="3"/>
  <c r="B2470" i="3"/>
  <c r="A2470" i="3"/>
  <c r="H2469" i="3"/>
  <c r="G2469" i="3"/>
  <c r="F2469" i="3"/>
  <c r="E2469" i="3"/>
  <c r="D2469" i="3"/>
  <c r="C2469" i="3"/>
  <c r="B2469" i="3"/>
  <c r="A2469" i="3"/>
  <c r="H2468" i="3"/>
  <c r="G2468" i="3"/>
  <c r="F2468" i="3"/>
  <c r="E2468" i="3"/>
  <c r="D2468" i="3"/>
  <c r="C2468" i="3"/>
  <c r="B2468" i="3"/>
  <c r="A2468" i="3"/>
  <c r="H2467" i="3"/>
  <c r="G2467" i="3"/>
  <c r="F2467" i="3"/>
  <c r="E2467" i="3"/>
  <c r="D2467" i="3"/>
  <c r="C2467" i="3"/>
  <c r="B2467" i="3"/>
  <c r="A2467" i="3"/>
  <c r="H2466" i="3"/>
  <c r="G2466" i="3"/>
  <c r="F2466" i="3"/>
  <c r="E2466" i="3"/>
  <c r="D2466" i="3"/>
  <c r="C2466" i="3"/>
  <c r="B2466" i="3"/>
  <c r="A2466" i="3"/>
  <c r="H2465" i="3"/>
  <c r="G2465" i="3"/>
  <c r="F2465" i="3"/>
  <c r="E2465" i="3"/>
  <c r="D2465" i="3"/>
  <c r="C2465" i="3"/>
  <c r="B2465" i="3"/>
  <c r="A2465" i="3"/>
  <c r="H2464" i="3"/>
  <c r="G2464" i="3"/>
  <c r="F2464" i="3"/>
  <c r="E2464" i="3"/>
  <c r="D2464" i="3"/>
  <c r="C2464" i="3"/>
  <c r="B2464" i="3"/>
  <c r="A2464" i="3"/>
  <c r="H2463" i="3"/>
  <c r="G2463" i="3"/>
  <c r="F2463" i="3"/>
  <c r="E2463" i="3"/>
  <c r="D2463" i="3"/>
  <c r="C2463" i="3"/>
  <c r="B2463" i="3"/>
  <c r="A2463" i="3"/>
  <c r="H2462" i="3"/>
  <c r="G2462" i="3"/>
  <c r="F2462" i="3"/>
  <c r="E2462" i="3"/>
  <c r="D2462" i="3"/>
  <c r="C2462" i="3"/>
  <c r="B2462" i="3"/>
  <c r="A2462" i="3"/>
  <c r="H2461" i="3"/>
  <c r="G2461" i="3"/>
  <c r="F2461" i="3"/>
  <c r="E2461" i="3"/>
  <c r="D2461" i="3"/>
  <c r="C2461" i="3"/>
  <c r="B2461" i="3"/>
  <c r="A2461" i="3"/>
  <c r="H2460" i="3"/>
  <c r="G2460" i="3"/>
  <c r="F2460" i="3"/>
  <c r="E2460" i="3"/>
  <c r="D2460" i="3"/>
  <c r="C2460" i="3"/>
  <c r="B2460" i="3"/>
  <c r="A2460" i="3"/>
  <c r="H2459" i="3"/>
  <c r="G2459" i="3"/>
  <c r="F2459" i="3"/>
  <c r="E2459" i="3"/>
  <c r="D2459" i="3"/>
  <c r="C2459" i="3"/>
  <c r="B2459" i="3"/>
  <c r="A2459" i="3"/>
  <c r="H2458" i="3"/>
  <c r="G2458" i="3"/>
  <c r="F2458" i="3"/>
  <c r="E2458" i="3"/>
  <c r="D2458" i="3"/>
  <c r="C2458" i="3"/>
  <c r="B2458" i="3"/>
  <c r="A2458" i="3"/>
  <c r="H2457" i="3"/>
  <c r="G2457" i="3"/>
  <c r="F2457" i="3"/>
  <c r="E2457" i="3"/>
  <c r="D2457" i="3"/>
  <c r="C2457" i="3"/>
  <c r="B2457" i="3"/>
  <c r="A2457" i="3"/>
  <c r="H2456" i="3"/>
  <c r="G2456" i="3"/>
  <c r="F2456" i="3"/>
  <c r="E2456" i="3"/>
  <c r="D2456" i="3"/>
  <c r="C2456" i="3"/>
  <c r="B2456" i="3"/>
  <c r="A2456" i="3"/>
  <c r="H2455" i="3"/>
  <c r="G2455" i="3"/>
  <c r="F2455" i="3"/>
  <c r="E2455" i="3"/>
  <c r="D2455" i="3"/>
  <c r="C2455" i="3"/>
  <c r="B2455" i="3"/>
  <c r="A2455" i="3"/>
  <c r="H2454" i="3"/>
  <c r="G2454" i="3"/>
  <c r="F2454" i="3"/>
  <c r="E2454" i="3"/>
  <c r="D2454" i="3"/>
  <c r="C2454" i="3"/>
  <c r="B2454" i="3"/>
  <c r="A2454" i="3"/>
  <c r="H2453" i="3"/>
  <c r="G2453" i="3"/>
  <c r="F2453" i="3"/>
  <c r="E2453" i="3"/>
  <c r="D2453" i="3"/>
  <c r="C2453" i="3"/>
  <c r="B2453" i="3"/>
  <c r="A2453" i="3"/>
  <c r="H2452" i="3"/>
  <c r="G2452" i="3"/>
  <c r="F2452" i="3"/>
  <c r="E2452" i="3"/>
  <c r="D2452" i="3"/>
  <c r="C2452" i="3"/>
  <c r="B2452" i="3"/>
  <c r="A2452" i="3"/>
  <c r="H2451" i="3"/>
  <c r="G2451" i="3"/>
  <c r="F2451" i="3"/>
  <c r="E2451" i="3"/>
  <c r="D2451" i="3"/>
  <c r="C2451" i="3"/>
  <c r="B2451" i="3"/>
  <c r="A2451" i="3"/>
  <c r="H2450" i="3"/>
  <c r="G2450" i="3"/>
  <c r="F2450" i="3"/>
  <c r="E2450" i="3"/>
  <c r="D2450" i="3"/>
  <c r="C2450" i="3"/>
  <c r="B2450" i="3"/>
  <c r="A2450" i="3"/>
  <c r="H2449" i="3"/>
  <c r="G2449" i="3"/>
  <c r="F2449" i="3"/>
  <c r="E2449" i="3"/>
  <c r="D2449" i="3"/>
  <c r="C2449" i="3"/>
  <c r="B2449" i="3"/>
  <c r="A2449" i="3"/>
  <c r="H2448" i="3"/>
  <c r="G2448" i="3"/>
  <c r="F2448" i="3"/>
  <c r="E2448" i="3"/>
  <c r="D2448" i="3"/>
  <c r="C2448" i="3"/>
  <c r="B2448" i="3"/>
  <c r="A2448" i="3"/>
  <c r="H2447" i="3"/>
  <c r="G2447" i="3"/>
  <c r="F2447" i="3"/>
  <c r="E2447" i="3"/>
  <c r="D2447" i="3"/>
  <c r="C2447" i="3"/>
  <c r="B2447" i="3"/>
  <c r="A2447" i="3"/>
  <c r="H2446" i="3"/>
  <c r="G2446" i="3"/>
  <c r="F2446" i="3"/>
  <c r="E2446" i="3"/>
  <c r="D2446" i="3"/>
  <c r="C2446" i="3"/>
  <c r="B2446" i="3"/>
  <c r="A2446" i="3"/>
  <c r="H2445" i="3"/>
  <c r="G2445" i="3"/>
  <c r="F2445" i="3"/>
  <c r="E2445" i="3"/>
  <c r="D2445" i="3"/>
  <c r="C2445" i="3"/>
  <c r="B2445" i="3"/>
  <c r="A2445" i="3"/>
  <c r="H2444" i="3"/>
  <c r="G2444" i="3"/>
  <c r="F2444" i="3"/>
  <c r="E2444" i="3"/>
  <c r="D2444" i="3"/>
  <c r="C2444" i="3"/>
  <c r="B2444" i="3"/>
  <c r="A2444" i="3"/>
  <c r="H2443" i="3"/>
  <c r="G2443" i="3"/>
  <c r="F2443" i="3"/>
  <c r="E2443" i="3"/>
  <c r="D2443" i="3"/>
  <c r="C2443" i="3"/>
  <c r="B2443" i="3"/>
  <c r="A2443" i="3"/>
  <c r="H2442" i="3"/>
  <c r="G2442" i="3"/>
  <c r="F2442" i="3"/>
  <c r="E2442" i="3"/>
  <c r="D2442" i="3"/>
  <c r="C2442" i="3"/>
  <c r="B2442" i="3"/>
  <c r="A2442" i="3"/>
  <c r="H2441" i="3"/>
  <c r="G2441" i="3"/>
  <c r="F2441" i="3"/>
  <c r="E2441" i="3"/>
  <c r="D2441" i="3"/>
  <c r="C2441" i="3"/>
  <c r="B2441" i="3"/>
  <c r="A2441" i="3"/>
  <c r="H2440" i="3"/>
  <c r="G2440" i="3"/>
  <c r="F2440" i="3"/>
  <c r="E2440" i="3"/>
  <c r="D2440" i="3"/>
  <c r="C2440" i="3"/>
  <c r="B2440" i="3"/>
  <c r="A2440" i="3"/>
  <c r="H2439" i="3"/>
  <c r="G2439" i="3"/>
  <c r="F2439" i="3"/>
  <c r="E2439" i="3"/>
  <c r="D2439" i="3"/>
  <c r="C2439" i="3"/>
  <c r="B2439" i="3"/>
  <c r="A2439" i="3"/>
  <c r="H2438" i="3"/>
  <c r="G2438" i="3"/>
  <c r="F2438" i="3"/>
  <c r="E2438" i="3"/>
  <c r="D2438" i="3"/>
  <c r="C2438" i="3"/>
  <c r="B2438" i="3"/>
  <c r="A2438" i="3"/>
  <c r="H2437" i="3"/>
  <c r="G2437" i="3"/>
  <c r="F2437" i="3"/>
  <c r="E2437" i="3"/>
  <c r="D2437" i="3"/>
  <c r="C2437" i="3"/>
  <c r="B2437" i="3"/>
  <c r="A2437" i="3"/>
  <c r="H2436" i="3"/>
  <c r="G2436" i="3"/>
  <c r="F2436" i="3"/>
  <c r="E2436" i="3"/>
  <c r="D2436" i="3"/>
  <c r="C2436" i="3"/>
  <c r="B2436" i="3"/>
  <c r="A2436" i="3"/>
  <c r="H2435" i="3"/>
  <c r="G2435" i="3"/>
  <c r="F2435" i="3"/>
  <c r="E2435" i="3"/>
  <c r="D2435" i="3"/>
  <c r="C2435" i="3"/>
  <c r="B2435" i="3"/>
  <c r="A2435" i="3"/>
  <c r="H2434" i="3"/>
  <c r="G2434" i="3"/>
  <c r="F2434" i="3"/>
  <c r="E2434" i="3"/>
  <c r="D2434" i="3"/>
  <c r="C2434" i="3"/>
  <c r="B2434" i="3"/>
  <c r="A2434" i="3"/>
  <c r="H2433" i="3"/>
  <c r="G2433" i="3"/>
  <c r="F2433" i="3"/>
  <c r="E2433" i="3"/>
  <c r="D2433" i="3"/>
  <c r="C2433" i="3"/>
  <c r="B2433" i="3"/>
  <c r="A2433" i="3"/>
  <c r="H2432" i="3"/>
  <c r="G2432" i="3"/>
  <c r="F2432" i="3"/>
  <c r="E2432" i="3"/>
  <c r="D2432" i="3"/>
  <c r="C2432" i="3"/>
  <c r="B2432" i="3"/>
  <c r="A2432" i="3"/>
  <c r="H2431" i="3"/>
  <c r="G2431" i="3"/>
  <c r="F2431" i="3"/>
  <c r="E2431" i="3"/>
  <c r="D2431" i="3"/>
  <c r="C2431" i="3"/>
  <c r="B2431" i="3"/>
  <c r="A2431" i="3"/>
  <c r="H2430" i="3"/>
  <c r="G2430" i="3"/>
  <c r="F2430" i="3"/>
  <c r="E2430" i="3"/>
  <c r="D2430" i="3"/>
  <c r="C2430" i="3"/>
  <c r="B2430" i="3"/>
  <c r="A2430" i="3"/>
  <c r="H2429" i="3"/>
  <c r="G2429" i="3"/>
  <c r="F2429" i="3"/>
  <c r="E2429" i="3"/>
  <c r="D2429" i="3"/>
  <c r="C2429" i="3"/>
  <c r="B2429" i="3"/>
  <c r="A2429" i="3"/>
  <c r="H2428" i="3"/>
  <c r="G2428" i="3"/>
  <c r="F2428" i="3"/>
  <c r="E2428" i="3"/>
  <c r="D2428" i="3"/>
  <c r="C2428" i="3"/>
  <c r="B2428" i="3"/>
  <c r="A2428" i="3"/>
  <c r="H2427" i="3"/>
  <c r="G2427" i="3"/>
  <c r="F2427" i="3"/>
  <c r="E2427" i="3"/>
  <c r="D2427" i="3"/>
  <c r="C2427" i="3"/>
  <c r="B2427" i="3"/>
  <c r="A2427" i="3"/>
  <c r="H2426" i="3"/>
  <c r="G2426" i="3"/>
  <c r="F2426" i="3"/>
  <c r="E2426" i="3"/>
  <c r="D2426" i="3"/>
  <c r="C2426" i="3"/>
  <c r="B2426" i="3"/>
  <c r="A2426" i="3"/>
  <c r="H2425" i="3"/>
  <c r="G2425" i="3"/>
  <c r="F2425" i="3"/>
  <c r="E2425" i="3"/>
  <c r="D2425" i="3"/>
  <c r="C2425" i="3"/>
  <c r="B2425" i="3"/>
  <c r="A2425" i="3"/>
  <c r="H2424" i="3"/>
  <c r="G2424" i="3"/>
  <c r="F2424" i="3"/>
  <c r="E2424" i="3"/>
  <c r="D2424" i="3"/>
  <c r="C2424" i="3"/>
  <c r="B2424" i="3"/>
  <c r="A2424" i="3"/>
  <c r="H2423" i="3"/>
  <c r="G2423" i="3"/>
  <c r="F2423" i="3"/>
  <c r="E2423" i="3"/>
  <c r="D2423" i="3"/>
  <c r="C2423" i="3"/>
  <c r="B2423" i="3"/>
  <c r="A2423" i="3"/>
  <c r="H2422" i="3"/>
  <c r="G2422" i="3"/>
  <c r="F2422" i="3"/>
  <c r="E2422" i="3"/>
  <c r="D2422" i="3"/>
  <c r="C2422" i="3"/>
  <c r="B2422" i="3"/>
  <c r="A2422" i="3"/>
  <c r="H2421" i="3"/>
  <c r="G2421" i="3"/>
  <c r="F2421" i="3"/>
  <c r="E2421" i="3"/>
  <c r="D2421" i="3"/>
  <c r="C2421" i="3"/>
  <c r="B2421" i="3"/>
  <c r="A2421" i="3"/>
  <c r="H2420" i="3"/>
  <c r="G2420" i="3"/>
  <c r="F2420" i="3"/>
  <c r="E2420" i="3"/>
  <c r="D2420" i="3"/>
  <c r="C2420" i="3"/>
  <c r="B2420" i="3"/>
  <c r="A2420" i="3"/>
  <c r="H2419" i="3"/>
  <c r="G2419" i="3"/>
  <c r="F2419" i="3"/>
  <c r="E2419" i="3"/>
  <c r="D2419" i="3"/>
  <c r="C2419" i="3"/>
  <c r="B2419" i="3"/>
  <c r="A2419" i="3"/>
  <c r="H2418" i="3"/>
  <c r="G2418" i="3"/>
  <c r="F2418" i="3"/>
  <c r="E2418" i="3"/>
  <c r="D2418" i="3"/>
  <c r="C2418" i="3"/>
  <c r="B2418" i="3"/>
  <c r="A2418" i="3"/>
  <c r="H2417" i="3"/>
  <c r="G2417" i="3"/>
  <c r="F2417" i="3"/>
  <c r="E2417" i="3"/>
  <c r="D2417" i="3"/>
  <c r="C2417" i="3"/>
  <c r="B2417" i="3"/>
  <c r="A2417" i="3"/>
  <c r="H2416" i="3"/>
  <c r="G2416" i="3"/>
  <c r="F2416" i="3"/>
  <c r="E2416" i="3"/>
  <c r="D2416" i="3"/>
  <c r="C2416" i="3"/>
  <c r="B2416" i="3"/>
  <c r="A2416" i="3"/>
  <c r="H2415" i="3"/>
  <c r="G2415" i="3"/>
  <c r="F2415" i="3"/>
  <c r="E2415" i="3"/>
  <c r="D2415" i="3"/>
  <c r="C2415" i="3"/>
  <c r="B2415" i="3"/>
  <c r="A2415" i="3"/>
  <c r="H2414" i="3"/>
  <c r="G2414" i="3"/>
  <c r="F2414" i="3"/>
  <c r="E2414" i="3"/>
  <c r="D2414" i="3"/>
  <c r="C2414" i="3"/>
  <c r="B2414" i="3"/>
  <c r="A2414" i="3"/>
  <c r="H2413" i="3"/>
  <c r="G2413" i="3"/>
  <c r="F2413" i="3"/>
  <c r="E2413" i="3"/>
  <c r="D2413" i="3"/>
  <c r="C2413" i="3"/>
  <c r="B2413" i="3"/>
  <c r="A2413" i="3"/>
  <c r="H2412" i="3"/>
  <c r="G2412" i="3"/>
  <c r="F2412" i="3"/>
  <c r="E2412" i="3"/>
  <c r="D2412" i="3"/>
  <c r="C2412" i="3"/>
  <c r="B2412" i="3"/>
  <c r="A2412" i="3"/>
  <c r="H2411" i="3"/>
  <c r="G2411" i="3"/>
  <c r="F2411" i="3"/>
  <c r="E2411" i="3"/>
  <c r="D2411" i="3"/>
  <c r="C2411" i="3"/>
  <c r="B2411" i="3"/>
  <c r="A2411" i="3"/>
  <c r="H2410" i="3"/>
  <c r="G2410" i="3"/>
  <c r="F2410" i="3"/>
  <c r="E2410" i="3"/>
  <c r="D2410" i="3"/>
  <c r="C2410" i="3"/>
  <c r="B2410" i="3"/>
  <c r="A2410" i="3"/>
  <c r="H2409" i="3"/>
  <c r="G2409" i="3"/>
  <c r="F2409" i="3"/>
  <c r="E2409" i="3"/>
  <c r="D2409" i="3"/>
  <c r="C2409" i="3"/>
  <c r="B2409" i="3"/>
  <c r="A2409" i="3"/>
  <c r="H2408" i="3"/>
  <c r="G2408" i="3"/>
  <c r="F2408" i="3"/>
  <c r="E2408" i="3"/>
  <c r="D2408" i="3"/>
  <c r="C2408" i="3"/>
  <c r="B2408" i="3"/>
  <c r="A2408" i="3"/>
  <c r="H2407" i="3"/>
  <c r="G2407" i="3"/>
  <c r="F2407" i="3"/>
  <c r="E2407" i="3"/>
  <c r="D2407" i="3"/>
  <c r="C2407" i="3"/>
  <c r="B2407" i="3"/>
  <c r="A2407" i="3"/>
  <c r="H2406" i="3"/>
  <c r="G2406" i="3"/>
  <c r="F2406" i="3"/>
  <c r="E2406" i="3"/>
  <c r="D2406" i="3"/>
  <c r="C2406" i="3"/>
  <c r="B2406" i="3"/>
  <c r="A2406" i="3"/>
  <c r="H2405" i="3"/>
  <c r="G2405" i="3"/>
  <c r="F2405" i="3"/>
  <c r="E2405" i="3"/>
  <c r="D2405" i="3"/>
  <c r="C2405" i="3"/>
  <c r="B2405" i="3"/>
  <c r="A2405" i="3"/>
  <c r="H2404" i="3"/>
  <c r="G2404" i="3"/>
  <c r="F2404" i="3"/>
  <c r="E2404" i="3"/>
  <c r="D2404" i="3"/>
  <c r="C2404" i="3"/>
  <c r="B2404" i="3"/>
  <c r="A2404" i="3"/>
  <c r="H2403" i="3"/>
  <c r="G2403" i="3"/>
  <c r="F2403" i="3"/>
  <c r="E2403" i="3"/>
  <c r="D2403" i="3"/>
  <c r="C2403" i="3"/>
  <c r="B2403" i="3"/>
  <c r="A2403" i="3"/>
  <c r="H2402" i="3"/>
  <c r="G2402" i="3"/>
  <c r="F2402" i="3"/>
  <c r="E2402" i="3"/>
  <c r="D2402" i="3"/>
  <c r="C2402" i="3"/>
  <c r="B2402" i="3"/>
  <c r="A2402" i="3"/>
  <c r="H2401" i="3"/>
  <c r="G2401" i="3"/>
  <c r="F2401" i="3"/>
  <c r="E2401" i="3"/>
  <c r="D2401" i="3"/>
  <c r="C2401" i="3"/>
  <c r="B2401" i="3"/>
  <c r="A2401" i="3"/>
  <c r="H2400" i="3"/>
  <c r="G2400" i="3"/>
  <c r="F2400" i="3"/>
  <c r="E2400" i="3"/>
  <c r="D2400" i="3"/>
  <c r="C2400" i="3"/>
  <c r="B2400" i="3"/>
  <c r="A2400" i="3"/>
  <c r="H2399" i="3"/>
  <c r="G2399" i="3"/>
  <c r="F2399" i="3"/>
  <c r="E2399" i="3"/>
  <c r="D2399" i="3"/>
  <c r="C2399" i="3"/>
  <c r="B2399" i="3"/>
  <c r="A2399" i="3"/>
  <c r="H2398" i="3"/>
  <c r="G2398" i="3"/>
  <c r="F2398" i="3"/>
  <c r="E2398" i="3"/>
  <c r="D2398" i="3"/>
  <c r="C2398" i="3"/>
  <c r="B2398" i="3"/>
  <c r="A2398" i="3"/>
  <c r="H2397" i="3"/>
  <c r="G2397" i="3"/>
  <c r="F2397" i="3"/>
  <c r="E2397" i="3"/>
  <c r="D2397" i="3"/>
  <c r="C2397" i="3"/>
  <c r="B2397" i="3"/>
  <c r="A2397" i="3"/>
  <c r="H2396" i="3"/>
  <c r="G2396" i="3"/>
  <c r="F2396" i="3"/>
  <c r="E2396" i="3"/>
  <c r="D2396" i="3"/>
  <c r="C2396" i="3"/>
  <c r="B2396" i="3"/>
  <c r="A2396" i="3"/>
  <c r="H2395" i="3"/>
  <c r="G2395" i="3"/>
  <c r="F2395" i="3"/>
  <c r="E2395" i="3"/>
  <c r="D2395" i="3"/>
  <c r="C2395" i="3"/>
  <c r="B2395" i="3"/>
  <c r="A2395" i="3"/>
  <c r="H2394" i="3"/>
  <c r="G2394" i="3"/>
  <c r="F2394" i="3"/>
  <c r="E2394" i="3"/>
  <c r="D2394" i="3"/>
  <c r="C2394" i="3"/>
  <c r="B2394" i="3"/>
  <c r="A2394" i="3"/>
  <c r="H2393" i="3"/>
  <c r="G2393" i="3"/>
  <c r="F2393" i="3"/>
  <c r="E2393" i="3"/>
  <c r="D2393" i="3"/>
  <c r="C2393" i="3"/>
  <c r="B2393" i="3"/>
  <c r="A2393" i="3"/>
  <c r="H2392" i="3"/>
  <c r="G2392" i="3"/>
  <c r="F2392" i="3"/>
  <c r="E2392" i="3"/>
  <c r="D2392" i="3"/>
  <c r="C2392" i="3"/>
  <c r="B2392" i="3"/>
  <c r="A2392" i="3"/>
  <c r="H2391" i="3"/>
  <c r="G2391" i="3"/>
  <c r="F2391" i="3"/>
  <c r="E2391" i="3"/>
  <c r="D2391" i="3"/>
  <c r="C2391" i="3"/>
  <c r="B2391" i="3"/>
  <c r="A2391" i="3"/>
  <c r="H2390" i="3"/>
  <c r="G2390" i="3"/>
  <c r="F2390" i="3"/>
  <c r="E2390" i="3"/>
  <c r="D2390" i="3"/>
  <c r="C2390" i="3"/>
  <c r="B2390" i="3"/>
  <c r="A2390" i="3"/>
  <c r="H2389" i="3"/>
  <c r="G2389" i="3"/>
  <c r="F2389" i="3"/>
  <c r="E2389" i="3"/>
  <c r="D2389" i="3"/>
  <c r="C2389" i="3"/>
  <c r="B2389" i="3"/>
  <c r="A2389" i="3"/>
  <c r="H2388" i="3"/>
  <c r="G2388" i="3"/>
  <c r="F2388" i="3"/>
  <c r="E2388" i="3"/>
  <c r="D2388" i="3"/>
  <c r="C2388" i="3"/>
  <c r="B2388" i="3"/>
  <c r="A2388" i="3"/>
  <c r="H2387" i="3"/>
  <c r="G2387" i="3"/>
  <c r="F2387" i="3"/>
  <c r="E2387" i="3"/>
  <c r="D2387" i="3"/>
  <c r="C2387" i="3"/>
  <c r="B2387" i="3"/>
  <c r="A2387" i="3"/>
  <c r="H2386" i="3"/>
  <c r="G2386" i="3"/>
  <c r="F2386" i="3"/>
  <c r="E2386" i="3"/>
  <c r="D2386" i="3"/>
  <c r="C2386" i="3"/>
  <c r="B2386" i="3"/>
  <c r="A2386" i="3"/>
  <c r="H2385" i="3"/>
  <c r="G2385" i="3"/>
  <c r="F2385" i="3"/>
  <c r="E2385" i="3"/>
  <c r="D2385" i="3"/>
  <c r="C2385" i="3"/>
  <c r="B2385" i="3"/>
  <c r="A2385" i="3"/>
  <c r="H2384" i="3"/>
  <c r="G2384" i="3"/>
  <c r="F2384" i="3"/>
  <c r="E2384" i="3"/>
  <c r="D2384" i="3"/>
  <c r="C2384" i="3"/>
  <c r="B2384" i="3"/>
  <c r="A2384" i="3"/>
  <c r="H2383" i="3"/>
  <c r="G2383" i="3"/>
  <c r="F2383" i="3"/>
  <c r="E2383" i="3"/>
  <c r="D2383" i="3"/>
  <c r="C2383" i="3"/>
  <c r="B2383" i="3"/>
  <c r="A2383" i="3"/>
  <c r="H2382" i="3"/>
  <c r="G2382" i="3"/>
  <c r="F2382" i="3"/>
  <c r="E2382" i="3"/>
  <c r="D2382" i="3"/>
  <c r="C2382" i="3"/>
  <c r="B2382" i="3"/>
  <c r="A2382" i="3"/>
  <c r="H2381" i="3"/>
  <c r="G2381" i="3"/>
  <c r="F2381" i="3"/>
  <c r="E2381" i="3"/>
  <c r="D2381" i="3"/>
  <c r="C2381" i="3"/>
  <c r="B2381" i="3"/>
  <c r="A2381" i="3"/>
  <c r="H2380" i="3"/>
  <c r="G2380" i="3"/>
  <c r="F2380" i="3"/>
  <c r="E2380" i="3"/>
  <c r="D2380" i="3"/>
  <c r="C2380" i="3"/>
  <c r="B2380" i="3"/>
  <c r="A2380" i="3"/>
  <c r="H2379" i="3"/>
  <c r="G2379" i="3"/>
  <c r="F2379" i="3"/>
  <c r="E2379" i="3"/>
  <c r="D2379" i="3"/>
  <c r="C2379" i="3"/>
  <c r="B2379" i="3"/>
  <c r="A2379" i="3"/>
  <c r="H2378" i="3"/>
  <c r="G2378" i="3"/>
  <c r="F2378" i="3"/>
  <c r="E2378" i="3"/>
  <c r="D2378" i="3"/>
  <c r="C2378" i="3"/>
  <c r="B2378" i="3"/>
  <c r="A2378" i="3"/>
  <c r="H2377" i="3"/>
  <c r="G2377" i="3"/>
  <c r="F2377" i="3"/>
  <c r="E2377" i="3"/>
  <c r="D2377" i="3"/>
  <c r="C2377" i="3"/>
  <c r="B2377" i="3"/>
  <c r="A2377" i="3"/>
  <c r="H2376" i="3"/>
  <c r="G2376" i="3"/>
  <c r="F2376" i="3"/>
  <c r="E2376" i="3"/>
  <c r="D2376" i="3"/>
  <c r="C2376" i="3"/>
  <c r="B2376" i="3"/>
  <c r="A2376" i="3"/>
  <c r="H2375" i="3"/>
  <c r="G2375" i="3"/>
  <c r="F2375" i="3"/>
  <c r="E2375" i="3"/>
  <c r="D2375" i="3"/>
  <c r="C2375" i="3"/>
  <c r="B2375" i="3"/>
  <c r="A2375" i="3"/>
  <c r="H2374" i="3"/>
  <c r="G2374" i="3"/>
  <c r="F2374" i="3"/>
  <c r="E2374" i="3"/>
  <c r="D2374" i="3"/>
  <c r="C2374" i="3"/>
  <c r="B2374" i="3"/>
  <c r="A2374" i="3"/>
  <c r="H2373" i="3"/>
  <c r="G2373" i="3"/>
  <c r="F2373" i="3"/>
  <c r="E2373" i="3"/>
  <c r="D2373" i="3"/>
  <c r="C2373" i="3"/>
  <c r="B2373" i="3"/>
  <c r="A2373" i="3"/>
  <c r="H2372" i="3"/>
  <c r="G2372" i="3"/>
  <c r="F2372" i="3"/>
  <c r="E2372" i="3"/>
  <c r="D2372" i="3"/>
  <c r="C2372" i="3"/>
  <c r="B2372" i="3"/>
  <c r="A2372" i="3"/>
  <c r="H2371" i="3"/>
  <c r="G2371" i="3"/>
  <c r="F2371" i="3"/>
  <c r="E2371" i="3"/>
  <c r="D2371" i="3"/>
  <c r="C2371" i="3"/>
  <c r="B2371" i="3"/>
  <c r="A2371" i="3"/>
  <c r="H2370" i="3"/>
  <c r="G2370" i="3"/>
  <c r="F2370" i="3"/>
  <c r="E2370" i="3"/>
  <c r="D2370" i="3"/>
  <c r="C2370" i="3"/>
  <c r="B2370" i="3"/>
  <c r="A2370" i="3"/>
  <c r="H2369" i="3"/>
  <c r="G2369" i="3"/>
  <c r="F2369" i="3"/>
  <c r="E2369" i="3"/>
  <c r="D2369" i="3"/>
  <c r="C2369" i="3"/>
  <c r="B2369" i="3"/>
  <c r="A2369" i="3"/>
  <c r="H2368" i="3"/>
  <c r="G2368" i="3"/>
  <c r="F2368" i="3"/>
  <c r="E2368" i="3"/>
  <c r="D2368" i="3"/>
  <c r="C2368" i="3"/>
  <c r="B2368" i="3"/>
  <c r="A2368" i="3"/>
  <c r="H2367" i="3"/>
  <c r="G2367" i="3"/>
  <c r="F2367" i="3"/>
  <c r="E2367" i="3"/>
  <c r="D2367" i="3"/>
  <c r="C2367" i="3"/>
  <c r="B2367" i="3"/>
  <c r="A2367" i="3"/>
  <c r="H2366" i="3"/>
  <c r="G2366" i="3"/>
  <c r="F2366" i="3"/>
  <c r="E2366" i="3"/>
  <c r="D2366" i="3"/>
  <c r="C2366" i="3"/>
  <c r="B2366" i="3"/>
  <c r="A2366" i="3"/>
  <c r="H2365" i="3"/>
  <c r="G2365" i="3"/>
  <c r="F2365" i="3"/>
  <c r="E2365" i="3"/>
  <c r="D2365" i="3"/>
  <c r="C2365" i="3"/>
  <c r="B2365" i="3"/>
  <c r="A2365" i="3"/>
  <c r="H2364" i="3"/>
  <c r="G2364" i="3"/>
  <c r="F2364" i="3"/>
  <c r="E2364" i="3"/>
  <c r="D2364" i="3"/>
  <c r="C2364" i="3"/>
  <c r="B2364" i="3"/>
  <c r="A2364" i="3"/>
  <c r="H2363" i="3"/>
  <c r="G2363" i="3"/>
  <c r="F2363" i="3"/>
  <c r="E2363" i="3"/>
  <c r="D2363" i="3"/>
  <c r="C2363" i="3"/>
  <c r="B2363" i="3"/>
  <c r="A2363" i="3"/>
  <c r="H2362" i="3"/>
  <c r="G2362" i="3"/>
  <c r="F2362" i="3"/>
  <c r="E2362" i="3"/>
  <c r="D2362" i="3"/>
  <c r="C2362" i="3"/>
  <c r="B2362" i="3"/>
  <c r="A2362" i="3"/>
  <c r="H2361" i="3"/>
  <c r="G2361" i="3"/>
  <c r="F2361" i="3"/>
  <c r="E2361" i="3"/>
  <c r="D2361" i="3"/>
  <c r="C2361" i="3"/>
  <c r="B2361" i="3"/>
  <c r="A2361" i="3"/>
  <c r="H2360" i="3"/>
  <c r="G2360" i="3"/>
  <c r="F2360" i="3"/>
  <c r="E2360" i="3"/>
  <c r="D2360" i="3"/>
  <c r="C2360" i="3"/>
  <c r="B2360" i="3"/>
  <c r="A2360" i="3"/>
  <c r="H2359" i="3"/>
  <c r="G2359" i="3"/>
  <c r="F2359" i="3"/>
  <c r="E2359" i="3"/>
  <c r="D2359" i="3"/>
  <c r="C2359" i="3"/>
  <c r="B2359" i="3"/>
  <c r="A2359" i="3"/>
  <c r="H2358" i="3"/>
  <c r="G2358" i="3"/>
  <c r="F2358" i="3"/>
  <c r="E2358" i="3"/>
  <c r="D2358" i="3"/>
  <c r="C2358" i="3"/>
  <c r="B2358" i="3"/>
  <c r="A2358" i="3"/>
  <c r="H2357" i="3"/>
  <c r="G2357" i="3"/>
  <c r="F2357" i="3"/>
  <c r="E2357" i="3"/>
  <c r="D2357" i="3"/>
  <c r="C2357" i="3"/>
  <c r="B2357" i="3"/>
  <c r="A2357" i="3"/>
  <c r="H2356" i="3"/>
  <c r="G2356" i="3"/>
  <c r="F2356" i="3"/>
  <c r="E2356" i="3"/>
  <c r="D2356" i="3"/>
  <c r="C2356" i="3"/>
  <c r="B2356" i="3"/>
  <c r="A2356" i="3"/>
  <c r="H2355" i="3"/>
  <c r="G2355" i="3"/>
  <c r="F2355" i="3"/>
  <c r="E2355" i="3"/>
  <c r="D2355" i="3"/>
  <c r="C2355" i="3"/>
  <c r="B2355" i="3"/>
  <c r="A2355" i="3"/>
  <c r="H2354" i="3"/>
  <c r="G2354" i="3"/>
  <c r="F2354" i="3"/>
  <c r="E2354" i="3"/>
  <c r="D2354" i="3"/>
  <c r="C2354" i="3"/>
  <c r="B2354" i="3"/>
  <c r="A2354" i="3"/>
  <c r="H2353" i="3"/>
  <c r="G2353" i="3"/>
  <c r="F2353" i="3"/>
  <c r="E2353" i="3"/>
  <c r="D2353" i="3"/>
  <c r="C2353" i="3"/>
  <c r="B2353" i="3"/>
  <c r="A2353" i="3"/>
  <c r="H2352" i="3"/>
  <c r="G2352" i="3"/>
  <c r="F2352" i="3"/>
  <c r="E2352" i="3"/>
  <c r="D2352" i="3"/>
  <c r="C2352" i="3"/>
  <c r="B2352" i="3"/>
  <c r="A2352" i="3"/>
  <c r="H2351" i="3"/>
  <c r="G2351" i="3"/>
  <c r="F2351" i="3"/>
  <c r="E2351" i="3"/>
  <c r="D2351" i="3"/>
  <c r="C2351" i="3"/>
  <c r="B2351" i="3"/>
  <c r="A2351" i="3"/>
  <c r="H2350" i="3"/>
  <c r="G2350" i="3"/>
  <c r="F2350" i="3"/>
  <c r="E2350" i="3"/>
  <c r="D2350" i="3"/>
  <c r="C2350" i="3"/>
  <c r="B2350" i="3"/>
  <c r="A2350" i="3"/>
  <c r="H2349" i="3"/>
  <c r="G2349" i="3"/>
  <c r="F2349" i="3"/>
  <c r="E2349" i="3"/>
  <c r="D2349" i="3"/>
  <c r="C2349" i="3"/>
  <c r="B2349" i="3"/>
  <c r="A2349" i="3"/>
  <c r="H2348" i="3"/>
  <c r="G2348" i="3"/>
  <c r="F2348" i="3"/>
  <c r="E2348" i="3"/>
  <c r="D2348" i="3"/>
  <c r="C2348" i="3"/>
  <c r="B2348" i="3"/>
  <c r="A2348" i="3"/>
  <c r="H2347" i="3"/>
  <c r="G2347" i="3"/>
  <c r="F2347" i="3"/>
  <c r="E2347" i="3"/>
  <c r="D2347" i="3"/>
  <c r="C2347" i="3"/>
  <c r="B2347" i="3"/>
  <c r="A2347" i="3"/>
  <c r="H2346" i="3"/>
  <c r="G2346" i="3"/>
  <c r="F2346" i="3"/>
  <c r="E2346" i="3"/>
  <c r="D2346" i="3"/>
  <c r="C2346" i="3"/>
  <c r="B2346" i="3"/>
  <c r="A2346" i="3"/>
  <c r="H2345" i="3"/>
  <c r="G2345" i="3"/>
  <c r="F2345" i="3"/>
  <c r="E2345" i="3"/>
  <c r="D2345" i="3"/>
  <c r="C2345" i="3"/>
  <c r="B2345" i="3"/>
  <c r="A2345" i="3"/>
  <c r="H2344" i="3"/>
  <c r="G2344" i="3"/>
  <c r="F2344" i="3"/>
  <c r="E2344" i="3"/>
  <c r="D2344" i="3"/>
  <c r="C2344" i="3"/>
  <c r="B2344" i="3"/>
  <c r="A2344" i="3"/>
  <c r="H2343" i="3"/>
  <c r="G2343" i="3"/>
  <c r="F2343" i="3"/>
  <c r="E2343" i="3"/>
  <c r="D2343" i="3"/>
  <c r="C2343" i="3"/>
  <c r="B2343" i="3"/>
  <c r="A2343" i="3"/>
  <c r="H2342" i="3"/>
  <c r="G2342" i="3"/>
  <c r="F2342" i="3"/>
  <c r="E2342" i="3"/>
  <c r="D2342" i="3"/>
  <c r="C2342" i="3"/>
  <c r="B2342" i="3"/>
  <c r="A2342" i="3"/>
  <c r="H2341" i="3"/>
  <c r="G2341" i="3"/>
  <c r="F2341" i="3"/>
  <c r="E2341" i="3"/>
  <c r="D2341" i="3"/>
  <c r="C2341" i="3"/>
  <c r="B2341" i="3"/>
  <c r="A2341" i="3"/>
  <c r="H2340" i="3"/>
  <c r="G2340" i="3"/>
  <c r="F2340" i="3"/>
  <c r="E2340" i="3"/>
  <c r="D2340" i="3"/>
  <c r="C2340" i="3"/>
  <c r="B2340" i="3"/>
  <c r="A2340" i="3"/>
  <c r="H2339" i="3"/>
  <c r="G2339" i="3"/>
  <c r="F2339" i="3"/>
  <c r="E2339" i="3"/>
  <c r="D2339" i="3"/>
  <c r="C2339" i="3"/>
  <c r="B2339" i="3"/>
  <c r="A2339" i="3"/>
  <c r="H2338" i="3"/>
  <c r="G2338" i="3"/>
  <c r="F2338" i="3"/>
  <c r="E2338" i="3"/>
  <c r="D2338" i="3"/>
  <c r="C2338" i="3"/>
  <c r="B2338" i="3"/>
  <c r="A2338" i="3"/>
  <c r="H2337" i="3"/>
  <c r="G2337" i="3"/>
  <c r="F2337" i="3"/>
  <c r="E2337" i="3"/>
  <c r="D2337" i="3"/>
  <c r="C2337" i="3"/>
  <c r="B2337" i="3"/>
  <c r="A2337" i="3"/>
  <c r="H2336" i="3"/>
  <c r="G2336" i="3"/>
  <c r="F2336" i="3"/>
  <c r="E2336" i="3"/>
  <c r="D2336" i="3"/>
  <c r="C2336" i="3"/>
  <c r="B2336" i="3"/>
  <c r="A2336" i="3"/>
  <c r="H2335" i="3"/>
  <c r="G2335" i="3"/>
  <c r="F2335" i="3"/>
  <c r="E2335" i="3"/>
  <c r="D2335" i="3"/>
  <c r="C2335" i="3"/>
  <c r="B2335" i="3"/>
  <c r="A2335" i="3"/>
  <c r="H2334" i="3"/>
  <c r="G2334" i="3"/>
  <c r="F2334" i="3"/>
  <c r="E2334" i="3"/>
  <c r="D2334" i="3"/>
  <c r="C2334" i="3"/>
  <c r="B2334" i="3"/>
  <c r="A2334" i="3"/>
  <c r="H2333" i="3"/>
  <c r="G2333" i="3"/>
  <c r="F2333" i="3"/>
  <c r="E2333" i="3"/>
  <c r="D2333" i="3"/>
  <c r="C2333" i="3"/>
  <c r="B2333" i="3"/>
  <c r="A2333" i="3"/>
  <c r="H2332" i="3"/>
  <c r="G2332" i="3"/>
  <c r="F2332" i="3"/>
  <c r="E2332" i="3"/>
  <c r="D2332" i="3"/>
  <c r="C2332" i="3"/>
  <c r="B2332" i="3"/>
  <c r="A2332" i="3"/>
  <c r="H2331" i="3"/>
  <c r="G2331" i="3"/>
  <c r="F2331" i="3"/>
  <c r="E2331" i="3"/>
  <c r="D2331" i="3"/>
  <c r="C2331" i="3"/>
  <c r="B2331" i="3"/>
  <c r="A2331" i="3"/>
  <c r="H2330" i="3"/>
  <c r="G2330" i="3"/>
  <c r="F2330" i="3"/>
  <c r="E2330" i="3"/>
  <c r="D2330" i="3"/>
  <c r="C2330" i="3"/>
  <c r="B2330" i="3"/>
  <c r="A2330" i="3"/>
  <c r="H2329" i="3"/>
  <c r="G2329" i="3"/>
  <c r="F2329" i="3"/>
  <c r="E2329" i="3"/>
  <c r="D2329" i="3"/>
  <c r="C2329" i="3"/>
  <c r="B2329" i="3"/>
  <c r="A2329" i="3"/>
  <c r="H2328" i="3"/>
  <c r="G2328" i="3"/>
  <c r="F2328" i="3"/>
  <c r="E2328" i="3"/>
  <c r="D2328" i="3"/>
  <c r="C2328" i="3"/>
  <c r="B2328" i="3"/>
  <c r="A2328" i="3"/>
  <c r="H2327" i="3"/>
  <c r="G2327" i="3"/>
  <c r="F2327" i="3"/>
  <c r="E2327" i="3"/>
  <c r="D2327" i="3"/>
  <c r="C2327" i="3"/>
  <c r="B2327" i="3"/>
  <c r="A2327" i="3"/>
  <c r="H2326" i="3"/>
  <c r="G2326" i="3"/>
  <c r="F2326" i="3"/>
  <c r="E2326" i="3"/>
  <c r="D2326" i="3"/>
  <c r="C2326" i="3"/>
  <c r="B2326" i="3"/>
  <c r="A2326" i="3"/>
  <c r="H2325" i="3"/>
  <c r="G2325" i="3"/>
  <c r="F2325" i="3"/>
  <c r="E2325" i="3"/>
  <c r="D2325" i="3"/>
  <c r="C2325" i="3"/>
  <c r="B2325" i="3"/>
  <c r="A2325" i="3"/>
  <c r="H2324" i="3"/>
  <c r="G2324" i="3"/>
  <c r="F2324" i="3"/>
  <c r="E2324" i="3"/>
  <c r="D2324" i="3"/>
  <c r="C2324" i="3"/>
  <c r="B2324" i="3"/>
  <c r="A2324" i="3"/>
  <c r="H2323" i="3"/>
  <c r="G2323" i="3"/>
  <c r="F2323" i="3"/>
  <c r="E2323" i="3"/>
  <c r="D2323" i="3"/>
  <c r="C2323" i="3"/>
  <c r="B2323" i="3"/>
  <c r="A2323" i="3"/>
  <c r="H2322" i="3"/>
  <c r="G2322" i="3"/>
  <c r="F2322" i="3"/>
  <c r="E2322" i="3"/>
  <c r="D2322" i="3"/>
  <c r="C2322" i="3"/>
  <c r="B2322" i="3"/>
  <c r="A2322" i="3"/>
  <c r="H2321" i="3"/>
  <c r="G2321" i="3"/>
  <c r="F2321" i="3"/>
  <c r="E2321" i="3"/>
  <c r="D2321" i="3"/>
  <c r="C2321" i="3"/>
  <c r="B2321" i="3"/>
  <c r="A2321" i="3"/>
  <c r="H2320" i="3"/>
  <c r="G2320" i="3"/>
  <c r="F2320" i="3"/>
  <c r="E2320" i="3"/>
  <c r="D2320" i="3"/>
  <c r="C2320" i="3"/>
  <c r="B2320" i="3"/>
  <c r="A2320" i="3"/>
  <c r="H2319" i="3"/>
  <c r="G2319" i="3"/>
  <c r="F2319" i="3"/>
  <c r="E2319" i="3"/>
  <c r="D2319" i="3"/>
  <c r="C2319" i="3"/>
  <c r="B2319" i="3"/>
  <c r="A2319" i="3"/>
  <c r="H2318" i="3"/>
  <c r="G2318" i="3"/>
  <c r="F2318" i="3"/>
  <c r="E2318" i="3"/>
  <c r="D2318" i="3"/>
  <c r="C2318" i="3"/>
  <c r="B2318" i="3"/>
  <c r="A2318" i="3"/>
  <c r="H2317" i="3"/>
  <c r="G2317" i="3"/>
  <c r="F2317" i="3"/>
  <c r="E2317" i="3"/>
  <c r="D2317" i="3"/>
  <c r="C2317" i="3"/>
  <c r="B2317" i="3"/>
  <c r="A2317" i="3"/>
  <c r="H2316" i="3"/>
  <c r="G2316" i="3"/>
  <c r="F2316" i="3"/>
  <c r="E2316" i="3"/>
  <c r="D2316" i="3"/>
  <c r="C2316" i="3"/>
  <c r="B2316" i="3"/>
  <c r="A2316" i="3"/>
  <c r="H2315" i="3"/>
  <c r="G2315" i="3"/>
  <c r="F2315" i="3"/>
  <c r="E2315" i="3"/>
  <c r="D2315" i="3"/>
  <c r="C2315" i="3"/>
  <c r="B2315" i="3"/>
  <c r="A2315" i="3"/>
  <c r="H2314" i="3"/>
  <c r="G2314" i="3"/>
  <c r="F2314" i="3"/>
  <c r="E2314" i="3"/>
  <c r="D2314" i="3"/>
  <c r="C2314" i="3"/>
  <c r="B2314" i="3"/>
  <c r="A2314" i="3"/>
  <c r="H2313" i="3"/>
  <c r="G2313" i="3"/>
  <c r="F2313" i="3"/>
  <c r="E2313" i="3"/>
  <c r="D2313" i="3"/>
  <c r="C2313" i="3"/>
  <c r="B2313" i="3"/>
  <c r="A2313" i="3"/>
  <c r="H2312" i="3"/>
  <c r="G2312" i="3"/>
  <c r="F2312" i="3"/>
  <c r="E2312" i="3"/>
  <c r="D2312" i="3"/>
  <c r="C2312" i="3"/>
  <c r="B2312" i="3"/>
  <c r="A2312" i="3"/>
  <c r="H2311" i="3"/>
  <c r="G2311" i="3"/>
  <c r="F2311" i="3"/>
  <c r="E2311" i="3"/>
  <c r="D2311" i="3"/>
  <c r="C2311" i="3"/>
  <c r="B2311" i="3"/>
  <c r="A2311" i="3"/>
  <c r="H2310" i="3"/>
  <c r="G2310" i="3"/>
  <c r="F2310" i="3"/>
  <c r="E2310" i="3"/>
  <c r="D2310" i="3"/>
  <c r="C2310" i="3"/>
  <c r="B2310" i="3"/>
  <c r="A2310" i="3"/>
  <c r="H2309" i="3"/>
  <c r="G2309" i="3"/>
  <c r="F2309" i="3"/>
  <c r="E2309" i="3"/>
  <c r="D2309" i="3"/>
  <c r="C2309" i="3"/>
  <c r="B2309" i="3"/>
  <c r="A2309" i="3"/>
  <c r="H2308" i="3"/>
  <c r="G2308" i="3"/>
  <c r="F2308" i="3"/>
  <c r="E2308" i="3"/>
  <c r="D2308" i="3"/>
  <c r="C2308" i="3"/>
  <c r="B2308" i="3"/>
  <c r="A2308" i="3"/>
  <c r="H2307" i="3"/>
  <c r="G2307" i="3"/>
  <c r="F2307" i="3"/>
  <c r="E2307" i="3"/>
  <c r="D2307" i="3"/>
  <c r="C2307" i="3"/>
  <c r="B2307" i="3"/>
  <c r="A2307" i="3"/>
  <c r="H2306" i="3"/>
  <c r="G2306" i="3"/>
  <c r="F2306" i="3"/>
  <c r="E2306" i="3"/>
  <c r="D2306" i="3"/>
  <c r="C2306" i="3"/>
  <c r="B2306" i="3"/>
  <c r="A2306" i="3"/>
  <c r="H2305" i="3"/>
  <c r="G2305" i="3"/>
  <c r="F2305" i="3"/>
  <c r="E2305" i="3"/>
  <c r="D2305" i="3"/>
  <c r="C2305" i="3"/>
  <c r="B2305" i="3"/>
  <c r="A2305" i="3"/>
  <c r="H2304" i="3"/>
  <c r="G2304" i="3"/>
  <c r="F2304" i="3"/>
  <c r="E2304" i="3"/>
  <c r="D2304" i="3"/>
  <c r="C2304" i="3"/>
  <c r="B2304" i="3"/>
  <c r="A2304" i="3"/>
  <c r="H2303" i="3"/>
  <c r="G2303" i="3"/>
  <c r="F2303" i="3"/>
  <c r="E2303" i="3"/>
  <c r="D2303" i="3"/>
  <c r="C2303" i="3"/>
  <c r="B2303" i="3"/>
  <c r="A2303" i="3"/>
  <c r="H2302" i="3"/>
  <c r="G2302" i="3"/>
  <c r="F2302" i="3"/>
  <c r="E2302" i="3"/>
  <c r="D2302" i="3"/>
  <c r="C2302" i="3"/>
  <c r="B2302" i="3"/>
  <c r="A2302" i="3"/>
  <c r="H2301" i="3"/>
  <c r="G2301" i="3"/>
  <c r="F2301" i="3"/>
  <c r="E2301" i="3"/>
  <c r="D2301" i="3"/>
  <c r="C2301" i="3"/>
  <c r="B2301" i="3"/>
  <c r="A2301" i="3"/>
  <c r="H2300" i="3"/>
  <c r="G2300" i="3"/>
  <c r="F2300" i="3"/>
  <c r="E2300" i="3"/>
  <c r="D2300" i="3"/>
  <c r="C2300" i="3"/>
  <c r="B2300" i="3"/>
  <c r="A2300" i="3"/>
  <c r="H2299" i="3"/>
  <c r="G2299" i="3"/>
  <c r="F2299" i="3"/>
  <c r="E2299" i="3"/>
  <c r="D2299" i="3"/>
  <c r="C2299" i="3"/>
  <c r="B2299" i="3"/>
  <c r="A2299" i="3"/>
  <c r="H2298" i="3"/>
  <c r="G2298" i="3"/>
  <c r="F2298" i="3"/>
  <c r="E2298" i="3"/>
  <c r="D2298" i="3"/>
  <c r="C2298" i="3"/>
  <c r="B2298" i="3"/>
  <c r="A2298" i="3"/>
  <c r="H2297" i="3"/>
  <c r="G2297" i="3"/>
  <c r="F2297" i="3"/>
  <c r="E2297" i="3"/>
  <c r="D2297" i="3"/>
  <c r="C2297" i="3"/>
  <c r="B2297" i="3"/>
  <c r="A2297" i="3"/>
  <c r="H2296" i="3"/>
  <c r="G2296" i="3"/>
  <c r="F2296" i="3"/>
  <c r="E2296" i="3"/>
  <c r="D2296" i="3"/>
  <c r="C2296" i="3"/>
  <c r="B2296" i="3"/>
  <c r="A2296" i="3"/>
  <c r="H2295" i="3"/>
  <c r="G2295" i="3"/>
  <c r="F2295" i="3"/>
  <c r="E2295" i="3"/>
  <c r="D2295" i="3"/>
  <c r="C2295" i="3"/>
  <c r="B2295" i="3"/>
  <c r="A2295" i="3"/>
  <c r="H2294" i="3"/>
  <c r="G2294" i="3"/>
  <c r="F2294" i="3"/>
  <c r="E2294" i="3"/>
  <c r="D2294" i="3"/>
  <c r="C2294" i="3"/>
  <c r="B2294" i="3"/>
  <c r="A2294" i="3"/>
  <c r="H2293" i="3"/>
  <c r="G2293" i="3"/>
  <c r="F2293" i="3"/>
  <c r="E2293" i="3"/>
  <c r="D2293" i="3"/>
  <c r="C2293" i="3"/>
  <c r="B2293" i="3"/>
  <c r="A2293" i="3"/>
  <c r="H2292" i="3"/>
  <c r="G2292" i="3"/>
  <c r="F2292" i="3"/>
  <c r="E2292" i="3"/>
  <c r="D2292" i="3"/>
  <c r="C2292" i="3"/>
  <c r="B2292" i="3"/>
  <c r="A2292" i="3"/>
  <c r="H2291" i="3"/>
  <c r="G2291" i="3"/>
  <c r="F2291" i="3"/>
  <c r="E2291" i="3"/>
  <c r="D2291" i="3"/>
  <c r="C2291" i="3"/>
  <c r="B2291" i="3"/>
  <c r="A2291" i="3"/>
  <c r="H2290" i="3"/>
  <c r="G2290" i="3"/>
  <c r="F2290" i="3"/>
  <c r="E2290" i="3"/>
  <c r="D2290" i="3"/>
  <c r="C2290" i="3"/>
  <c r="B2290" i="3"/>
  <c r="A2290" i="3"/>
  <c r="H2289" i="3"/>
  <c r="G2289" i="3"/>
  <c r="F2289" i="3"/>
  <c r="E2289" i="3"/>
  <c r="D2289" i="3"/>
  <c r="C2289" i="3"/>
  <c r="B2289" i="3"/>
  <c r="A2289" i="3"/>
  <c r="H2288" i="3"/>
  <c r="G2288" i="3"/>
  <c r="F2288" i="3"/>
  <c r="E2288" i="3"/>
  <c r="D2288" i="3"/>
  <c r="C2288" i="3"/>
  <c r="B2288" i="3"/>
  <c r="A2288" i="3"/>
  <c r="H2287" i="3"/>
  <c r="G2287" i="3"/>
  <c r="F2287" i="3"/>
  <c r="E2287" i="3"/>
  <c r="D2287" i="3"/>
  <c r="C2287" i="3"/>
  <c r="B2287" i="3"/>
  <c r="A2287" i="3"/>
  <c r="H2286" i="3"/>
  <c r="G2286" i="3"/>
  <c r="F2286" i="3"/>
  <c r="E2286" i="3"/>
  <c r="D2286" i="3"/>
  <c r="C2286" i="3"/>
  <c r="B2286" i="3"/>
  <c r="A2286" i="3"/>
  <c r="H2285" i="3"/>
  <c r="G2285" i="3"/>
  <c r="F2285" i="3"/>
  <c r="E2285" i="3"/>
  <c r="D2285" i="3"/>
  <c r="C2285" i="3"/>
  <c r="B2285" i="3"/>
  <c r="A2285" i="3"/>
  <c r="H2284" i="3"/>
  <c r="G2284" i="3"/>
  <c r="F2284" i="3"/>
  <c r="E2284" i="3"/>
  <c r="D2284" i="3"/>
  <c r="C2284" i="3"/>
  <c r="B2284" i="3"/>
  <c r="A2284" i="3"/>
  <c r="H2283" i="3"/>
  <c r="G2283" i="3"/>
  <c r="F2283" i="3"/>
  <c r="E2283" i="3"/>
  <c r="D2283" i="3"/>
  <c r="C2283" i="3"/>
  <c r="B2283" i="3"/>
  <c r="A2283" i="3"/>
  <c r="H2282" i="3"/>
  <c r="G2282" i="3"/>
  <c r="F2282" i="3"/>
  <c r="E2282" i="3"/>
  <c r="D2282" i="3"/>
  <c r="C2282" i="3"/>
  <c r="B2282" i="3"/>
  <c r="A2282" i="3"/>
  <c r="H2281" i="3"/>
  <c r="G2281" i="3"/>
  <c r="F2281" i="3"/>
  <c r="E2281" i="3"/>
  <c r="D2281" i="3"/>
  <c r="C2281" i="3"/>
  <c r="B2281" i="3"/>
  <c r="A2281" i="3"/>
  <c r="H2280" i="3"/>
  <c r="G2280" i="3"/>
  <c r="F2280" i="3"/>
  <c r="E2280" i="3"/>
  <c r="D2280" i="3"/>
  <c r="C2280" i="3"/>
  <c r="B2280" i="3"/>
  <c r="A2280" i="3"/>
  <c r="H2279" i="3"/>
  <c r="G2279" i="3"/>
  <c r="F2279" i="3"/>
  <c r="E2279" i="3"/>
  <c r="D2279" i="3"/>
  <c r="C2279" i="3"/>
  <c r="B2279" i="3"/>
  <c r="A2279" i="3"/>
  <c r="H2278" i="3"/>
  <c r="G2278" i="3"/>
  <c r="F2278" i="3"/>
  <c r="E2278" i="3"/>
  <c r="D2278" i="3"/>
  <c r="C2278" i="3"/>
  <c r="B2278" i="3"/>
  <c r="A2278" i="3"/>
  <c r="H2277" i="3"/>
  <c r="G2277" i="3"/>
  <c r="F2277" i="3"/>
  <c r="E2277" i="3"/>
  <c r="D2277" i="3"/>
  <c r="C2277" i="3"/>
  <c r="B2277" i="3"/>
  <c r="A2277" i="3"/>
  <c r="H2276" i="3"/>
  <c r="G2276" i="3"/>
  <c r="F2276" i="3"/>
  <c r="E2276" i="3"/>
  <c r="D2276" i="3"/>
  <c r="C2276" i="3"/>
  <c r="B2276" i="3"/>
  <c r="A2276" i="3"/>
  <c r="H2275" i="3"/>
  <c r="G2275" i="3"/>
  <c r="F2275" i="3"/>
  <c r="E2275" i="3"/>
  <c r="D2275" i="3"/>
  <c r="C2275" i="3"/>
  <c r="B2275" i="3"/>
  <c r="A2275" i="3"/>
  <c r="H2274" i="3"/>
  <c r="G2274" i="3"/>
  <c r="F2274" i="3"/>
  <c r="E2274" i="3"/>
  <c r="D2274" i="3"/>
  <c r="C2274" i="3"/>
  <c r="B2274" i="3"/>
  <c r="A2274" i="3"/>
  <c r="H2273" i="3"/>
  <c r="G2273" i="3"/>
  <c r="F2273" i="3"/>
  <c r="E2273" i="3"/>
  <c r="D2273" i="3"/>
  <c r="C2273" i="3"/>
  <c r="B2273" i="3"/>
  <c r="A2273" i="3"/>
  <c r="H2272" i="3"/>
  <c r="G2272" i="3"/>
  <c r="F2272" i="3"/>
  <c r="E2272" i="3"/>
  <c r="D2272" i="3"/>
  <c r="C2272" i="3"/>
  <c r="B2272" i="3"/>
  <c r="A2272" i="3"/>
  <c r="H2271" i="3"/>
  <c r="G2271" i="3"/>
  <c r="F2271" i="3"/>
  <c r="E2271" i="3"/>
  <c r="D2271" i="3"/>
  <c r="C2271" i="3"/>
  <c r="B2271" i="3"/>
  <c r="A2271" i="3"/>
  <c r="H2270" i="3"/>
  <c r="G2270" i="3"/>
  <c r="F2270" i="3"/>
  <c r="E2270" i="3"/>
  <c r="D2270" i="3"/>
  <c r="C2270" i="3"/>
  <c r="B2270" i="3"/>
  <c r="A2270" i="3"/>
  <c r="H2269" i="3"/>
  <c r="G2269" i="3"/>
  <c r="F2269" i="3"/>
  <c r="E2269" i="3"/>
  <c r="D2269" i="3"/>
  <c r="C2269" i="3"/>
  <c r="B2269" i="3"/>
  <c r="A2269" i="3"/>
  <c r="H2268" i="3"/>
  <c r="G2268" i="3"/>
  <c r="F2268" i="3"/>
  <c r="E2268" i="3"/>
  <c r="D2268" i="3"/>
  <c r="C2268" i="3"/>
  <c r="B2268" i="3"/>
  <c r="A2268" i="3"/>
  <c r="H2267" i="3"/>
  <c r="G2267" i="3"/>
  <c r="F2267" i="3"/>
  <c r="E2267" i="3"/>
  <c r="D2267" i="3"/>
  <c r="C2267" i="3"/>
  <c r="B2267" i="3"/>
  <c r="A2267" i="3"/>
  <c r="H2266" i="3"/>
  <c r="G2266" i="3"/>
  <c r="F2266" i="3"/>
  <c r="E2266" i="3"/>
  <c r="D2266" i="3"/>
  <c r="C2266" i="3"/>
  <c r="B2266" i="3"/>
  <c r="A2266" i="3"/>
  <c r="H2265" i="3"/>
  <c r="G2265" i="3"/>
  <c r="F2265" i="3"/>
  <c r="E2265" i="3"/>
  <c r="D2265" i="3"/>
  <c r="C2265" i="3"/>
  <c r="B2265" i="3"/>
  <c r="A2265" i="3"/>
  <c r="H2264" i="3"/>
  <c r="G2264" i="3"/>
  <c r="F2264" i="3"/>
  <c r="E2264" i="3"/>
  <c r="D2264" i="3"/>
  <c r="C2264" i="3"/>
  <c r="B2264" i="3"/>
  <c r="A2264" i="3"/>
  <c r="H2263" i="3"/>
  <c r="G2263" i="3"/>
  <c r="F2263" i="3"/>
  <c r="E2263" i="3"/>
  <c r="D2263" i="3"/>
  <c r="C2263" i="3"/>
  <c r="B2263" i="3"/>
  <c r="A2263" i="3"/>
  <c r="H2262" i="3"/>
  <c r="G2262" i="3"/>
  <c r="F2262" i="3"/>
  <c r="E2262" i="3"/>
  <c r="D2262" i="3"/>
  <c r="C2262" i="3"/>
  <c r="B2262" i="3"/>
  <c r="A2262" i="3"/>
  <c r="H2261" i="3"/>
  <c r="G2261" i="3"/>
  <c r="F2261" i="3"/>
  <c r="E2261" i="3"/>
  <c r="D2261" i="3"/>
  <c r="C2261" i="3"/>
  <c r="B2261" i="3"/>
  <c r="A2261" i="3"/>
  <c r="H2260" i="3"/>
  <c r="G2260" i="3"/>
  <c r="F2260" i="3"/>
  <c r="E2260" i="3"/>
  <c r="D2260" i="3"/>
  <c r="C2260" i="3"/>
  <c r="B2260" i="3"/>
  <c r="A2260" i="3"/>
  <c r="H2259" i="3"/>
  <c r="G2259" i="3"/>
  <c r="F2259" i="3"/>
  <c r="E2259" i="3"/>
  <c r="D2259" i="3"/>
  <c r="C2259" i="3"/>
  <c r="B2259" i="3"/>
  <c r="A2259" i="3"/>
  <c r="H2258" i="3"/>
  <c r="G2258" i="3"/>
  <c r="F2258" i="3"/>
  <c r="E2258" i="3"/>
  <c r="D2258" i="3"/>
  <c r="C2258" i="3"/>
  <c r="B2258" i="3"/>
  <c r="A2258" i="3"/>
  <c r="H2257" i="3"/>
  <c r="G2257" i="3"/>
  <c r="F2257" i="3"/>
  <c r="E2257" i="3"/>
  <c r="D2257" i="3"/>
  <c r="C2257" i="3"/>
  <c r="B2257" i="3"/>
  <c r="A2257" i="3"/>
  <c r="H2256" i="3"/>
  <c r="G2256" i="3"/>
  <c r="F2256" i="3"/>
  <c r="E2256" i="3"/>
  <c r="D2256" i="3"/>
  <c r="C2256" i="3"/>
  <c r="B2256" i="3"/>
  <c r="A2256" i="3"/>
  <c r="H2255" i="3"/>
  <c r="G2255" i="3"/>
  <c r="F2255" i="3"/>
  <c r="E2255" i="3"/>
  <c r="D2255" i="3"/>
  <c r="C2255" i="3"/>
  <c r="B2255" i="3"/>
  <c r="A2255" i="3"/>
  <c r="H2254" i="3"/>
  <c r="G2254" i="3"/>
  <c r="F2254" i="3"/>
  <c r="E2254" i="3"/>
  <c r="D2254" i="3"/>
  <c r="C2254" i="3"/>
  <c r="B2254" i="3"/>
  <c r="A2254" i="3"/>
  <c r="H2253" i="3"/>
  <c r="G2253" i="3"/>
  <c r="F2253" i="3"/>
  <c r="E2253" i="3"/>
  <c r="D2253" i="3"/>
  <c r="C2253" i="3"/>
  <c r="B2253" i="3"/>
  <c r="A2253" i="3"/>
  <c r="H2252" i="3"/>
  <c r="G2252" i="3"/>
  <c r="F2252" i="3"/>
  <c r="E2252" i="3"/>
  <c r="D2252" i="3"/>
  <c r="C2252" i="3"/>
  <c r="B2252" i="3"/>
  <c r="A2252" i="3"/>
  <c r="H2251" i="3"/>
  <c r="G2251" i="3"/>
  <c r="F2251" i="3"/>
  <c r="E2251" i="3"/>
  <c r="D2251" i="3"/>
  <c r="C2251" i="3"/>
  <c r="B2251" i="3"/>
  <c r="A2251" i="3"/>
  <c r="H2250" i="3"/>
  <c r="G2250" i="3"/>
  <c r="F2250" i="3"/>
  <c r="E2250" i="3"/>
  <c r="D2250" i="3"/>
  <c r="C2250" i="3"/>
  <c r="B2250" i="3"/>
  <c r="A2250" i="3"/>
  <c r="H2249" i="3"/>
  <c r="G2249" i="3"/>
  <c r="F2249" i="3"/>
  <c r="E2249" i="3"/>
  <c r="D2249" i="3"/>
  <c r="C2249" i="3"/>
  <c r="B2249" i="3"/>
  <c r="A2249" i="3"/>
  <c r="H2248" i="3"/>
  <c r="G2248" i="3"/>
  <c r="F2248" i="3"/>
  <c r="E2248" i="3"/>
  <c r="D2248" i="3"/>
  <c r="C2248" i="3"/>
  <c r="B2248" i="3"/>
  <c r="A2248" i="3"/>
  <c r="H2247" i="3"/>
  <c r="G2247" i="3"/>
  <c r="F2247" i="3"/>
  <c r="E2247" i="3"/>
  <c r="D2247" i="3"/>
  <c r="C2247" i="3"/>
  <c r="B2247" i="3"/>
  <c r="A2247" i="3"/>
  <c r="H2246" i="3"/>
  <c r="G2246" i="3"/>
  <c r="F2246" i="3"/>
  <c r="E2246" i="3"/>
  <c r="D2246" i="3"/>
  <c r="C2246" i="3"/>
  <c r="B2246" i="3"/>
  <c r="A2246" i="3"/>
  <c r="H2245" i="3"/>
  <c r="G2245" i="3"/>
  <c r="F2245" i="3"/>
  <c r="E2245" i="3"/>
  <c r="D2245" i="3"/>
  <c r="C2245" i="3"/>
  <c r="B2245" i="3"/>
  <c r="A2245" i="3"/>
  <c r="H2244" i="3"/>
  <c r="G2244" i="3"/>
  <c r="F2244" i="3"/>
  <c r="E2244" i="3"/>
  <c r="D2244" i="3"/>
  <c r="C2244" i="3"/>
  <c r="B2244" i="3"/>
  <c r="A2244" i="3"/>
  <c r="H2243" i="3"/>
  <c r="G2243" i="3"/>
  <c r="F2243" i="3"/>
  <c r="E2243" i="3"/>
  <c r="D2243" i="3"/>
  <c r="C2243" i="3"/>
  <c r="B2243" i="3"/>
  <c r="A2243" i="3"/>
  <c r="H2242" i="3"/>
  <c r="G2242" i="3"/>
  <c r="F2242" i="3"/>
  <c r="E2242" i="3"/>
  <c r="D2242" i="3"/>
  <c r="C2242" i="3"/>
  <c r="B2242" i="3"/>
  <c r="A2242" i="3"/>
  <c r="H2241" i="3"/>
  <c r="G2241" i="3"/>
  <c r="F2241" i="3"/>
  <c r="E2241" i="3"/>
  <c r="D2241" i="3"/>
  <c r="C2241" i="3"/>
  <c r="B2241" i="3"/>
  <c r="A2241" i="3"/>
  <c r="H2240" i="3"/>
  <c r="G2240" i="3"/>
  <c r="F2240" i="3"/>
  <c r="E2240" i="3"/>
  <c r="D2240" i="3"/>
  <c r="C2240" i="3"/>
  <c r="B2240" i="3"/>
  <c r="A2240" i="3"/>
  <c r="H2239" i="3"/>
  <c r="G2239" i="3"/>
  <c r="F2239" i="3"/>
  <c r="E2239" i="3"/>
  <c r="D2239" i="3"/>
  <c r="C2239" i="3"/>
  <c r="B2239" i="3"/>
  <c r="A2239" i="3"/>
  <c r="H2238" i="3"/>
  <c r="G2238" i="3"/>
  <c r="F2238" i="3"/>
  <c r="E2238" i="3"/>
  <c r="D2238" i="3"/>
  <c r="C2238" i="3"/>
  <c r="B2238" i="3"/>
  <c r="A2238" i="3"/>
  <c r="H2237" i="3"/>
  <c r="G2237" i="3"/>
  <c r="F2237" i="3"/>
  <c r="E2237" i="3"/>
  <c r="D2237" i="3"/>
  <c r="C2237" i="3"/>
  <c r="B2237" i="3"/>
  <c r="A2237" i="3"/>
  <c r="H2236" i="3"/>
  <c r="G2236" i="3"/>
  <c r="F2236" i="3"/>
  <c r="E2236" i="3"/>
  <c r="D2236" i="3"/>
  <c r="C2236" i="3"/>
  <c r="B2236" i="3"/>
  <c r="A2236" i="3"/>
  <c r="H2235" i="3"/>
  <c r="G2235" i="3"/>
  <c r="F2235" i="3"/>
  <c r="E2235" i="3"/>
  <c r="D2235" i="3"/>
  <c r="C2235" i="3"/>
  <c r="B2235" i="3"/>
  <c r="A2235" i="3"/>
  <c r="H2234" i="3"/>
  <c r="G2234" i="3"/>
  <c r="F2234" i="3"/>
  <c r="E2234" i="3"/>
  <c r="D2234" i="3"/>
  <c r="C2234" i="3"/>
  <c r="B2234" i="3"/>
  <c r="A2234" i="3"/>
  <c r="H2233" i="3"/>
  <c r="G2233" i="3"/>
  <c r="F2233" i="3"/>
  <c r="E2233" i="3"/>
  <c r="D2233" i="3"/>
  <c r="C2233" i="3"/>
  <c r="B2233" i="3"/>
  <c r="A2233" i="3"/>
  <c r="H2232" i="3"/>
  <c r="G2232" i="3"/>
  <c r="F2232" i="3"/>
  <c r="E2232" i="3"/>
  <c r="D2232" i="3"/>
  <c r="C2232" i="3"/>
  <c r="B2232" i="3"/>
  <c r="A2232" i="3"/>
  <c r="H2231" i="3"/>
  <c r="G2231" i="3"/>
  <c r="F2231" i="3"/>
  <c r="E2231" i="3"/>
  <c r="D2231" i="3"/>
  <c r="C2231" i="3"/>
  <c r="B2231" i="3"/>
  <c r="A2231" i="3"/>
  <c r="H2230" i="3"/>
  <c r="G2230" i="3"/>
  <c r="F2230" i="3"/>
  <c r="E2230" i="3"/>
  <c r="D2230" i="3"/>
  <c r="C2230" i="3"/>
  <c r="B2230" i="3"/>
  <c r="A2230" i="3"/>
  <c r="H2229" i="3"/>
  <c r="G2229" i="3"/>
  <c r="F2229" i="3"/>
  <c r="E2229" i="3"/>
  <c r="D2229" i="3"/>
  <c r="C2229" i="3"/>
  <c r="B2229" i="3"/>
  <c r="A2229" i="3"/>
  <c r="H2228" i="3"/>
  <c r="G2228" i="3"/>
  <c r="F2228" i="3"/>
  <c r="E2228" i="3"/>
  <c r="D2228" i="3"/>
  <c r="C2228" i="3"/>
  <c r="B2228" i="3"/>
  <c r="A2228" i="3"/>
  <c r="H2227" i="3"/>
  <c r="G2227" i="3"/>
  <c r="F2227" i="3"/>
  <c r="E2227" i="3"/>
  <c r="D2227" i="3"/>
  <c r="C2227" i="3"/>
  <c r="B2227" i="3"/>
  <c r="A2227" i="3"/>
  <c r="H2226" i="3"/>
  <c r="G2226" i="3"/>
  <c r="F2226" i="3"/>
  <c r="E2226" i="3"/>
  <c r="D2226" i="3"/>
  <c r="C2226" i="3"/>
  <c r="B2226" i="3"/>
  <c r="A2226" i="3"/>
  <c r="H2225" i="3"/>
  <c r="G2225" i="3"/>
  <c r="F2225" i="3"/>
  <c r="E2225" i="3"/>
  <c r="D2225" i="3"/>
  <c r="C2225" i="3"/>
  <c r="B2225" i="3"/>
  <c r="A2225" i="3"/>
  <c r="H2224" i="3"/>
  <c r="G2224" i="3"/>
  <c r="F2224" i="3"/>
  <c r="E2224" i="3"/>
  <c r="D2224" i="3"/>
  <c r="C2224" i="3"/>
  <c r="B2224" i="3"/>
  <c r="A2224" i="3"/>
  <c r="H2223" i="3"/>
  <c r="G2223" i="3"/>
  <c r="F2223" i="3"/>
  <c r="E2223" i="3"/>
  <c r="D2223" i="3"/>
  <c r="C2223" i="3"/>
  <c r="B2223" i="3"/>
  <c r="A2223" i="3"/>
  <c r="H2222" i="3"/>
  <c r="G2222" i="3"/>
  <c r="F2222" i="3"/>
  <c r="E2222" i="3"/>
  <c r="D2222" i="3"/>
  <c r="C2222" i="3"/>
  <c r="B2222" i="3"/>
  <c r="A2222" i="3"/>
  <c r="H2221" i="3"/>
  <c r="G2221" i="3"/>
  <c r="F2221" i="3"/>
  <c r="E2221" i="3"/>
  <c r="D2221" i="3"/>
  <c r="C2221" i="3"/>
  <c r="B2221" i="3"/>
  <c r="A2221" i="3"/>
  <c r="H2220" i="3"/>
  <c r="G2220" i="3"/>
  <c r="F2220" i="3"/>
  <c r="E2220" i="3"/>
  <c r="D2220" i="3"/>
  <c r="C2220" i="3"/>
  <c r="B2220" i="3"/>
  <c r="A2220" i="3"/>
  <c r="H2219" i="3"/>
  <c r="G2219" i="3"/>
  <c r="F2219" i="3"/>
  <c r="E2219" i="3"/>
  <c r="D2219" i="3"/>
  <c r="C2219" i="3"/>
  <c r="B2219" i="3"/>
  <c r="A2219" i="3"/>
  <c r="H2218" i="3"/>
  <c r="G2218" i="3"/>
  <c r="F2218" i="3"/>
  <c r="E2218" i="3"/>
  <c r="D2218" i="3"/>
  <c r="C2218" i="3"/>
  <c r="B2218" i="3"/>
  <c r="A2218" i="3"/>
  <c r="H2217" i="3"/>
  <c r="G2217" i="3"/>
  <c r="F2217" i="3"/>
  <c r="E2217" i="3"/>
  <c r="D2217" i="3"/>
  <c r="C2217" i="3"/>
  <c r="B2217" i="3"/>
  <c r="A2217" i="3"/>
  <c r="H2216" i="3"/>
  <c r="G2216" i="3"/>
  <c r="F2216" i="3"/>
  <c r="E2216" i="3"/>
  <c r="D2216" i="3"/>
  <c r="C2216" i="3"/>
  <c r="B2216" i="3"/>
  <c r="A2216" i="3"/>
  <c r="H2215" i="3"/>
  <c r="G2215" i="3"/>
  <c r="F2215" i="3"/>
  <c r="E2215" i="3"/>
  <c r="D2215" i="3"/>
  <c r="C2215" i="3"/>
  <c r="B2215" i="3"/>
  <c r="A2215" i="3"/>
  <c r="H2214" i="3"/>
  <c r="G2214" i="3"/>
  <c r="F2214" i="3"/>
  <c r="E2214" i="3"/>
  <c r="D2214" i="3"/>
  <c r="C2214" i="3"/>
  <c r="B2214" i="3"/>
  <c r="A2214" i="3"/>
  <c r="H2213" i="3"/>
  <c r="G2213" i="3"/>
  <c r="F2213" i="3"/>
  <c r="E2213" i="3"/>
  <c r="D2213" i="3"/>
  <c r="C2213" i="3"/>
  <c r="B2213" i="3"/>
  <c r="A2213" i="3"/>
  <c r="H2212" i="3"/>
  <c r="G2212" i="3"/>
  <c r="F2212" i="3"/>
  <c r="E2212" i="3"/>
  <c r="D2212" i="3"/>
  <c r="C2212" i="3"/>
  <c r="B2212" i="3"/>
  <c r="A2212" i="3"/>
  <c r="H2211" i="3"/>
  <c r="G2211" i="3"/>
  <c r="F2211" i="3"/>
  <c r="E2211" i="3"/>
  <c r="D2211" i="3"/>
  <c r="C2211" i="3"/>
  <c r="B2211" i="3"/>
  <c r="A2211" i="3"/>
  <c r="H2210" i="3"/>
  <c r="G2210" i="3"/>
  <c r="F2210" i="3"/>
  <c r="E2210" i="3"/>
  <c r="D2210" i="3"/>
  <c r="C2210" i="3"/>
  <c r="B2210" i="3"/>
  <c r="A2210" i="3"/>
  <c r="H2209" i="3"/>
  <c r="G2209" i="3"/>
  <c r="F2209" i="3"/>
  <c r="E2209" i="3"/>
  <c r="D2209" i="3"/>
  <c r="C2209" i="3"/>
  <c r="B2209" i="3"/>
  <c r="A2209" i="3"/>
  <c r="H2208" i="3"/>
  <c r="G2208" i="3"/>
  <c r="F2208" i="3"/>
  <c r="E2208" i="3"/>
  <c r="D2208" i="3"/>
  <c r="C2208" i="3"/>
  <c r="B2208" i="3"/>
  <c r="A2208" i="3"/>
  <c r="H2207" i="3"/>
  <c r="G2207" i="3"/>
  <c r="F2207" i="3"/>
  <c r="E2207" i="3"/>
  <c r="D2207" i="3"/>
  <c r="C2207" i="3"/>
  <c r="B2207" i="3"/>
  <c r="A2207" i="3"/>
  <c r="H2206" i="3"/>
  <c r="G2206" i="3"/>
  <c r="F2206" i="3"/>
  <c r="E2206" i="3"/>
  <c r="D2206" i="3"/>
  <c r="C2206" i="3"/>
  <c r="B2206" i="3"/>
  <c r="A2206" i="3"/>
  <c r="H2205" i="3"/>
  <c r="G2205" i="3"/>
  <c r="F2205" i="3"/>
  <c r="E2205" i="3"/>
  <c r="D2205" i="3"/>
  <c r="C2205" i="3"/>
  <c r="B2205" i="3"/>
  <c r="A2205" i="3"/>
  <c r="H2204" i="3"/>
  <c r="G2204" i="3"/>
  <c r="F2204" i="3"/>
  <c r="E2204" i="3"/>
  <c r="D2204" i="3"/>
  <c r="C2204" i="3"/>
  <c r="B2204" i="3"/>
  <c r="A2204" i="3"/>
  <c r="H2203" i="3"/>
  <c r="G2203" i="3"/>
  <c r="F2203" i="3"/>
  <c r="E2203" i="3"/>
  <c r="D2203" i="3"/>
  <c r="C2203" i="3"/>
  <c r="B2203" i="3"/>
  <c r="A2203" i="3"/>
  <c r="H2202" i="3"/>
  <c r="G2202" i="3"/>
  <c r="F2202" i="3"/>
  <c r="E2202" i="3"/>
  <c r="D2202" i="3"/>
  <c r="C2202" i="3"/>
  <c r="B2202" i="3"/>
  <c r="A2202" i="3"/>
  <c r="H2201" i="3"/>
  <c r="G2201" i="3"/>
  <c r="F2201" i="3"/>
  <c r="E2201" i="3"/>
  <c r="D2201" i="3"/>
  <c r="C2201" i="3"/>
  <c r="B2201" i="3"/>
  <c r="A2201" i="3"/>
  <c r="H2200" i="3"/>
  <c r="G2200" i="3"/>
  <c r="F2200" i="3"/>
  <c r="E2200" i="3"/>
  <c r="D2200" i="3"/>
  <c r="C2200" i="3"/>
  <c r="B2200" i="3"/>
  <c r="A2200" i="3"/>
  <c r="H2199" i="3"/>
  <c r="G2199" i="3"/>
  <c r="F2199" i="3"/>
  <c r="E2199" i="3"/>
  <c r="D2199" i="3"/>
  <c r="C2199" i="3"/>
  <c r="B2199" i="3"/>
  <c r="A2199" i="3"/>
  <c r="H2198" i="3"/>
  <c r="G2198" i="3"/>
  <c r="F2198" i="3"/>
  <c r="E2198" i="3"/>
  <c r="D2198" i="3"/>
  <c r="C2198" i="3"/>
  <c r="B2198" i="3"/>
  <c r="A2198" i="3"/>
  <c r="H2197" i="3"/>
  <c r="G2197" i="3"/>
  <c r="F2197" i="3"/>
  <c r="E2197" i="3"/>
  <c r="D2197" i="3"/>
  <c r="C2197" i="3"/>
  <c r="B2197" i="3"/>
  <c r="A2197" i="3"/>
  <c r="H2196" i="3"/>
  <c r="G2196" i="3"/>
  <c r="F2196" i="3"/>
  <c r="E2196" i="3"/>
  <c r="D2196" i="3"/>
  <c r="C2196" i="3"/>
  <c r="B2196" i="3"/>
  <c r="A2196" i="3"/>
  <c r="H2195" i="3"/>
  <c r="G2195" i="3"/>
  <c r="F2195" i="3"/>
  <c r="E2195" i="3"/>
  <c r="D2195" i="3"/>
  <c r="C2195" i="3"/>
  <c r="B2195" i="3"/>
  <c r="A2195" i="3"/>
  <c r="H2194" i="3"/>
  <c r="G2194" i="3"/>
  <c r="F2194" i="3"/>
  <c r="E2194" i="3"/>
  <c r="D2194" i="3"/>
  <c r="C2194" i="3"/>
  <c r="B2194" i="3"/>
  <c r="A2194" i="3"/>
  <c r="H2193" i="3"/>
  <c r="G2193" i="3"/>
  <c r="F2193" i="3"/>
  <c r="E2193" i="3"/>
  <c r="D2193" i="3"/>
  <c r="C2193" i="3"/>
  <c r="B2193" i="3"/>
  <c r="A2193" i="3"/>
  <c r="H2192" i="3"/>
  <c r="G2192" i="3"/>
  <c r="F2192" i="3"/>
  <c r="E2192" i="3"/>
  <c r="D2192" i="3"/>
  <c r="C2192" i="3"/>
  <c r="B2192" i="3"/>
  <c r="A2192" i="3"/>
  <c r="H2191" i="3"/>
  <c r="G2191" i="3"/>
  <c r="F2191" i="3"/>
  <c r="E2191" i="3"/>
  <c r="D2191" i="3"/>
  <c r="C2191" i="3"/>
  <c r="B2191" i="3"/>
  <c r="A2191" i="3"/>
  <c r="H2190" i="3"/>
  <c r="G2190" i="3"/>
  <c r="F2190" i="3"/>
  <c r="E2190" i="3"/>
  <c r="D2190" i="3"/>
  <c r="C2190" i="3"/>
  <c r="B2190" i="3"/>
  <c r="A2190" i="3"/>
  <c r="H2189" i="3"/>
  <c r="G2189" i="3"/>
  <c r="F2189" i="3"/>
  <c r="E2189" i="3"/>
  <c r="D2189" i="3"/>
  <c r="C2189" i="3"/>
  <c r="B2189" i="3"/>
  <c r="A2189" i="3"/>
  <c r="H2188" i="3"/>
  <c r="G2188" i="3"/>
  <c r="F2188" i="3"/>
  <c r="E2188" i="3"/>
  <c r="D2188" i="3"/>
  <c r="C2188" i="3"/>
  <c r="B2188" i="3"/>
  <c r="A2188" i="3"/>
  <c r="H2187" i="3"/>
  <c r="G2187" i="3"/>
  <c r="F2187" i="3"/>
  <c r="E2187" i="3"/>
  <c r="D2187" i="3"/>
  <c r="C2187" i="3"/>
  <c r="B2187" i="3"/>
  <c r="A2187" i="3"/>
  <c r="H2186" i="3"/>
  <c r="G2186" i="3"/>
  <c r="F2186" i="3"/>
  <c r="E2186" i="3"/>
  <c r="D2186" i="3"/>
  <c r="C2186" i="3"/>
  <c r="B2186" i="3"/>
  <c r="A2186" i="3"/>
  <c r="H2185" i="3"/>
  <c r="G2185" i="3"/>
  <c r="F2185" i="3"/>
  <c r="E2185" i="3"/>
  <c r="D2185" i="3"/>
  <c r="C2185" i="3"/>
  <c r="B2185" i="3"/>
  <c r="A2185" i="3"/>
  <c r="H2184" i="3"/>
  <c r="G2184" i="3"/>
  <c r="F2184" i="3"/>
  <c r="E2184" i="3"/>
  <c r="D2184" i="3"/>
  <c r="C2184" i="3"/>
  <c r="B2184" i="3"/>
  <c r="A2184" i="3"/>
  <c r="H2183" i="3"/>
  <c r="G2183" i="3"/>
  <c r="F2183" i="3"/>
  <c r="E2183" i="3"/>
  <c r="D2183" i="3"/>
  <c r="C2183" i="3"/>
  <c r="B2183" i="3"/>
  <c r="A2183" i="3"/>
  <c r="H2182" i="3"/>
  <c r="G2182" i="3"/>
  <c r="F2182" i="3"/>
  <c r="E2182" i="3"/>
  <c r="D2182" i="3"/>
  <c r="C2182" i="3"/>
  <c r="B2182" i="3"/>
  <c r="A2182" i="3"/>
  <c r="H2181" i="3"/>
  <c r="G2181" i="3"/>
  <c r="F2181" i="3"/>
  <c r="E2181" i="3"/>
  <c r="D2181" i="3"/>
  <c r="C2181" i="3"/>
  <c r="B2181" i="3"/>
  <c r="A2181" i="3"/>
  <c r="H2180" i="3"/>
  <c r="G2180" i="3"/>
  <c r="F2180" i="3"/>
  <c r="E2180" i="3"/>
  <c r="D2180" i="3"/>
  <c r="C2180" i="3"/>
  <c r="B2180" i="3"/>
  <c r="A2180" i="3"/>
  <c r="H2179" i="3"/>
  <c r="G2179" i="3"/>
  <c r="F2179" i="3"/>
  <c r="E2179" i="3"/>
  <c r="D2179" i="3"/>
  <c r="C2179" i="3"/>
  <c r="B2179" i="3"/>
  <c r="A2179" i="3"/>
  <c r="H2178" i="3"/>
  <c r="G2178" i="3"/>
  <c r="F2178" i="3"/>
  <c r="E2178" i="3"/>
  <c r="D2178" i="3"/>
  <c r="C2178" i="3"/>
  <c r="B2178" i="3"/>
  <c r="A2178" i="3"/>
  <c r="H2177" i="3"/>
  <c r="G2177" i="3"/>
  <c r="F2177" i="3"/>
  <c r="E2177" i="3"/>
  <c r="D2177" i="3"/>
  <c r="C2177" i="3"/>
  <c r="B2177" i="3"/>
  <c r="A2177" i="3"/>
  <c r="H2176" i="3"/>
  <c r="G2176" i="3"/>
  <c r="F2176" i="3"/>
  <c r="E2176" i="3"/>
  <c r="D2176" i="3"/>
  <c r="C2176" i="3"/>
  <c r="B2176" i="3"/>
  <c r="A2176" i="3"/>
  <c r="H2175" i="3"/>
  <c r="G2175" i="3"/>
  <c r="F2175" i="3"/>
  <c r="E2175" i="3"/>
  <c r="D2175" i="3"/>
  <c r="C2175" i="3"/>
  <c r="B2175" i="3"/>
  <c r="A2175" i="3"/>
  <c r="H2174" i="3"/>
  <c r="G2174" i="3"/>
  <c r="F2174" i="3"/>
  <c r="E2174" i="3"/>
  <c r="D2174" i="3"/>
  <c r="C2174" i="3"/>
  <c r="B2174" i="3"/>
  <c r="A2174" i="3"/>
  <c r="H2173" i="3"/>
  <c r="G2173" i="3"/>
  <c r="F2173" i="3"/>
  <c r="E2173" i="3"/>
  <c r="D2173" i="3"/>
  <c r="C2173" i="3"/>
  <c r="B2173" i="3"/>
  <c r="A2173" i="3"/>
  <c r="H2172" i="3"/>
  <c r="G2172" i="3"/>
  <c r="F2172" i="3"/>
  <c r="E2172" i="3"/>
  <c r="D2172" i="3"/>
  <c r="C2172" i="3"/>
  <c r="B2172" i="3"/>
  <c r="A2172" i="3"/>
  <c r="H2171" i="3"/>
  <c r="G2171" i="3"/>
  <c r="F2171" i="3"/>
  <c r="E2171" i="3"/>
  <c r="D2171" i="3"/>
  <c r="C2171" i="3"/>
  <c r="B2171" i="3"/>
  <c r="A2171" i="3"/>
  <c r="H2170" i="3"/>
  <c r="G2170" i="3"/>
  <c r="F2170" i="3"/>
  <c r="E2170" i="3"/>
  <c r="D2170" i="3"/>
  <c r="C2170" i="3"/>
  <c r="B2170" i="3"/>
  <c r="A2170" i="3"/>
  <c r="H2169" i="3"/>
  <c r="G2169" i="3"/>
  <c r="F2169" i="3"/>
  <c r="E2169" i="3"/>
  <c r="D2169" i="3"/>
  <c r="C2169" i="3"/>
  <c r="B2169" i="3"/>
  <c r="A2169" i="3"/>
  <c r="H2168" i="3"/>
  <c r="G2168" i="3"/>
  <c r="F2168" i="3"/>
  <c r="E2168" i="3"/>
  <c r="D2168" i="3"/>
  <c r="C2168" i="3"/>
  <c r="B2168" i="3"/>
  <c r="A2168" i="3"/>
  <c r="H2167" i="3"/>
  <c r="G2167" i="3"/>
  <c r="F2167" i="3"/>
  <c r="E2167" i="3"/>
  <c r="D2167" i="3"/>
  <c r="C2167" i="3"/>
  <c r="B2167" i="3"/>
  <c r="A2167" i="3"/>
  <c r="H2166" i="3"/>
  <c r="G2166" i="3"/>
  <c r="F2166" i="3"/>
  <c r="E2166" i="3"/>
  <c r="D2166" i="3"/>
  <c r="C2166" i="3"/>
  <c r="B2166" i="3"/>
  <c r="A2166" i="3"/>
  <c r="H2165" i="3"/>
  <c r="G2165" i="3"/>
  <c r="F2165" i="3"/>
  <c r="E2165" i="3"/>
  <c r="D2165" i="3"/>
  <c r="C2165" i="3"/>
  <c r="B2165" i="3"/>
  <c r="A2165" i="3"/>
  <c r="H2164" i="3"/>
  <c r="G2164" i="3"/>
  <c r="F2164" i="3"/>
  <c r="E2164" i="3"/>
  <c r="D2164" i="3"/>
  <c r="C2164" i="3"/>
  <c r="B2164" i="3"/>
  <c r="A2164" i="3"/>
  <c r="H2163" i="3"/>
  <c r="G2163" i="3"/>
  <c r="F2163" i="3"/>
  <c r="E2163" i="3"/>
  <c r="D2163" i="3"/>
  <c r="C2163" i="3"/>
  <c r="B2163" i="3"/>
  <c r="A2163" i="3"/>
  <c r="H2162" i="3"/>
  <c r="G2162" i="3"/>
  <c r="F2162" i="3"/>
  <c r="E2162" i="3"/>
  <c r="D2162" i="3"/>
  <c r="C2162" i="3"/>
  <c r="B2162" i="3"/>
  <c r="A2162" i="3"/>
  <c r="H2161" i="3"/>
  <c r="G2161" i="3"/>
  <c r="F2161" i="3"/>
  <c r="E2161" i="3"/>
  <c r="D2161" i="3"/>
  <c r="C2161" i="3"/>
  <c r="B2161" i="3"/>
  <c r="A2161" i="3"/>
  <c r="H2160" i="3"/>
  <c r="G2160" i="3"/>
  <c r="F2160" i="3"/>
  <c r="E2160" i="3"/>
  <c r="D2160" i="3"/>
  <c r="C2160" i="3"/>
  <c r="B2160" i="3"/>
  <c r="A2160" i="3"/>
  <c r="H2159" i="3"/>
  <c r="G2159" i="3"/>
  <c r="F2159" i="3"/>
  <c r="E2159" i="3"/>
  <c r="D2159" i="3"/>
  <c r="C2159" i="3"/>
  <c r="B2159" i="3"/>
  <c r="A2159" i="3"/>
  <c r="H2158" i="3"/>
  <c r="G2158" i="3"/>
  <c r="F2158" i="3"/>
  <c r="E2158" i="3"/>
  <c r="D2158" i="3"/>
  <c r="C2158" i="3"/>
  <c r="B2158" i="3"/>
  <c r="A2158" i="3"/>
  <c r="H2157" i="3"/>
  <c r="G2157" i="3"/>
  <c r="F2157" i="3"/>
  <c r="E2157" i="3"/>
  <c r="D2157" i="3"/>
  <c r="C2157" i="3"/>
  <c r="B2157" i="3"/>
  <c r="A2157" i="3"/>
  <c r="H2156" i="3"/>
  <c r="G2156" i="3"/>
  <c r="F2156" i="3"/>
  <c r="E2156" i="3"/>
  <c r="D2156" i="3"/>
  <c r="C2156" i="3"/>
  <c r="B2156" i="3"/>
  <c r="A2156" i="3"/>
  <c r="H2155" i="3"/>
  <c r="G2155" i="3"/>
  <c r="F2155" i="3"/>
  <c r="E2155" i="3"/>
  <c r="D2155" i="3"/>
  <c r="C2155" i="3"/>
  <c r="B2155" i="3"/>
  <c r="A2155" i="3"/>
  <c r="H2154" i="3"/>
  <c r="G2154" i="3"/>
  <c r="F2154" i="3"/>
  <c r="E2154" i="3"/>
  <c r="D2154" i="3"/>
  <c r="C2154" i="3"/>
  <c r="B2154" i="3"/>
  <c r="A2154" i="3"/>
  <c r="H2153" i="3"/>
  <c r="G2153" i="3"/>
  <c r="F2153" i="3"/>
  <c r="E2153" i="3"/>
  <c r="D2153" i="3"/>
  <c r="C2153" i="3"/>
  <c r="B2153" i="3"/>
  <c r="A2153" i="3"/>
  <c r="H2152" i="3"/>
  <c r="G2152" i="3"/>
  <c r="F2152" i="3"/>
  <c r="E2152" i="3"/>
  <c r="D2152" i="3"/>
  <c r="C2152" i="3"/>
  <c r="B2152" i="3"/>
  <c r="A2152" i="3"/>
  <c r="H2151" i="3"/>
  <c r="G2151" i="3"/>
  <c r="F2151" i="3"/>
  <c r="E2151" i="3"/>
  <c r="D2151" i="3"/>
  <c r="C2151" i="3"/>
  <c r="B2151" i="3"/>
  <c r="A2151" i="3"/>
  <c r="H2150" i="3"/>
  <c r="G2150" i="3"/>
  <c r="F2150" i="3"/>
  <c r="E2150" i="3"/>
  <c r="D2150" i="3"/>
  <c r="C2150" i="3"/>
  <c r="B2150" i="3"/>
  <c r="A2150" i="3"/>
  <c r="H2149" i="3"/>
  <c r="G2149" i="3"/>
  <c r="F2149" i="3"/>
  <c r="E2149" i="3"/>
  <c r="D2149" i="3"/>
  <c r="C2149" i="3"/>
  <c r="B2149" i="3"/>
  <c r="A2149" i="3"/>
  <c r="H2148" i="3"/>
  <c r="G2148" i="3"/>
  <c r="F2148" i="3"/>
  <c r="E2148" i="3"/>
  <c r="D2148" i="3"/>
  <c r="C2148" i="3"/>
  <c r="B2148" i="3"/>
  <c r="A2148" i="3"/>
  <c r="H2147" i="3"/>
  <c r="G2147" i="3"/>
  <c r="F2147" i="3"/>
  <c r="E2147" i="3"/>
  <c r="D2147" i="3"/>
  <c r="C2147" i="3"/>
  <c r="B2147" i="3"/>
  <c r="A2147" i="3"/>
  <c r="H2146" i="3"/>
  <c r="G2146" i="3"/>
  <c r="F2146" i="3"/>
  <c r="E2146" i="3"/>
  <c r="D2146" i="3"/>
  <c r="C2146" i="3"/>
  <c r="B2146" i="3"/>
  <c r="A2146" i="3"/>
  <c r="H2145" i="3"/>
  <c r="G2145" i="3"/>
  <c r="F2145" i="3"/>
  <c r="E2145" i="3"/>
  <c r="D2145" i="3"/>
  <c r="C2145" i="3"/>
  <c r="B2145" i="3"/>
  <c r="A2145" i="3"/>
  <c r="H2144" i="3"/>
  <c r="G2144" i="3"/>
  <c r="F2144" i="3"/>
  <c r="E2144" i="3"/>
  <c r="D2144" i="3"/>
  <c r="C2144" i="3"/>
  <c r="B2144" i="3"/>
  <c r="A2144" i="3"/>
  <c r="H2143" i="3"/>
  <c r="G2143" i="3"/>
  <c r="F2143" i="3"/>
  <c r="E2143" i="3"/>
  <c r="D2143" i="3"/>
  <c r="C2143" i="3"/>
  <c r="B2143" i="3"/>
  <c r="A2143" i="3"/>
  <c r="H2142" i="3"/>
  <c r="G2142" i="3"/>
  <c r="F2142" i="3"/>
  <c r="E2142" i="3"/>
  <c r="D2142" i="3"/>
  <c r="C2142" i="3"/>
  <c r="B2142" i="3"/>
  <c r="A2142" i="3"/>
  <c r="H2141" i="3"/>
  <c r="G2141" i="3"/>
  <c r="F2141" i="3"/>
  <c r="E2141" i="3"/>
  <c r="D2141" i="3"/>
  <c r="C2141" i="3"/>
  <c r="B2141" i="3"/>
  <c r="A2141" i="3"/>
  <c r="H2140" i="3"/>
  <c r="G2140" i="3"/>
  <c r="F2140" i="3"/>
  <c r="E2140" i="3"/>
  <c r="D2140" i="3"/>
  <c r="C2140" i="3"/>
  <c r="B2140" i="3"/>
  <c r="A2140" i="3"/>
  <c r="H2139" i="3"/>
  <c r="G2139" i="3"/>
  <c r="F2139" i="3"/>
  <c r="E2139" i="3"/>
  <c r="D2139" i="3"/>
  <c r="C2139" i="3"/>
  <c r="B2139" i="3"/>
  <c r="A2139" i="3"/>
  <c r="H2138" i="3"/>
  <c r="G2138" i="3"/>
  <c r="F2138" i="3"/>
  <c r="E2138" i="3"/>
  <c r="D2138" i="3"/>
  <c r="C2138" i="3"/>
  <c r="B2138" i="3"/>
  <c r="A2138" i="3"/>
  <c r="H2137" i="3"/>
  <c r="G2137" i="3"/>
  <c r="F2137" i="3"/>
  <c r="E2137" i="3"/>
  <c r="D2137" i="3"/>
  <c r="C2137" i="3"/>
  <c r="B2137" i="3"/>
  <c r="A2137" i="3"/>
  <c r="H2136" i="3"/>
  <c r="G2136" i="3"/>
  <c r="F2136" i="3"/>
  <c r="E2136" i="3"/>
  <c r="D2136" i="3"/>
  <c r="C2136" i="3"/>
  <c r="B2136" i="3"/>
  <c r="A2136" i="3"/>
  <c r="H2135" i="3"/>
  <c r="G2135" i="3"/>
  <c r="F2135" i="3"/>
  <c r="E2135" i="3"/>
  <c r="D2135" i="3"/>
  <c r="C2135" i="3"/>
  <c r="B2135" i="3"/>
  <c r="A2135" i="3"/>
  <c r="H2134" i="3"/>
  <c r="G2134" i="3"/>
  <c r="F2134" i="3"/>
  <c r="E2134" i="3"/>
  <c r="D2134" i="3"/>
  <c r="C2134" i="3"/>
  <c r="B2134" i="3"/>
  <c r="A2134" i="3"/>
  <c r="H2133" i="3"/>
  <c r="G2133" i="3"/>
  <c r="F2133" i="3"/>
  <c r="E2133" i="3"/>
  <c r="D2133" i="3"/>
  <c r="C2133" i="3"/>
  <c r="B2133" i="3"/>
  <c r="A2133" i="3"/>
  <c r="H2132" i="3"/>
  <c r="G2132" i="3"/>
  <c r="F2132" i="3"/>
  <c r="E2132" i="3"/>
  <c r="D2132" i="3"/>
  <c r="C2132" i="3"/>
  <c r="B2132" i="3"/>
  <c r="A2132" i="3"/>
  <c r="H2131" i="3"/>
  <c r="G2131" i="3"/>
  <c r="F2131" i="3"/>
  <c r="E2131" i="3"/>
  <c r="D2131" i="3"/>
  <c r="C2131" i="3"/>
  <c r="B2131" i="3"/>
  <c r="A2131" i="3"/>
  <c r="H2130" i="3"/>
  <c r="G2130" i="3"/>
  <c r="F2130" i="3"/>
  <c r="E2130" i="3"/>
  <c r="D2130" i="3"/>
  <c r="C2130" i="3"/>
  <c r="B2130" i="3"/>
  <c r="A2130" i="3"/>
  <c r="H2129" i="3"/>
  <c r="G2129" i="3"/>
  <c r="F2129" i="3"/>
  <c r="E2129" i="3"/>
  <c r="D2129" i="3"/>
  <c r="C2129" i="3"/>
  <c r="B2129" i="3"/>
  <c r="A2129" i="3"/>
  <c r="H2128" i="3"/>
  <c r="G2128" i="3"/>
  <c r="F2128" i="3"/>
  <c r="E2128" i="3"/>
  <c r="D2128" i="3"/>
  <c r="C2128" i="3"/>
  <c r="B2128" i="3"/>
  <c r="A2128" i="3"/>
  <c r="H2127" i="3"/>
  <c r="G2127" i="3"/>
  <c r="F2127" i="3"/>
  <c r="E2127" i="3"/>
  <c r="D2127" i="3"/>
  <c r="C2127" i="3"/>
  <c r="B2127" i="3"/>
  <c r="A2127" i="3"/>
  <c r="H2126" i="3"/>
  <c r="G2126" i="3"/>
  <c r="F2126" i="3"/>
  <c r="E2126" i="3"/>
  <c r="D2126" i="3"/>
  <c r="C2126" i="3"/>
  <c r="B2126" i="3"/>
  <c r="A2126" i="3"/>
  <c r="H2125" i="3"/>
  <c r="G2125" i="3"/>
  <c r="F2125" i="3"/>
  <c r="E2125" i="3"/>
  <c r="D2125" i="3"/>
  <c r="C2125" i="3"/>
  <c r="B2125" i="3"/>
  <c r="A2125" i="3"/>
  <c r="H2124" i="3"/>
  <c r="G2124" i="3"/>
  <c r="F2124" i="3"/>
  <c r="E2124" i="3"/>
  <c r="D2124" i="3"/>
  <c r="C2124" i="3"/>
  <c r="B2124" i="3"/>
  <c r="A2124" i="3"/>
  <c r="H2123" i="3"/>
  <c r="G2123" i="3"/>
  <c r="F2123" i="3"/>
  <c r="E2123" i="3"/>
  <c r="D2123" i="3"/>
  <c r="C2123" i="3"/>
  <c r="B2123" i="3"/>
  <c r="A2123" i="3"/>
  <c r="H2122" i="3"/>
  <c r="G2122" i="3"/>
  <c r="F2122" i="3"/>
  <c r="E2122" i="3"/>
  <c r="D2122" i="3"/>
  <c r="C2122" i="3"/>
  <c r="B2122" i="3"/>
  <c r="A2122" i="3"/>
  <c r="H2121" i="3"/>
  <c r="G2121" i="3"/>
  <c r="F2121" i="3"/>
  <c r="E2121" i="3"/>
  <c r="D2121" i="3"/>
  <c r="C2121" i="3"/>
  <c r="B2121" i="3"/>
  <c r="A2121" i="3"/>
  <c r="H2120" i="3"/>
  <c r="G2120" i="3"/>
  <c r="F2120" i="3"/>
  <c r="E2120" i="3"/>
  <c r="D2120" i="3"/>
  <c r="C2120" i="3"/>
  <c r="B2120" i="3"/>
  <c r="A2120" i="3"/>
  <c r="H2119" i="3"/>
  <c r="G2119" i="3"/>
  <c r="F2119" i="3"/>
  <c r="E2119" i="3"/>
  <c r="D2119" i="3"/>
  <c r="C2119" i="3"/>
  <c r="B2119" i="3"/>
  <c r="A2119" i="3"/>
  <c r="H2118" i="3"/>
  <c r="G2118" i="3"/>
  <c r="F2118" i="3"/>
  <c r="E2118" i="3"/>
  <c r="D2118" i="3"/>
  <c r="C2118" i="3"/>
  <c r="B2118" i="3"/>
  <c r="A2118" i="3"/>
  <c r="H2117" i="3"/>
  <c r="G2117" i="3"/>
  <c r="F2117" i="3"/>
  <c r="E2117" i="3"/>
  <c r="D2117" i="3"/>
  <c r="C2117" i="3"/>
  <c r="B2117" i="3"/>
  <c r="A2117" i="3"/>
  <c r="H2116" i="3"/>
  <c r="G2116" i="3"/>
  <c r="F2116" i="3"/>
  <c r="E2116" i="3"/>
  <c r="D2116" i="3"/>
  <c r="C2116" i="3"/>
  <c r="B2116" i="3"/>
  <c r="A2116" i="3"/>
  <c r="H2115" i="3"/>
  <c r="G2115" i="3"/>
  <c r="F2115" i="3"/>
  <c r="E2115" i="3"/>
  <c r="D2115" i="3"/>
  <c r="C2115" i="3"/>
  <c r="B2115" i="3"/>
  <c r="A2115" i="3"/>
  <c r="H2114" i="3"/>
  <c r="G2114" i="3"/>
  <c r="F2114" i="3"/>
  <c r="E2114" i="3"/>
  <c r="D2114" i="3"/>
  <c r="C2114" i="3"/>
  <c r="B2114" i="3"/>
  <c r="A2114" i="3"/>
  <c r="H2113" i="3"/>
  <c r="G2113" i="3"/>
  <c r="F2113" i="3"/>
  <c r="E2113" i="3"/>
  <c r="D2113" i="3"/>
  <c r="C2113" i="3"/>
  <c r="B2113" i="3"/>
  <c r="A2113" i="3"/>
  <c r="H2112" i="3"/>
  <c r="G2112" i="3"/>
  <c r="F2112" i="3"/>
  <c r="E2112" i="3"/>
  <c r="D2112" i="3"/>
  <c r="C2112" i="3"/>
  <c r="B2112" i="3"/>
  <c r="A2112" i="3"/>
  <c r="H2111" i="3"/>
  <c r="G2111" i="3"/>
  <c r="F2111" i="3"/>
  <c r="E2111" i="3"/>
  <c r="D2111" i="3"/>
  <c r="C2111" i="3"/>
  <c r="B2111" i="3"/>
  <c r="A2111" i="3"/>
  <c r="H2110" i="3"/>
  <c r="G2110" i="3"/>
  <c r="F2110" i="3"/>
  <c r="E2110" i="3"/>
  <c r="D2110" i="3"/>
  <c r="C2110" i="3"/>
  <c r="B2110" i="3"/>
  <c r="A2110" i="3"/>
  <c r="H2109" i="3"/>
  <c r="G2109" i="3"/>
  <c r="F2109" i="3"/>
  <c r="E2109" i="3"/>
  <c r="D2109" i="3"/>
  <c r="C2109" i="3"/>
  <c r="B2109" i="3"/>
  <c r="A2109" i="3"/>
  <c r="H2108" i="3"/>
  <c r="G2108" i="3"/>
  <c r="F2108" i="3"/>
  <c r="E2108" i="3"/>
  <c r="D2108" i="3"/>
  <c r="C2108" i="3"/>
  <c r="B2108" i="3"/>
  <c r="A2108" i="3"/>
  <c r="H2107" i="3"/>
  <c r="G2107" i="3"/>
  <c r="F2107" i="3"/>
  <c r="E2107" i="3"/>
  <c r="D2107" i="3"/>
  <c r="C2107" i="3"/>
  <c r="B2107" i="3"/>
  <c r="A2107" i="3"/>
  <c r="H2106" i="3"/>
  <c r="G2106" i="3"/>
  <c r="F2106" i="3"/>
  <c r="E2106" i="3"/>
  <c r="D2106" i="3"/>
  <c r="C2106" i="3"/>
  <c r="B2106" i="3"/>
  <c r="A2106" i="3"/>
  <c r="H2105" i="3"/>
  <c r="G2105" i="3"/>
  <c r="F2105" i="3"/>
  <c r="E2105" i="3"/>
  <c r="D2105" i="3"/>
  <c r="C2105" i="3"/>
  <c r="B2105" i="3"/>
  <c r="A2105" i="3"/>
  <c r="H2104" i="3"/>
  <c r="G2104" i="3"/>
  <c r="F2104" i="3"/>
  <c r="E2104" i="3"/>
  <c r="D2104" i="3"/>
  <c r="C2104" i="3"/>
  <c r="B2104" i="3"/>
  <c r="A2104" i="3"/>
  <c r="H2103" i="3"/>
  <c r="G2103" i="3"/>
  <c r="F2103" i="3"/>
  <c r="E2103" i="3"/>
  <c r="D2103" i="3"/>
  <c r="C2103" i="3"/>
  <c r="B2103" i="3"/>
  <c r="A2103" i="3"/>
  <c r="H2102" i="3"/>
  <c r="G2102" i="3"/>
  <c r="F2102" i="3"/>
  <c r="E2102" i="3"/>
  <c r="D2102" i="3"/>
  <c r="C2102" i="3"/>
  <c r="B2102" i="3"/>
  <c r="A2102" i="3"/>
  <c r="H2101" i="3"/>
  <c r="G2101" i="3"/>
  <c r="F2101" i="3"/>
  <c r="E2101" i="3"/>
  <c r="D2101" i="3"/>
  <c r="C2101" i="3"/>
  <c r="B2101" i="3"/>
  <c r="A2101" i="3"/>
  <c r="H2100" i="3"/>
  <c r="G2100" i="3"/>
  <c r="F2100" i="3"/>
  <c r="E2100" i="3"/>
  <c r="D2100" i="3"/>
  <c r="C2100" i="3"/>
  <c r="B2100" i="3"/>
  <c r="A2100" i="3"/>
  <c r="H2099" i="3"/>
  <c r="G2099" i="3"/>
  <c r="F2099" i="3"/>
  <c r="E2099" i="3"/>
  <c r="D2099" i="3"/>
  <c r="C2099" i="3"/>
  <c r="B2099" i="3"/>
  <c r="A2099" i="3"/>
  <c r="H2098" i="3"/>
  <c r="G2098" i="3"/>
  <c r="F2098" i="3"/>
  <c r="E2098" i="3"/>
  <c r="D2098" i="3"/>
  <c r="C2098" i="3"/>
  <c r="B2098" i="3"/>
  <c r="A2098" i="3"/>
  <c r="H2097" i="3"/>
  <c r="G2097" i="3"/>
  <c r="F2097" i="3"/>
  <c r="E2097" i="3"/>
  <c r="D2097" i="3"/>
  <c r="C2097" i="3"/>
  <c r="B2097" i="3"/>
  <c r="A2097" i="3"/>
  <c r="H2096" i="3"/>
  <c r="G2096" i="3"/>
  <c r="F2096" i="3"/>
  <c r="E2096" i="3"/>
  <c r="D2096" i="3"/>
  <c r="C2096" i="3"/>
  <c r="B2096" i="3"/>
  <c r="A2096" i="3"/>
  <c r="H2095" i="3"/>
  <c r="G2095" i="3"/>
  <c r="F2095" i="3"/>
  <c r="E2095" i="3"/>
  <c r="D2095" i="3"/>
  <c r="C2095" i="3"/>
  <c r="B2095" i="3"/>
  <c r="A2095" i="3"/>
  <c r="H2094" i="3"/>
  <c r="G2094" i="3"/>
  <c r="F2094" i="3"/>
  <c r="E2094" i="3"/>
  <c r="D2094" i="3"/>
  <c r="C2094" i="3"/>
  <c r="B2094" i="3"/>
  <c r="A2094" i="3"/>
  <c r="H2093" i="3"/>
  <c r="G2093" i="3"/>
  <c r="F2093" i="3"/>
  <c r="E2093" i="3"/>
  <c r="D2093" i="3"/>
  <c r="C2093" i="3"/>
  <c r="B2093" i="3"/>
  <c r="A2093" i="3"/>
  <c r="H2092" i="3"/>
  <c r="G2092" i="3"/>
  <c r="F2092" i="3"/>
  <c r="E2092" i="3"/>
  <c r="D2092" i="3"/>
  <c r="C2092" i="3"/>
  <c r="B2092" i="3"/>
  <c r="A2092" i="3"/>
  <c r="H2091" i="3"/>
  <c r="G2091" i="3"/>
  <c r="F2091" i="3"/>
  <c r="E2091" i="3"/>
  <c r="D2091" i="3"/>
  <c r="C2091" i="3"/>
  <c r="B2091" i="3"/>
  <c r="A2091" i="3"/>
  <c r="H2090" i="3"/>
  <c r="G2090" i="3"/>
  <c r="F2090" i="3"/>
  <c r="E2090" i="3"/>
  <c r="D2090" i="3"/>
  <c r="C2090" i="3"/>
  <c r="B2090" i="3"/>
  <c r="A2090" i="3"/>
  <c r="H2089" i="3"/>
  <c r="G2089" i="3"/>
  <c r="F2089" i="3"/>
  <c r="E2089" i="3"/>
  <c r="D2089" i="3"/>
  <c r="C2089" i="3"/>
  <c r="B2089" i="3"/>
  <c r="A2089" i="3"/>
  <c r="H2088" i="3"/>
  <c r="G2088" i="3"/>
  <c r="F2088" i="3"/>
  <c r="E2088" i="3"/>
  <c r="D2088" i="3"/>
  <c r="C2088" i="3"/>
  <c r="B2088" i="3"/>
  <c r="A2088" i="3"/>
  <c r="H2087" i="3"/>
  <c r="G2087" i="3"/>
  <c r="F2087" i="3"/>
  <c r="E2087" i="3"/>
  <c r="D2087" i="3"/>
  <c r="C2087" i="3"/>
  <c r="B2087" i="3"/>
  <c r="A2087" i="3"/>
  <c r="H2086" i="3"/>
  <c r="G2086" i="3"/>
  <c r="F2086" i="3"/>
  <c r="E2086" i="3"/>
  <c r="D2086" i="3"/>
  <c r="C2086" i="3"/>
  <c r="B2086" i="3"/>
  <c r="A2086" i="3"/>
  <c r="H2085" i="3"/>
  <c r="G2085" i="3"/>
  <c r="F2085" i="3"/>
  <c r="E2085" i="3"/>
  <c r="D2085" i="3"/>
  <c r="C2085" i="3"/>
  <c r="B2085" i="3"/>
  <c r="A2085" i="3"/>
  <c r="H2084" i="3"/>
  <c r="G2084" i="3"/>
  <c r="F2084" i="3"/>
  <c r="E2084" i="3"/>
  <c r="D2084" i="3"/>
  <c r="C2084" i="3"/>
  <c r="B2084" i="3"/>
  <c r="A2084" i="3"/>
  <c r="H2083" i="3"/>
  <c r="G2083" i="3"/>
  <c r="F2083" i="3"/>
  <c r="E2083" i="3"/>
  <c r="D2083" i="3"/>
  <c r="C2083" i="3"/>
  <c r="B2083" i="3"/>
  <c r="A2083" i="3"/>
  <c r="H2082" i="3"/>
  <c r="G2082" i="3"/>
  <c r="F2082" i="3"/>
  <c r="E2082" i="3"/>
  <c r="D2082" i="3"/>
  <c r="C2082" i="3"/>
  <c r="B2082" i="3"/>
  <c r="A2082" i="3"/>
  <c r="H2081" i="3"/>
  <c r="G2081" i="3"/>
  <c r="F2081" i="3"/>
  <c r="E2081" i="3"/>
  <c r="D2081" i="3"/>
  <c r="C2081" i="3"/>
  <c r="B2081" i="3"/>
  <c r="A2081" i="3"/>
  <c r="H2080" i="3"/>
  <c r="G2080" i="3"/>
  <c r="F2080" i="3"/>
  <c r="E2080" i="3"/>
  <c r="D2080" i="3"/>
  <c r="C2080" i="3"/>
  <c r="B2080" i="3"/>
  <c r="A2080" i="3"/>
  <c r="H2079" i="3"/>
  <c r="G2079" i="3"/>
  <c r="F2079" i="3"/>
  <c r="E2079" i="3"/>
  <c r="D2079" i="3"/>
  <c r="C2079" i="3"/>
  <c r="B2079" i="3"/>
  <c r="A2079" i="3"/>
  <c r="H2078" i="3"/>
  <c r="G2078" i="3"/>
  <c r="F2078" i="3"/>
  <c r="E2078" i="3"/>
  <c r="D2078" i="3"/>
  <c r="C2078" i="3"/>
  <c r="B2078" i="3"/>
  <c r="A2078" i="3"/>
  <c r="H2077" i="3"/>
  <c r="G2077" i="3"/>
  <c r="F2077" i="3"/>
  <c r="E2077" i="3"/>
  <c r="D2077" i="3"/>
  <c r="C2077" i="3"/>
  <c r="B2077" i="3"/>
  <c r="A2077" i="3"/>
  <c r="H2076" i="3"/>
  <c r="G2076" i="3"/>
  <c r="F2076" i="3"/>
  <c r="E2076" i="3"/>
  <c r="D2076" i="3"/>
  <c r="C2076" i="3"/>
  <c r="B2076" i="3"/>
  <c r="A2076" i="3"/>
  <c r="H2075" i="3"/>
  <c r="G2075" i="3"/>
  <c r="F2075" i="3"/>
  <c r="E2075" i="3"/>
  <c r="D2075" i="3"/>
  <c r="C2075" i="3"/>
  <c r="B2075" i="3"/>
  <c r="A2075" i="3"/>
  <c r="H2074" i="3"/>
  <c r="G2074" i="3"/>
  <c r="F2074" i="3"/>
  <c r="E2074" i="3"/>
  <c r="D2074" i="3"/>
  <c r="C2074" i="3"/>
  <c r="B2074" i="3"/>
  <c r="A2074" i="3"/>
  <c r="H2073" i="3"/>
  <c r="G2073" i="3"/>
  <c r="F2073" i="3"/>
  <c r="E2073" i="3"/>
  <c r="D2073" i="3"/>
  <c r="C2073" i="3"/>
  <c r="B2073" i="3"/>
  <c r="A2073" i="3"/>
  <c r="H2072" i="3"/>
  <c r="G2072" i="3"/>
  <c r="F2072" i="3"/>
  <c r="E2072" i="3"/>
  <c r="D2072" i="3"/>
  <c r="C2072" i="3"/>
  <c r="B2072" i="3"/>
  <c r="A2072" i="3"/>
  <c r="H2071" i="3"/>
  <c r="G2071" i="3"/>
  <c r="F2071" i="3"/>
  <c r="E2071" i="3"/>
  <c r="D2071" i="3"/>
  <c r="C2071" i="3"/>
  <c r="B2071" i="3"/>
  <c r="A2071" i="3"/>
  <c r="H2070" i="3"/>
  <c r="G2070" i="3"/>
  <c r="F2070" i="3"/>
  <c r="E2070" i="3"/>
  <c r="D2070" i="3"/>
  <c r="C2070" i="3"/>
  <c r="B2070" i="3"/>
  <c r="A2070" i="3"/>
  <c r="H2069" i="3"/>
  <c r="G2069" i="3"/>
  <c r="F2069" i="3"/>
  <c r="E2069" i="3"/>
  <c r="D2069" i="3"/>
  <c r="C2069" i="3"/>
  <c r="B2069" i="3"/>
  <c r="A2069" i="3"/>
  <c r="H2068" i="3"/>
  <c r="G2068" i="3"/>
  <c r="F2068" i="3"/>
  <c r="E2068" i="3"/>
  <c r="D2068" i="3"/>
  <c r="C2068" i="3"/>
  <c r="B2068" i="3"/>
  <c r="A2068" i="3"/>
  <c r="H2067" i="3"/>
  <c r="G2067" i="3"/>
  <c r="F2067" i="3"/>
  <c r="E2067" i="3"/>
  <c r="D2067" i="3"/>
  <c r="C2067" i="3"/>
  <c r="B2067" i="3"/>
  <c r="A2067" i="3"/>
  <c r="H2066" i="3"/>
  <c r="G2066" i="3"/>
  <c r="F2066" i="3"/>
  <c r="E2066" i="3"/>
  <c r="D2066" i="3"/>
  <c r="C2066" i="3"/>
  <c r="B2066" i="3"/>
  <c r="A2066" i="3"/>
  <c r="H2065" i="3"/>
  <c r="G2065" i="3"/>
  <c r="F2065" i="3"/>
  <c r="E2065" i="3"/>
  <c r="D2065" i="3"/>
  <c r="C2065" i="3"/>
  <c r="B2065" i="3"/>
  <c r="A2065" i="3"/>
  <c r="H2064" i="3"/>
  <c r="G2064" i="3"/>
  <c r="F2064" i="3"/>
  <c r="E2064" i="3"/>
  <c r="D2064" i="3"/>
  <c r="C2064" i="3"/>
  <c r="B2064" i="3"/>
  <c r="A2064" i="3"/>
  <c r="H2063" i="3"/>
  <c r="G2063" i="3"/>
  <c r="F2063" i="3"/>
  <c r="E2063" i="3"/>
  <c r="D2063" i="3"/>
  <c r="C2063" i="3"/>
  <c r="B2063" i="3"/>
  <c r="A2063" i="3"/>
  <c r="H2062" i="3"/>
  <c r="G2062" i="3"/>
  <c r="F2062" i="3"/>
  <c r="E2062" i="3"/>
  <c r="D2062" i="3"/>
  <c r="C2062" i="3"/>
  <c r="B2062" i="3"/>
  <c r="A2062" i="3"/>
  <c r="H2061" i="3"/>
  <c r="G2061" i="3"/>
  <c r="F2061" i="3"/>
  <c r="E2061" i="3"/>
  <c r="D2061" i="3"/>
  <c r="C2061" i="3"/>
  <c r="B2061" i="3"/>
  <c r="A2061" i="3"/>
  <c r="H2060" i="3"/>
  <c r="G2060" i="3"/>
  <c r="F2060" i="3"/>
  <c r="E2060" i="3"/>
  <c r="D2060" i="3"/>
  <c r="C2060" i="3"/>
  <c r="B2060" i="3"/>
  <c r="A2060" i="3"/>
  <c r="H2059" i="3"/>
  <c r="G2059" i="3"/>
  <c r="F2059" i="3"/>
  <c r="E2059" i="3"/>
  <c r="D2059" i="3"/>
  <c r="C2059" i="3"/>
  <c r="B2059" i="3"/>
  <c r="A2059" i="3"/>
  <c r="H2058" i="3"/>
  <c r="G2058" i="3"/>
  <c r="F2058" i="3"/>
  <c r="E2058" i="3"/>
  <c r="D2058" i="3"/>
  <c r="C2058" i="3"/>
  <c r="B2058" i="3"/>
  <c r="A2058" i="3"/>
  <c r="H2057" i="3"/>
  <c r="G2057" i="3"/>
  <c r="F2057" i="3"/>
  <c r="E2057" i="3"/>
  <c r="D2057" i="3"/>
  <c r="C2057" i="3"/>
  <c r="B2057" i="3"/>
  <c r="A2057" i="3"/>
  <c r="H2056" i="3"/>
  <c r="G2056" i="3"/>
  <c r="F2056" i="3"/>
  <c r="E2056" i="3"/>
  <c r="D2056" i="3"/>
  <c r="C2056" i="3"/>
  <c r="B2056" i="3"/>
  <c r="A2056" i="3"/>
  <c r="H2055" i="3"/>
  <c r="G2055" i="3"/>
  <c r="F2055" i="3"/>
  <c r="E2055" i="3"/>
  <c r="D2055" i="3"/>
  <c r="C2055" i="3"/>
  <c r="B2055" i="3"/>
  <c r="A2055" i="3"/>
  <c r="H2054" i="3"/>
  <c r="G2054" i="3"/>
  <c r="F2054" i="3"/>
  <c r="E2054" i="3"/>
  <c r="D2054" i="3"/>
  <c r="C2054" i="3"/>
  <c r="B2054" i="3"/>
  <c r="A2054" i="3"/>
  <c r="H2053" i="3"/>
  <c r="G2053" i="3"/>
  <c r="F2053" i="3"/>
  <c r="E2053" i="3"/>
  <c r="D2053" i="3"/>
  <c r="C2053" i="3"/>
  <c r="B2053" i="3"/>
  <c r="A2053" i="3"/>
  <c r="H2052" i="3"/>
  <c r="G2052" i="3"/>
  <c r="F2052" i="3"/>
  <c r="E2052" i="3"/>
  <c r="D2052" i="3"/>
  <c r="C2052" i="3"/>
  <c r="B2052" i="3"/>
  <c r="A2052" i="3"/>
  <c r="H2051" i="3"/>
  <c r="G2051" i="3"/>
  <c r="F2051" i="3"/>
  <c r="E2051" i="3"/>
  <c r="D2051" i="3"/>
  <c r="C2051" i="3"/>
  <c r="B2051" i="3"/>
  <c r="A2051" i="3"/>
  <c r="H2050" i="3"/>
  <c r="G2050" i="3"/>
  <c r="F2050" i="3"/>
  <c r="E2050" i="3"/>
  <c r="D2050" i="3"/>
  <c r="C2050" i="3"/>
  <c r="B2050" i="3"/>
  <c r="A2050" i="3"/>
  <c r="H2049" i="3"/>
  <c r="G2049" i="3"/>
  <c r="F2049" i="3"/>
  <c r="E2049" i="3"/>
  <c r="D2049" i="3"/>
  <c r="C2049" i="3"/>
  <c r="B2049" i="3"/>
  <c r="A2049" i="3"/>
  <c r="H2048" i="3"/>
  <c r="G2048" i="3"/>
  <c r="F2048" i="3"/>
  <c r="E2048" i="3"/>
  <c r="D2048" i="3"/>
  <c r="C2048" i="3"/>
  <c r="B2048" i="3"/>
  <c r="A2048" i="3"/>
  <c r="H2047" i="3"/>
  <c r="G2047" i="3"/>
  <c r="F2047" i="3"/>
  <c r="E2047" i="3"/>
  <c r="D2047" i="3"/>
  <c r="C2047" i="3"/>
  <c r="B2047" i="3"/>
  <c r="A2047" i="3"/>
  <c r="H2046" i="3"/>
  <c r="G2046" i="3"/>
  <c r="F2046" i="3"/>
  <c r="E2046" i="3"/>
  <c r="D2046" i="3"/>
  <c r="C2046" i="3"/>
  <c r="B2046" i="3"/>
  <c r="A2046" i="3"/>
  <c r="H2045" i="3"/>
  <c r="G2045" i="3"/>
  <c r="F2045" i="3"/>
  <c r="E2045" i="3"/>
  <c r="D2045" i="3"/>
  <c r="C2045" i="3"/>
  <c r="B2045" i="3"/>
  <c r="A2045" i="3"/>
  <c r="H2044" i="3"/>
  <c r="G2044" i="3"/>
  <c r="F2044" i="3"/>
  <c r="E2044" i="3"/>
  <c r="D2044" i="3"/>
  <c r="C2044" i="3"/>
  <c r="B2044" i="3"/>
  <c r="A2044" i="3"/>
  <c r="H2043" i="3"/>
  <c r="G2043" i="3"/>
  <c r="F2043" i="3"/>
  <c r="E2043" i="3"/>
  <c r="D2043" i="3"/>
  <c r="C2043" i="3"/>
  <c r="B2043" i="3"/>
  <c r="A2043" i="3"/>
  <c r="H2042" i="3"/>
  <c r="G2042" i="3"/>
  <c r="F2042" i="3"/>
  <c r="E2042" i="3"/>
  <c r="D2042" i="3"/>
  <c r="C2042" i="3"/>
  <c r="B2042" i="3"/>
  <c r="A2042" i="3"/>
  <c r="H2041" i="3"/>
  <c r="G2041" i="3"/>
  <c r="F2041" i="3"/>
  <c r="E2041" i="3"/>
  <c r="D2041" i="3"/>
  <c r="C2041" i="3"/>
  <c r="B2041" i="3"/>
  <c r="A2041" i="3"/>
  <c r="H2040" i="3"/>
  <c r="G2040" i="3"/>
  <c r="F2040" i="3"/>
  <c r="E2040" i="3"/>
  <c r="D2040" i="3"/>
  <c r="C2040" i="3"/>
  <c r="B2040" i="3"/>
  <c r="A2040" i="3"/>
  <c r="H2039" i="3"/>
  <c r="G2039" i="3"/>
  <c r="F2039" i="3"/>
  <c r="E2039" i="3"/>
  <c r="D2039" i="3"/>
  <c r="C2039" i="3"/>
  <c r="B2039" i="3"/>
  <c r="A2039" i="3"/>
  <c r="H2038" i="3"/>
  <c r="G2038" i="3"/>
  <c r="F2038" i="3"/>
  <c r="E2038" i="3"/>
  <c r="D2038" i="3"/>
  <c r="C2038" i="3"/>
  <c r="B2038" i="3"/>
  <c r="A2038" i="3"/>
  <c r="H2037" i="3"/>
  <c r="G2037" i="3"/>
  <c r="F2037" i="3"/>
  <c r="E2037" i="3"/>
  <c r="D2037" i="3"/>
  <c r="C2037" i="3"/>
  <c r="B2037" i="3"/>
  <c r="A2037" i="3"/>
  <c r="H2036" i="3"/>
  <c r="G2036" i="3"/>
  <c r="F2036" i="3"/>
  <c r="E2036" i="3"/>
  <c r="D2036" i="3"/>
  <c r="C2036" i="3"/>
  <c r="B2036" i="3"/>
  <c r="A2036" i="3"/>
  <c r="H2035" i="3"/>
  <c r="G2035" i="3"/>
  <c r="F2035" i="3"/>
  <c r="E2035" i="3"/>
  <c r="D2035" i="3"/>
  <c r="C2035" i="3"/>
  <c r="B2035" i="3"/>
  <c r="A2035" i="3"/>
  <c r="H2034" i="3"/>
  <c r="G2034" i="3"/>
  <c r="F2034" i="3"/>
  <c r="E2034" i="3"/>
  <c r="D2034" i="3"/>
  <c r="C2034" i="3"/>
  <c r="B2034" i="3"/>
  <c r="A2034" i="3"/>
  <c r="H2033" i="3"/>
  <c r="G2033" i="3"/>
  <c r="F2033" i="3"/>
  <c r="E2033" i="3"/>
  <c r="D2033" i="3"/>
  <c r="C2033" i="3"/>
  <c r="B2033" i="3"/>
  <c r="A2033" i="3"/>
  <c r="H2032" i="3"/>
  <c r="G2032" i="3"/>
  <c r="F2032" i="3"/>
  <c r="E2032" i="3"/>
  <c r="D2032" i="3"/>
  <c r="C2032" i="3"/>
  <c r="B2032" i="3"/>
  <c r="A2032" i="3"/>
  <c r="H2031" i="3"/>
  <c r="G2031" i="3"/>
  <c r="F2031" i="3"/>
  <c r="E2031" i="3"/>
  <c r="D2031" i="3"/>
  <c r="C2031" i="3"/>
  <c r="B2031" i="3"/>
  <c r="A2031" i="3"/>
  <c r="H2030" i="3"/>
  <c r="G2030" i="3"/>
  <c r="F2030" i="3"/>
  <c r="E2030" i="3"/>
  <c r="D2030" i="3"/>
  <c r="C2030" i="3"/>
  <c r="B2030" i="3"/>
  <c r="A2030" i="3"/>
  <c r="H2029" i="3"/>
  <c r="G2029" i="3"/>
  <c r="F2029" i="3"/>
  <c r="E2029" i="3"/>
  <c r="D2029" i="3"/>
  <c r="C2029" i="3"/>
  <c r="B2029" i="3"/>
  <c r="A2029" i="3"/>
  <c r="H2028" i="3"/>
  <c r="G2028" i="3"/>
  <c r="F2028" i="3"/>
  <c r="E2028" i="3"/>
  <c r="D2028" i="3"/>
  <c r="C2028" i="3"/>
  <c r="B2028" i="3"/>
  <c r="A2028" i="3"/>
  <c r="H2027" i="3"/>
  <c r="G2027" i="3"/>
  <c r="F2027" i="3"/>
  <c r="E2027" i="3"/>
  <c r="D2027" i="3"/>
  <c r="C2027" i="3"/>
  <c r="B2027" i="3"/>
  <c r="A2027" i="3"/>
  <c r="H2026" i="3"/>
  <c r="G2026" i="3"/>
  <c r="F2026" i="3"/>
  <c r="E2026" i="3"/>
  <c r="D2026" i="3"/>
  <c r="C2026" i="3"/>
  <c r="B2026" i="3"/>
  <c r="A2026" i="3"/>
  <c r="H2025" i="3"/>
  <c r="G2025" i="3"/>
  <c r="F2025" i="3"/>
  <c r="E2025" i="3"/>
  <c r="D2025" i="3"/>
  <c r="C2025" i="3"/>
  <c r="B2025" i="3"/>
  <c r="A2025" i="3"/>
  <c r="H2024" i="3"/>
  <c r="G2024" i="3"/>
  <c r="F2024" i="3"/>
  <c r="E2024" i="3"/>
  <c r="D2024" i="3"/>
  <c r="C2024" i="3"/>
  <c r="B2024" i="3"/>
  <c r="A2024" i="3"/>
  <c r="H2023" i="3"/>
  <c r="G2023" i="3"/>
  <c r="F2023" i="3"/>
  <c r="E2023" i="3"/>
  <c r="D2023" i="3"/>
  <c r="C2023" i="3"/>
  <c r="B2023" i="3"/>
  <c r="A2023" i="3"/>
  <c r="H2022" i="3"/>
  <c r="G2022" i="3"/>
  <c r="F2022" i="3"/>
  <c r="E2022" i="3"/>
  <c r="D2022" i="3"/>
  <c r="C2022" i="3"/>
  <c r="B2022" i="3"/>
  <c r="A2022" i="3"/>
  <c r="H2021" i="3"/>
  <c r="G2021" i="3"/>
  <c r="F2021" i="3"/>
  <c r="E2021" i="3"/>
  <c r="D2021" i="3"/>
  <c r="C2021" i="3"/>
  <c r="B2021" i="3"/>
  <c r="A2021" i="3"/>
  <c r="H2020" i="3"/>
  <c r="G2020" i="3"/>
  <c r="F2020" i="3"/>
  <c r="E2020" i="3"/>
  <c r="D2020" i="3"/>
  <c r="C2020" i="3"/>
  <c r="B2020" i="3"/>
  <c r="A2020" i="3"/>
  <c r="H2019" i="3"/>
  <c r="G2019" i="3"/>
  <c r="F2019" i="3"/>
  <c r="E2019" i="3"/>
  <c r="D2019" i="3"/>
  <c r="C2019" i="3"/>
  <c r="B2019" i="3"/>
  <c r="A2019" i="3"/>
  <c r="H2018" i="3"/>
  <c r="G2018" i="3"/>
  <c r="F2018" i="3"/>
  <c r="E2018" i="3"/>
  <c r="D2018" i="3"/>
  <c r="C2018" i="3"/>
  <c r="B2018" i="3"/>
  <c r="A2018" i="3"/>
  <c r="H2017" i="3"/>
  <c r="G2017" i="3"/>
  <c r="F2017" i="3"/>
  <c r="E2017" i="3"/>
  <c r="D2017" i="3"/>
  <c r="C2017" i="3"/>
  <c r="B2017" i="3"/>
  <c r="A2017" i="3"/>
  <c r="H2016" i="3"/>
  <c r="G2016" i="3"/>
  <c r="F2016" i="3"/>
  <c r="E2016" i="3"/>
  <c r="D2016" i="3"/>
  <c r="C2016" i="3"/>
  <c r="B2016" i="3"/>
  <c r="A2016" i="3"/>
  <c r="H2015" i="3"/>
  <c r="G2015" i="3"/>
  <c r="F2015" i="3"/>
  <c r="E2015" i="3"/>
  <c r="D2015" i="3"/>
  <c r="C2015" i="3"/>
  <c r="B2015" i="3"/>
  <c r="A2015" i="3"/>
  <c r="H2014" i="3"/>
  <c r="G2014" i="3"/>
  <c r="F2014" i="3"/>
  <c r="E2014" i="3"/>
  <c r="D2014" i="3"/>
  <c r="C2014" i="3"/>
  <c r="B2014" i="3"/>
  <c r="A2014" i="3"/>
  <c r="H2013" i="3"/>
  <c r="G2013" i="3"/>
  <c r="F2013" i="3"/>
  <c r="E2013" i="3"/>
  <c r="D2013" i="3"/>
  <c r="C2013" i="3"/>
  <c r="B2013" i="3"/>
  <c r="A2013" i="3"/>
  <c r="H2012" i="3"/>
  <c r="G2012" i="3"/>
  <c r="F2012" i="3"/>
  <c r="E2012" i="3"/>
  <c r="D2012" i="3"/>
  <c r="C2012" i="3"/>
  <c r="B2012" i="3"/>
  <c r="A2012" i="3"/>
  <c r="H2011" i="3"/>
  <c r="G2011" i="3"/>
  <c r="F2011" i="3"/>
  <c r="E2011" i="3"/>
  <c r="D2011" i="3"/>
  <c r="C2011" i="3"/>
  <c r="B2011" i="3"/>
  <c r="A2011" i="3"/>
  <c r="H2010" i="3"/>
  <c r="G2010" i="3"/>
  <c r="F2010" i="3"/>
  <c r="E2010" i="3"/>
  <c r="D2010" i="3"/>
  <c r="C2010" i="3"/>
  <c r="B2010" i="3"/>
  <c r="A2010" i="3"/>
  <c r="H2009" i="3"/>
  <c r="G2009" i="3"/>
  <c r="F2009" i="3"/>
  <c r="E2009" i="3"/>
  <c r="D2009" i="3"/>
  <c r="C2009" i="3"/>
  <c r="B2009" i="3"/>
  <c r="A2009" i="3"/>
  <c r="H2008" i="3"/>
  <c r="G2008" i="3"/>
  <c r="F2008" i="3"/>
  <c r="E2008" i="3"/>
  <c r="D2008" i="3"/>
  <c r="C2008" i="3"/>
  <c r="B2008" i="3"/>
  <c r="A2008" i="3"/>
  <c r="H2007" i="3"/>
  <c r="G2007" i="3"/>
  <c r="F2007" i="3"/>
  <c r="E2007" i="3"/>
  <c r="D2007" i="3"/>
  <c r="C2007" i="3"/>
  <c r="B2007" i="3"/>
  <c r="A2007" i="3"/>
  <c r="H2006" i="3"/>
  <c r="G2006" i="3"/>
  <c r="F2006" i="3"/>
  <c r="E2006" i="3"/>
  <c r="D2006" i="3"/>
  <c r="C2006" i="3"/>
  <c r="B2006" i="3"/>
  <c r="A2006" i="3"/>
  <c r="H2005" i="3"/>
  <c r="G2005" i="3"/>
  <c r="F2005" i="3"/>
  <c r="E2005" i="3"/>
  <c r="D2005" i="3"/>
  <c r="C2005" i="3"/>
  <c r="B2005" i="3"/>
  <c r="A2005" i="3"/>
  <c r="H2004" i="3"/>
  <c r="G2004" i="3"/>
  <c r="F2004" i="3"/>
  <c r="E2004" i="3"/>
  <c r="D2004" i="3"/>
  <c r="C2004" i="3"/>
  <c r="B2004" i="3"/>
  <c r="A2004" i="3"/>
  <c r="H2003" i="3"/>
  <c r="G2003" i="3"/>
  <c r="F2003" i="3"/>
  <c r="E2003" i="3"/>
  <c r="D2003" i="3"/>
  <c r="C2003" i="3"/>
  <c r="B2003" i="3"/>
  <c r="A2003" i="3"/>
  <c r="H2002" i="3"/>
  <c r="G2002" i="3"/>
  <c r="F2002" i="3"/>
  <c r="E2002" i="3"/>
  <c r="D2002" i="3"/>
  <c r="C2002" i="3"/>
  <c r="B2002" i="3"/>
  <c r="A2002" i="3"/>
  <c r="H2001" i="3"/>
  <c r="G2001" i="3"/>
  <c r="F2001" i="3"/>
  <c r="E2001" i="3"/>
  <c r="D2001" i="3"/>
  <c r="C2001" i="3"/>
  <c r="B2001" i="3"/>
  <c r="A2001" i="3"/>
  <c r="H2000" i="3"/>
  <c r="G2000" i="3"/>
  <c r="F2000" i="3"/>
  <c r="E2000" i="3"/>
  <c r="D2000" i="3"/>
  <c r="C2000" i="3"/>
  <c r="B2000" i="3"/>
  <c r="A2000" i="3"/>
  <c r="H1999" i="3"/>
  <c r="G1999" i="3"/>
  <c r="F1999" i="3"/>
  <c r="E1999" i="3"/>
  <c r="D1999" i="3"/>
  <c r="C1999" i="3"/>
  <c r="B1999" i="3"/>
  <c r="A1999" i="3"/>
  <c r="H1998" i="3"/>
  <c r="G1998" i="3"/>
  <c r="F1998" i="3"/>
  <c r="E1998" i="3"/>
  <c r="D1998" i="3"/>
  <c r="C1998" i="3"/>
  <c r="B1998" i="3"/>
  <c r="A1998" i="3"/>
  <c r="H1997" i="3"/>
  <c r="G1997" i="3"/>
  <c r="F1997" i="3"/>
  <c r="E1997" i="3"/>
  <c r="D1997" i="3"/>
  <c r="C1997" i="3"/>
  <c r="B1997" i="3"/>
  <c r="A1997" i="3"/>
  <c r="H1996" i="3"/>
  <c r="G1996" i="3"/>
  <c r="F1996" i="3"/>
  <c r="E1996" i="3"/>
  <c r="D1996" i="3"/>
  <c r="C1996" i="3"/>
  <c r="B1996" i="3"/>
  <c r="A1996" i="3"/>
  <c r="H1995" i="3"/>
  <c r="G1995" i="3"/>
  <c r="F1995" i="3"/>
  <c r="E1995" i="3"/>
  <c r="D1995" i="3"/>
  <c r="C1995" i="3"/>
  <c r="B1995" i="3"/>
  <c r="A1995" i="3"/>
  <c r="H1994" i="3"/>
  <c r="G1994" i="3"/>
  <c r="F1994" i="3"/>
  <c r="E1994" i="3"/>
  <c r="D1994" i="3"/>
  <c r="C1994" i="3"/>
  <c r="B1994" i="3"/>
  <c r="A1994" i="3"/>
  <c r="H1993" i="3"/>
  <c r="G1993" i="3"/>
  <c r="F1993" i="3"/>
  <c r="E1993" i="3"/>
  <c r="D1993" i="3"/>
  <c r="C1993" i="3"/>
  <c r="B1993" i="3"/>
  <c r="A1993" i="3"/>
  <c r="H1992" i="3"/>
  <c r="G1992" i="3"/>
  <c r="F1992" i="3"/>
  <c r="E1992" i="3"/>
  <c r="D1992" i="3"/>
  <c r="C1992" i="3"/>
  <c r="B1992" i="3"/>
  <c r="A1992" i="3"/>
  <c r="H1991" i="3"/>
  <c r="G1991" i="3"/>
  <c r="F1991" i="3"/>
  <c r="E1991" i="3"/>
  <c r="D1991" i="3"/>
  <c r="C1991" i="3"/>
  <c r="B1991" i="3"/>
  <c r="A1991" i="3"/>
  <c r="H1990" i="3"/>
  <c r="G1990" i="3"/>
  <c r="F1990" i="3"/>
  <c r="E1990" i="3"/>
  <c r="D1990" i="3"/>
  <c r="C1990" i="3"/>
  <c r="B1990" i="3"/>
  <c r="A1990" i="3"/>
  <c r="H1989" i="3"/>
  <c r="G1989" i="3"/>
  <c r="F1989" i="3"/>
  <c r="E1989" i="3"/>
  <c r="D1989" i="3"/>
  <c r="C1989" i="3"/>
  <c r="B1989" i="3"/>
  <c r="A1989" i="3"/>
  <c r="H1988" i="3"/>
  <c r="G1988" i="3"/>
  <c r="F1988" i="3"/>
  <c r="E1988" i="3"/>
  <c r="D1988" i="3"/>
  <c r="C1988" i="3"/>
  <c r="B1988" i="3"/>
  <c r="A1988" i="3"/>
  <c r="H1987" i="3"/>
  <c r="G1987" i="3"/>
  <c r="F1987" i="3"/>
  <c r="E1987" i="3"/>
  <c r="D1987" i="3"/>
  <c r="C1987" i="3"/>
  <c r="B1987" i="3"/>
  <c r="A1987" i="3"/>
  <c r="H1986" i="3"/>
  <c r="G1986" i="3"/>
  <c r="F1986" i="3"/>
  <c r="E1986" i="3"/>
  <c r="D1986" i="3"/>
  <c r="C1986" i="3"/>
  <c r="B1986" i="3"/>
  <c r="A1986" i="3"/>
  <c r="H1985" i="3"/>
  <c r="G1985" i="3"/>
  <c r="F1985" i="3"/>
  <c r="E1985" i="3"/>
  <c r="D1985" i="3"/>
  <c r="C1985" i="3"/>
  <c r="B1985" i="3"/>
  <c r="A1985" i="3"/>
  <c r="H1984" i="3"/>
  <c r="G1984" i="3"/>
  <c r="F1984" i="3"/>
  <c r="E1984" i="3"/>
  <c r="D1984" i="3"/>
  <c r="C1984" i="3"/>
  <c r="B1984" i="3"/>
  <c r="A1984" i="3"/>
  <c r="H1983" i="3"/>
  <c r="G1983" i="3"/>
  <c r="F1983" i="3"/>
  <c r="E1983" i="3"/>
  <c r="D1983" i="3"/>
  <c r="C1983" i="3"/>
  <c r="B1983" i="3"/>
  <c r="A1983" i="3"/>
  <c r="H1982" i="3"/>
  <c r="G1982" i="3"/>
  <c r="F1982" i="3"/>
  <c r="E1982" i="3"/>
  <c r="D1982" i="3"/>
  <c r="C1982" i="3"/>
  <c r="B1982" i="3"/>
  <c r="A1982" i="3"/>
  <c r="H1981" i="3"/>
  <c r="G1981" i="3"/>
  <c r="F1981" i="3"/>
  <c r="E1981" i="3"/>
  <c r="D1981" i="3"/>
  <c r="C1981" i="3"/>
  <c r="B1981" i="3"/>
  <c r="A1981" i="3"/>
  <c r="H1980" i="3"/>
  <c r="G1980" i="3"/>
  <c r="F1980" i="3"/>
  <c r="E1980" i="3"/>
  <c r="D1980" i="3"/>
  <c r="C1980" i="3"/>
  <c r="B1980" i="3"/>
  <c r="A1980" i="3"/>
  <c r="H1979" i="3"/>
  <c r="G1979" i="3"/>
  <c r="F1979" i="3"/>
  <c r="E1979" i="3"/>
  <c r="D1979" i="3"/>
  <c r="C1979" i="3"/>
  <c r="B1979" i="3"/>
  <c r="A1979" i="3"/>
  <c r="H1978" i="3"/>
  <c r="G1978" i="3"/>
  <c r="F1978" i="3"/>
  <c r="E1978" i="3"/>
  <c r="D1978" i="3"/>
  <c r="C1978" i="3"/>
  <c r="B1978" i="3"/>
  <c r="A1978" i="3"/>
  <c r="H1977" i="3"/>
  <c r="G1977" i="3"/>
  <c r="F1977" i="3"/>
  <c r="E1977" i="3"/>
  <c r="D1977" i="3"/>
  <c r="C1977" i="3"/>
  <c r="B1977" i="3"/>
  <c r="A1977" i="3"/>
  <c r="H1976" i="3"/>
  <c r="G1976" i="3"/>
  <c r="F1976" i="3"/>
  <c r="E1976" i="3"/>
  <c r="D1976" i="3"/>
  <c r="C1976" i="3"/>
  <c r="B1976" i="3"/>
  <c r="A1976" i="3"/>
  <c r="H1975" i="3"/>
  <c r="G1975" i="3"/>
  <c r="F1975" i="3"/>
  <c r="E1975" i="3"/>
  <c r="D1975" i="3"/>
  <c r="C1975" i="3"/>
  <c r="B1975" i="3"/>
  <c r="A1975" i="3"/>
  <c r="H1974" i="3"/>
  <c r="G1974" i="3"/>
  <c r="F1974" i="3"/>
  <c r="E1974" i="3"/>
  <c r="D1974" i="3"/>
  <c r="C1974" i="3"/>
  <c r="B1974" i="3"/>
  <c r="A1974" i="3"/>
  <c r="H1973" i="3"/>
  <c r="G1973" i="3"/>
  <c r="F1973" i="3"/>
  <c r="E1973" i="3"/>
  <c r="D1973" i="3"/>
  <c r="C1973" i="3"/>
  <c r="B1973" i="3"/>
  <c r="A1973" i="3"/>
  <c r="H1972" i="3"/>
  <c r="G1972" i="3"/>
  <c r="F1972" i="3"/>
  <c r="E1972" i="3"/>
  <c r="D1972" i="3"/>
  <c r="C1972" i="3"/>
  <c r="B1972" i="3"/>
  <c r="A1972" i="3"/>
  <c r="H1971" i="3"/>
  <c r="G1971" i="3"/>
  <c r="F1971" i="3"/>
  <c r="E1971" i="3"/>
  <c r="D1971" i="3"/>
  <c r="C1971" i="3"/>
  <c r="B1971" i="3"/>
  <c r="A1971" i="3"/>
  <c r="H1970" i="3"/>
  <c r="G1970" i="3"/>
  <c r="F1970" i="3"/>
  <c r="E1970" i="3"/>
  <c r="D1970" i="3"/>
  <c r="C1970" i="3"/>
  <c r="B1970" i="3"/>
  <c r="A1970" i="3"/>
  <c r="H1969" i="3"/>
  <c r="G1969" i="3"/>
  <c r="F1969" i="3"/>
  <c r="E1969" i="3"/>
  <c r="D1969" i="3"/>
  <c r="C1969" i="3"/>
  <c r="B1969" i="3"/>
  <c r="A1969" i="3"/>
  <c r="H1968" i="3"/>
  <c r="G1968" i="3"/>
  <c r="F1968" i="3"/>
  <c r="E1968" i="3"/>
  <c r="D1968" i="3"/>
  <c r="C1968" i="3"/>
  <c r="B1968" i="3"/>
  <c r="A1968" i="3"/>
  <c r="H1967" i="3"/>
  <c r="G1967" i="3"/>
  <c r="F1967" i="3"/>
  <c r="E1967" i="3"/>
  <c r="D1967" i="3"/>
  <c r="C1967" i="3"/>
  <c r="B1967" i="3"/>
  <c r="A1967" i="3"/>
  <c r="H1966" i="3"/>
  <c r="G1966" i="3"/>
  <c r="F1966" i="3"/>
  <c r="E1966" i="3"/>
  <c r="D1966" i="3"/>
  <c r="C1966" i="3"/>
  <c r="B1966" i="3"/>
  <c r="A1966" i="3"/>
  <c r="H1965" i="3"/>
  <c r="G1965" i="3"/>
  <c r="F1965" i="3"/>
  <c r="E1965" i="3"/>
  <c r="D1965" i="3"/>
  <c r="C1965" i="3"/>
  <c r="B1965" i="3"/>
  <c r="A1965" i="3"/>
  <c r="H1964" i="3"/>
  <c r="G1964" i="3"/>
  <c r="F1964" i="3"/>
  <c r="E1964" i="3"/>
  <c r="D1964" i="3"/>
  <c r="C1964" i="3"/>
  <c r="B1964" i="3"/>
  <c r="A1964" i="3"/>
  <c r="H1963" i="3"/>
  <c r="G1963" i="3"/>
  <c r="F1963" i="3"/>
  <c r="E1963" i="3"/>
  <c r="D1963" i="3"/>
  <c r="C1963" i="3"/>
  <c r="B1963" i="3"/>
  <c r="A1963" i="3"/>
  <c r="H1962" i="3"/>
  <c r="G1962" i="3"/>
  <c r="F1962" i="3"/>
  <c r="E1962" i="3"/>
  <c r="D1962" i="3"/>
  <c r="C1962" i="3"/>
  <c r="B1962" i="3"/>
  <c r="A1962" i="3"/>
  <c r="H1961" i="3"/>
  <c r="G1961" i="3"/>
  <c r="F1961" i="3"/>
  <c r="E1961" i="3"/>
  <c r="D1961" i="3"/>
  <c r="C1961" i="3"/>
  <c r="B1961" i="3"/>
  <c r="A1961" i="3"/>
  <c r="H1960" i="3"/>
  <c r="G1960" i="3"/>
  <c r="F1960" i="3"/>
  <c r="E1960" i="3"/>
  <c r="D1960" i="3"/>
  <c r="C1960" i="3"/>
  <c r="B1960" i="3"/>
  <c r="A1960" i="3"/>
  <c r="H1959" i="3"/>
  <c r="G1959" i="3"/>
  <c r="F1959" i="3"/>
  <c r="E1959" i="3"/>
  <c r="D1959" i="3"/>
  <c r="C1959" i="3"/>
  <c r="B1959" i="3"/>
  <c r="A1959" i="3"/>
  <c r="H1958" i="3"/>
  <c r="G1958" i="3"/>
  <c r="F1958" i="3"/>
  <c r="E1958" i="3"/>
  <c r="D1958" i="3"/>
  <c r="C1958" i="3"/>
  <c r="B1958" i="3"/>
  <c r="A1958" i="3"/>
  <c r="H1957" i="3"/>
  <c r="G1957" i="3"/>
  <c r="F1957" i="3"/>
  <c r="E1957" i="3"/>
  <c r="D1957" i="3"/>
  <c r="C1957" i="3"/>
  <c r="B1957" i="3"/>
  <c r="A1957" i="3"/>
  <c r="H1956" i="3"/>
  <c r="G1956" i="3"/>
  <c r="F1956" i="3"/>
  <c r="E1956" i="3"/>
  <c r="D1956" i="3"/>
  <c r="C1956" i="3"/>
  <c r="B1956" i="3"/>
  <c r="A1956" i="3"/>
  <c r="H1955" i="3"/>
  <c r="G1955" i="3"/>
  <c r="F1955" i="3"/>
  <c r="E1955" i="3"/>
  <c r="D1955" i="3"/>
  <c r="C1955" i="3"/>
  <c r="B1955" i="3"/>
  <c r="A1955" i="3"/>
  <c r="H1954" i="3"/>
  <c r="G1954" i="3"/>
  <c r="F1954" i="3"/>
  <c r="E1954" i="3"/>
  <c r="D1954" i="3"/>
  <c r="C1954" i="3"/>
  <c r="B1954" i="3"/>
  <c r="A1954" i="3"/>
  <c r="H1953" i="3"/>
  <c r="G1953" i="3"/>
  <c r="F1953" i="3"/>
  <c r="E1953" i="3"/>
  <c r="D1953" i="3"/>
  <c r="C1953" i="3"/>
  <c r="B1953" i="3"/>
  <c r="A1953" i="3"/>
  <c r="H1952" i="3"/>
  <c r="G1952" i="3"/>
  <c r="F1952" i="3"/>
  <c r="E1952" i="3"/>
  <c r="D1952" i="3"/>
  <c r="C1952" i="3"/>
  <c r="B1952" i="3"/>
  <c r="A1952" i="3"/>
  <c r="H1951" i="3"/>
  <c r="G1951" i="3"/>
  <c r="F1951" i="3"/>
  <c r="E1951" i="3"/>
  <c r="D1951" i="3"/>
  <c r="C1951" i="3"/>
  <c r="B1951" i="3"/>
  <c r="A1951" i="3"/>
  <c r="H1950" i="3"/>
  <c r="G1950" i="3"/>
  <c r="F1950" i="3"/>
  <c r="E1950" i="3"/>
  <c r="D1950" i="3"/>
  <c r="C1950" i="3"/>
  <c r="B1950" i="3"/>
  <c r="A1950" i="3"/>
  <c r="H1949" i="3"/>
  <c r="G1949" i="3"/>
  <c r="F1949" i="3"/>
  <c r="E1949" i="3"/>
  <c r="D1949" i="3"/>
  <c r="C1949" i="3"/>
  <c r="B1949" i="3"/>
  <c r="A1949" i="3"/>
  <c r="H1948" i="3"/>
  <c r="G1948" i="3"/>
  <c r="F1948" i="3"/>
  <c r="E1948" i="3"/>
  <c r="D1948" i="3"/>
  <c r="C1948" i="3"/>
  <c r="B1948" i="3"/>
  <c r="A1948" i="3"/>
  <c r="H1947" i="3"/>
  <c r="G1947" i="3"/>
  <c r="F1947" i="3"/>
  <c r="E1947" i="3"/>
  <c r="D1947" i="3"/>
  <c r="C1947" i="3"/>
  <c r="B1947" i="3"/>
  <c r="A1947" i="3"/>
  <c r="H1946" i="3"/>
  <c r="G1946" i="3"/>
  <c r="F1946" i="3"/>
  <c r="E1946" i="3"/>
  <c r="D1946" i="3"/>
  <c r="C1946" i="3"/>
  <c r="B1946" i="3"/>
  <c r="A1946" i="3"/>
  <c r="H1945" i="3"/>
  <c r="G1945" i="3"/>
  <c r="F1945" i="3"/>
  <c r="E1945" i="3"/>
  <c r="D1945" i="3"/>
  <c r="C1945" i="3"/>
  <c r="B1945" i="3"/>
  <c r="A1945" i="3"/>
  <c r="H1944" i="3"/>
  <c r="G1944" i="3"/>
  <c r="F1944" i="3"/>
  <c r="E1944" i="3"/>
  <c r="D1944" i="3"/>
  <c r="C1944" i="3"/>
  <c r="B1944" i="3"/>
  <c r="A1944" i="3"/>
  <c r="H1943" i="3"/>
  <c r="G1943" i="3"/>
  <c r="F1943" i="3"/>
  <c r="E1943" i="3"/>
  <c r="D1943" i="3"/>
  <c r="C1943" i="3"/>
  <c r="B1943" i="3"/>
  <c r="A1943" i="3"/>
  <c r="H1942" i="3"/>
  <c r="G1942" i="3"/>
  <c r="F1942" i="3"/>
  <c r="E1942" i="3"/>
  <c r="D1942" i="3"/>
  <c r="C1942" i="3"/>
  <c r="B1942" i="3"/>
  <c r="A1942" i="3"/>
  <c r="H1941" i="3"/>
  <c r="G1941" i="3"/>
  <c r="F1941" i="3"/>
  <c r="E1941" i="3"/>
  <c r="D1941" i="3"/>
  <c r="C1941" i="3"/>
  <c r="B1941" i="3"/>
  <c r="A1941" i="3"/>
  <c r="H1940" i="3"/>
  <c r="G1940" i="3"/>
  <c r="F1940" i="3"/>
  <c r="E1940" i="3"/>
  <c r="D1940" i="3"/>
  <c r="C1940" i="3"/>
  <c r="B1940" i="3"/>
  <c r="A1940" i="3"/>
  <c r="H1939" i="3"/>
  <c r="G1939" i="3"/>
  <c r="F1939" i="3"/>
  <c r="E1939" i="3"/>
  <c r="D1939" i="3"/>
  <c r="C1939" i="3"/>
  <c r="B1939" i="3"/>
  <c r="A1939" i="3"/>
  <c r="H1938" i="3"/>
  <c r="G1938" i="3"/>
  <c r="F1938" i="3"/>
  <c r="E1938" i="3"/>
  <c r="D1938" i="3"/>
  <c r="C1938" i="3"/>
  <c r="B1938" i="3"/>
  <c r="A1938" i="3"/>
  <c r="H1937" i="3"/>
  <c r="G1937" i="3"/>
  <c r="F1937" i="3"/>
  <c r="E1937" i="3"/>
  <c r="D1937" i="3"/>
  <c r="C1937" i="3"/>
  <c r="B1937" i="3"/>
  <c r="A1937" i="3"/>
  <c r="H1936" i="3"/>
  <c r="G1936" i="3"/>
  <c r="F1936" i="3"/>
  <c r="E1936" i="3"/>
  <c r="D1936" i="3"/>
  <c r="C1936" i="3"/>
  <c r="B1936" i="3"/>
  <c r="A1936" i="3"/>
  <c r="H1935" i="3"/>
  <c r="G1935" i="3"/>
  <c r="F1935" i="3"/>
  <c r="E1935" i="3"/>
  <c r="D1935" i="3"/>
  <c r="C1935" i="3"/>
  <c r="B1935" i="3"/>
  <c r="A1935" i="3"/>
  <c r="H1934" i="3"/>
  <c r="G1934" i="3"/>
  <c r="F1934" i="3"/>
  <c r="E1934" i="3"/>
  <c r="D1934" i="3"/>
  <c r="C1934" i="3"/>
  <c r="B1934" i="3"/>
  <c r="A1934" i="3"/>
  <c r="H1933" i="3"/>
  <c r="G1933" i="3"/>
  <c r="F1933" i="3"/>
  <c r="E1933" i="3"/>
  <c r="D1933" i="3"/>
  <c r="C1933" i="3"/>
  <c r="B1933" i="3"/>
  <c r="A1933" i="3"/>
  <c r="H1932" i="3"/>
  <c r="G1932" i="3"/>
  <c r="F1932" i="3"/>
  <c r="E1932" i="3"/>
  <c r="D1932" i="3"/>
  <c r="C1932" i="3"/>
  <c r="B1932" i="3"/>
  <c r="A1932" i="3"/>
  <c r="H1931" i="3"/>
  <c r="G1931" i="3"/>
  <c r="F1931" i="3"/>
  <c r="E1931" i="3"/>
  <c r="D1931" i="3"/>
  <c r="C1931" i="3"/>
  <c r="B1931" i="3"/>
  <c r="A1931" i="3"/>
  <c r="H1930" i="3"/>
  <c r="G1930" i="3"/>
  <c r="F1930" i="3"/>
  <c r="E1930" i="3"/>
  <c r="D1930" i="3"/>
  <c r="C1930" i="3"/>
  <c r="B1930" i="3"/>
  <c r="A1930" i="3"/>
  <c r="H1929" i="3"/>
  <c r="G1929" i="3"/>
  <c r="F1929" i="3"/>
  <c r="E1929" i="3"/>
  <c r="D1929" i="3"/>
  <c r="C1929" i="3"/>
  <c r="B1929" i="3"/>
  <c r="A1929" i="3"/>
  <c r="H1928" i="3"/>
  <c r="G1928" i="3"/>
  <c r="F1928" i="3"/>
  <c r="E1928" i="3"/>
  <c r="D1928" i="3"/>
  <c r="C1928" i="3"/>
  <c r="B1928" i="3"/>
  <c r="A1928" i="3"/>
  <c r="H1927" i="3"/>
  <c r="G1927" i="3"/>
  <c r="F1927" i="3"/>
  <c r="E1927" i="3"/>
  <c r="D1927" i="3"/>
  <c r="C1927" i="3"/>
  <c r="B1927" i="3"/>
  <c r="A1927" i="3"/>
  <c r="H1926" i="3"/>
  <c r="G1926" i="3"/>
  <c r="F1926" i="3"/>
  <c r="E1926" i="3"/>
  <c r="D1926" i="3"/>
  <c r="C1926" i="3"/>
  <c r="B1926" i="3"/>
  <c r="A1926" i="3"/>
  <c r="H1925" i="3"/>
  <c r="G1925" i="3"/>
  <c r="F1925" i="3"/>
  <c r="E1925" i="3"/>
  <c r="D1925" i="3"/>
  <c r="C1925" i="3"/>
  <c r="B1925" i="3"/>
  <c r="A1925" i="3"/>
  <c r="H1924" i="3"/>
  <c r="G1924" i="3"/>
  <c r="F1924" i="3"/>
  <c r="E1924" i="3"/>
  <c r="D1924" i="3"/>
  <c r="C1924" i="3"/>
  <c r="B1924" i="3"/>
  <c r="A1924" i="3"/>
  <c r="H1923" i="3"/>
  <c r="G1923" i="3"/>
  <c r="F1923" i="3"/>
  <c r="E1923" i="3"/>
  <c r="D1923" i="3"/>
  <c r="C1923" i="3"/>
  <c r="B1923" i="3"/>
  <c r="A1923" i="3"/>
  <c r="H1922" i="3"/>
  <c r="G1922" i="3"/>
  <c r="F1922" i="3"/>
  <c r="E1922" i="3"/>
  <c r="D1922" i="3"/>
  <c r="C1922" i="3"/>
  <c r="B1922" i="3"/>
  <c r="A1922" i="3"/>
  <c r="H1921" i="3"/>
  <c r="G1921" i="3"/>
  <c r="F1921" i="3"/>
  <c r="E1921" i="3"/>
  <c r="D1921" i="3"/>
  <c r="C1921" i="3"/>
  <c r="B1921" i="3"/>
  <c r="A1921" i="3"/>
  <c r="H1920" i="3"/>
  <c r="G1920" i="3"/>
  <c r="F1920" i="3"/>
  <c r="E1920" i="3"/>
  <c r="D1920" i="3"/>
  <c r="C1920" i="3"/>
  <c r="B1920" i="3"/>
  <c r="A1920" i="3"/>
  <c r="H1919" i="3"/>
  <c r="G1919" i="3"/>
  <c r="F1919" i="3"/>
  <c r="E1919" i="3"/>
  <c r="D1919" i="3"/>
  <c r="C1919" i="3"/>
  <c r="B1919" i="3"/>
  <c r="A1919" i="3"/>
  <c r="H1918" i="3"/>
  <c r="G1918" i="3"/>
  <c r="F1918" i="3"/>
  <c r="E1918" i="3"/>
  <c r="D1918" i="3"/>
  <c r="C1918" i="3"/>
  <c r="B1918" i="3"/>
  <c r="A1918" i="3"/>
  <c r="H1917" i="3"/>
  <c r="G1917" i="3"/>
  <c r="F1917" i="3"/>
  <c r="E1917" i="3"/>
  <c r="D1917" i="3"/>
  <c r="C1917" i="3"/>
  <c r="B1917" i="3"/>
  <c r="A1917" i="3"/>
  <c r="H1916" i="3"/>
  <c r="G1916" i="3"/>
  <c r="F1916" i="3"/>
  <c r="E1916" i="3"/>
  <c r="D1916" i="3"/>
  <c r="C1916" i="3"/>
  <c r="B1916" i="3"/>
  <c r="A1916" i="3"/>
  <c r="H1915" i="3"/>
  <c r="G1915" i="3"/>
  <c r="F1915" i="3"/>
  <c r="E1915" i="3"/>
  <c r="D1915" i="3"/>
  <c r="C1915" i="3"/>
  <c r="B1915" i="3"/>
  <c r="A1915" i="3"/>
  <c r="H1914" i="3"/>
  <c r="G1914" i="3"/>
  <c r="F1914" i="3"/>
  <c r="E1914" i="3"/>
  <c r="D1914" i="3"/>
  <c r="C1914" i="3"/>
  <c r="B1914" i="3"/>
  <c r="A1914" i="3"/>
  <c r="H1913" i="3"/>
  <c r="G1913" i="3"/>
  <c r="F1913" i="3"/>
  <c r="E1913" i="3"/>
  <c r="D1913" i="3"/>
  <c r="C1913" i="3"/>
  <c r="B1913" i="3"/>
  <c r="A1913" i="3"/>
  <c r="H1912" i="3"/>
  <c r="G1912" i="3"/>
  <c r="F1912" i="3"/>
  <c r="E1912" i="3"/>
  <c r="D1912" i="3"/>
  <c r="C1912" i="3"/>
  <c r="B1912" i="3"/>
  <c r="A1912" i="3"/>
  <c r="H1911" i="3"/>
  <c r="G1911" i="3"/>
  <c r="F1911" i="3"/>
  <c r="E1911" i="3"/>
  <c r="D1911" i="3"/>
  <c r="C1911" i="3"/>
  <c r="B1911" i="3"/>
  <c r="A1911" i="3"/>
  <c r="H1910" i="3"/>
  <c r="G1910" i="3"/>
  <c r="F1910" i="3"/>
  <c r="E1910" i="3"/>
  <c r="D1910" i="3"/>
  <c r="C1910" i="3"/>
  <c r="B1910" i="3"/>
  <c r="A1910" i="3"/>
  <c r="H1909" i="3"/>
  <c r="G1909" i="3"/>
  <c r="F1909" i="3"/>
  <c r="E1909" i="3"/>
  <c r="D1909" i="3"/>
  <c r="C1909" i="3"/>
  <c r="B1909" i="3"/>
  <c r="A1909" i="3"/>
  <c r="H1908" i="3"/>
  <c r="G1908" i="3"/>
  <c r="F1908" i="3"/>
  <c r="E1908" i="3"/>
  <c r="D1908" i="3"/>
  <c r="C1908" i="3"/>
  <c r="B1908" i="3"/>
  <c r="A1908" i="3"/>
  <c r="H1907" i="3"/>
  <c r="G1907" i="3"/>
  <c r="F1907" i="3"/>
  <c r="E1907" i="3"/>
  <c r="D1907" i="3"/>
  <c r="C1907" i="3"/>
  <c r="B1907" i="3"/>
  <c r="A1907" i="3"/>
  <c r="H1906" i="3"/>
  <c r="G1906" i="3"/>
  <c r="F1906" i="3"/>
  <c r="E1906" i="3"/>
  <c r="D1906" i="3"/>
  <c r="C1906" i="3"/>
  <c r="B1906" i="3"/>
  <c r="A1906" i="3"/>
  <c r="H1905" i="3"/>
  <c r="G1905" i="3"/>
  <c r="F1905" i="3"/>
  <c r="E1905" i="3"/>
  <c r="D1905" i="3"/>
  <c r="C1905" i="3"/>
  <c r="B1905" i="3"/>
  <c r="A1905" i="3"/>
  <c r="H1904" i="3"/>
  <c r="G1904" i="3"/>
  <c r="F1904" i="3"/>
  <c r="E1904" i="3"/>
  <c r="D1904" i="3"/>
  <c r="C1904" i="3"/>
  <c r="B1904" i="3"/>
  <c r="A1904" i="3"/>
  <c r="H1903" i="3"/>
  <c r="G1903" i="3"/>
  <c r="F1903" i="3"/>
  <c r="E1903" i="3"/>
  <c r="D1903" i="3"/>
  <c r="C1903" i="3"/>
  <c r="B1903" i="3"/>
  <c r="A1903" i="3"/>
  <c r="H1902" i="3"/>
  <c r="G1902" i="3"/>
  <c r="F1902" i="3"/>
  <c r="E1902" i="3"/>
  <c r="D1902" i="3"/>
  <c r="C1902" i="3"/>
  <c r="B1902" i="3"/>
  <c r="A1902" i="3"/>
  <c r="H1901" i="3"/>
  <c r="G1901" i="3"/>
  <c r="F1901" i="3"/>
  <c r="E1901" i="3"/>
  <c r="D1901" i="3"/>
  <c r="C1901" i="3"/>
  <c r="B1901" i="3"/>
  <c r="A1901" i="3"/>
  <c r="H1900" i="3"/>
  <c r="G1900" i="3"/>
  <c r="F1900" i="3"/>
  <c r="E1900" i="3"/>
  <c r="D1900" i="3"/>
  <c r="C1900" i="3"/>
  <c r="B1900" i="3"/>
  <c r="A1900" i="3"/>
  <c r="H1899" i="3"/>
  <c r="G1899" i="3"/>
  <c r="F1899" i="3"/>
  <c r="E1899" i="3"/>
  <c r="D1899" i="3"/>
  <c r="C1899" i="3"/>
  <c r="B1899" i="3"/>
  <c r="A1899" i="3"/>
  <c r="H1898" i="3"/>
  <c r="G1898" i="3"/>
  <c r="F1898" i="3"/>
  <c r="E1898" i="3"/>
  <c r="D1898" i="3"/>
  <c r="C1898" i="3"/>
  <c r="B1898" i="3"/>
  <c r="A1898" i="3"/>
  <c r="H1897" i="3"/>
  <c r="G1897" i="3"/>
  <c r="F1897" i="3"/>
  <c r="E1897" i="3"/>
  <c r="D1897" i="3"/>
  <c r="C1897" i="3"/>
  <c r="B1897" i="3"/>
  <c r="A1897" i="3"/>
  <c r="H1896" i="3"/>
  <c r="G1896" i="3"/>
  <c r="F1896" i="3"/>
  <c r="E1896" i="3"/>
  <c r="D1896" i="3"/>
  <c r="C1896" i="3"/>
  <c r="B1896" i="3"/>
  <c r="A1896" i="3"/>
  <c r="H1895" i="3"/>
  <c r="G1895" i="3"/>
  <c r="F1895" i="3"/>
  <c r="E1895" i="3"/>
  <c r="D1895" i="3"/>
  <c r="C1895" i="3"/>
  <c r="B1895" i="3"/>
  <c r="A1895" i="3"/>
  <c r="H1894" i="3"/>
  <c r="G1894" i="3"/>
  <c r="F1894" i="3"/>
  <c r="E1894" i="3"/>
  <c r="D1894" i="3"/>
  <c r="C1894" i="3"/>
  <c r="B1894" i="3"/>
  <c r="A1894" i="3"/>
  <c r="H1893" i="3"/>
  <c r="G1893" i="3"/>
  <c r="F1893" i="3"/>
  <c r="E1893" i="3"/>
  <c r="D1893" i="3"/>
  <c r="C1893" i="3"/>
  <c r="B1893" i="3"/>
  <c r="A1893" i="3"/>
  <c r="H1892" i="3"/>
  <c r="G1892" i="3"/>
  <c r="F1892" i="3"/>
  <c r="E1892" i="3"/>
  <c r="D1892" i="3"/>
  <c r="C1892" i="3"/>
  <c r="B1892" i="3"/>
  <c r="A1892" i="3"/>
  <c r="H1891" i="3"/>
  <c r="G1891" i="3"/>
  <c r="F1891" i="3"/>
  <c r="E1891" i="3"/>
  <c r="D1891" i="3"/>
  <c r="C1891" i="3"/>
  <c r="B1891" i="3"/>
  <c r="A1891" i="3"/>
  <c r="H1890" i="3"/>
  <c r="G1890" i="3"/>
  <c r="F1890" i="3"/>
  <c r="E1890" i="3"/>
  <c r="D1890" i="3"/>
  <c r="C1890" i="3"/>
  <c r="B1890" i="3"/>
  <c r="A1890" i="3"/>
  <c r="H1889" i="3"/>
  <c r="G1889" i="3"/>
  <c r="F1889" i="3"/>
  <c r="E1889" i="3"/>
  <c r="D1889" i="3"/>
  <c r="C1889" i="3"/>
  <c r="B1889" i="3"/>
  <c r="A1889" i="3"/>
  <c r="H1888" i="3"/>
  <c r="G1888" i="3"/>
  <c r="F1888" i="3"/>
  <c r="E1888" i="3"/>
  <c r="D1888" i="3"/>
  <c r="C1888" i="3"/>
  <c r="B1888" i="3"/>
  <c r="A1888" i="3"/>
  <c r="H1887" i="3"/>
  <c r="G1887" i="3"/>
  <c r="F1887" i="3"/>
  <c r="E1887" i="3"/>
  <c r="D1887" i="3"/>
  <c r="C1887" i="3"/>
  <c r="B1887" i="3"/>
  <c r="A1887" i="3"/>
  <c r="H1886" i="3"/>
  <c r="G1886" i="3"/>
  <c r="F1886" i="3"/>
  <c r="E1886" i="3"/>
  <c r="D1886" i="3"/>
  <c r="C1886" i="3"/>
  <c r="B1886" i="3"/>
  <c r="A1886" i="3"/>
  <c r="H1885" i="3"/>
  <c r="G1885" i="3"/>
  <c r="F1885" i="3"/>
  <c r="E1885" i="3"/>
  <c r="D1885" i="3"/>
  <c r="C1885" i="3"/>
  <c r="B1885" i="3"/>
  <c r="A1885" i="3"/>
  <c r="H1884" i="3"/>
  <c r="G1884" i="3"/>
  <c r="F1884" i="3"/>
  <c r="E1884" i="3"/>
  <c r="D1884" i="3"/>
  <c r="C1884" i="3"/>
  <c r="B1884" i="3"/>
  <c r="A1884" i="3"/>
  <c r="H1883" i="3"/>
  <c r="G1883" i="3"/>
  <c r="F1883" i="3"/>
  <c r="E1883" i="3"/>
  <c r="D1883" i="3"/>
  <c r="C1883" i="3"/>
  <c r="B1883" i="3"/>
  <c r="A1883" i="3"/>
  <c r="H1882" i="3"/>
  <c r="G1882" i="3"/>
  <c r="F1882" i="3"/>
  <c r="E1882" i="3"/>
  <c r="D1882" i="3"/>
  <c r="C1882" i="3"/>
  <c r="B1882" i="3"/>
  <c r="A1882" i="3"/>
  <c r="H1881" i="3"/>
  <c r="G1881" i="3"/>
  <c r="F1881" i="3"/>
  <c r="E1881" i="3"/>
  <c r="D1881" i="3"/>
  <c r="C1881" i="3"/>
  <c r="B1881" i="3"/>
  <c r="A1881" i="3"/>
  <c r="H1880" i="3"/>
  <c r="G1880" i="3"/>
  <c r="F1880" i="3"/>
  <c r="E1880" i="3"/>
  <c r="D1880" i="3"/>
  <c r="C1880" i="3"/>
  <c r="B1880" i="3"/>
  <c r="A1880" i="3"/>
  <c r="H1879" i="3"/>
  <c r="G1879" i="3"/>
  <c r="F1879" i="3"/>
  <c r="E1879" i="3"/>
  <c r="D1879" i="3"/>
  <c r="C1879" i="3"/>
  <c r="B1879" i="3"/>
  <c r="A1879" i="3"/>
  <c r="H1878" i="3"/>
  <c r="G1878" i="3"/>
  <c r="F1878" i="3"/>
  <c r="E1878" i="3"/>
  <c r="D1878" i="3"/>
  <c r="C1878" i="3"/>
  <c r="B1878" i="3"/>
  <c r="A1878" i="3"/>
  <c r="H1877" i="3"/>
  <c r="G1877" i="3"/>
  <c r="F1877" i="3"/>
  <c r="E1877" i="3"/>
  <c r="D1877" i="3"/>
  <c r="C1877" i="3"/>
  <c r="B1877" i="3"/>
  <c r="A1877" i="3"/>
  <c r="H1876" i="3"/>
  <c r="G1876" i="3"/>
  <c r="F1876" i="3"/>
  <c r="E1876" i="3"/>
  <c r="D1876" i="3"/>
  <c r="C1876" i="3"/>
  <c r="B1876" i="3"/>
  <c r="A1876" i="3"/>
  <c r="H1875" i="3"/>
  <c r="G1875" i="3"/>
  <c r="F1875" i="3"/>
  <c r="E1875" i="3"/>
  <c r="D1875" i="3"/>
  <c r="C1875" i="3"/>
  <c r="B1875" i="3"/>
  <c r="A1875" i="3"/>
  <c r="H1874" i="3"/>
  <c r="G1874" i="3"/>
  <c r="F1874" i="3"/>
  <c r="E1874" i="3"/>
  <c r="D1874" i="3"/>
  <c r="C1874" i="3"/>
  <c r="B1874" i="3"/>
  <c r="A1874" i="3"/>
  <c r="H1873" i="3"/>
  <c r="G1873" i="3"/>
  <c r="F1873" i="3"/>
  <c r="E1873" i="3"/>
  <c r="D1873" i="3"/>
  <c r="C1873" i="3"/>
  <c r="B1873" i="3"/>
  <c r="A1873" i="3"/>
  <c r="H1872" i="3"/>
  <c r="G1872" i="3"/>
  <c r="F1872" i="3"/>
  <c r="E1872" i="3"/>
  <c r="D1872" i="3"/>
  <c r="C1872" i="3"/>
  <c r="B1872" i="3"/>
  <c r="A1872" i="3"/>
  <c r="H1871" i="3"/>
  <c r="G1871" i="3"/>
  <c r="F1871" i="3"/>
  <c r="E1871" i="3"/>
  <c r="D1871" i="3"/>
  <c r="C1871" i="3"/>
  <c r="B1871" i="3"/>
  <c r="A1871" i="3"/>
  <c r="H1870" i="3"/>
  <c r="G1870" i="3"/>
  <c r="F1870" i="3"/>
  <c r="E1870" i="3"/>
  <c r="D1870" i="3"/>
  <c r="C1870" i="3"/>
  <c r="B1870" i="3"/>
  <c r="A1870" i="3"/>
  <c r="H1869" i="3"/>
  <c r="G1869" i="3"/>
  <c r="F1869" i="3"/>
  <c r="E1869" i="3"/>
  <c r="D1869" i="3"/>
  <c r="C1869" i="3"/>
  <c r="B1869" i="3"/>
  <c r="A1869" i="3"/>
  <c r="H1868" i="3"/>
  <c r="G1868" i="3"/>
  <c r="F1868" i="3"/>
  <c r="E1868" i="3"/>
  <c r="D1868" i="3"/>
  <c r="C1868" i="3"/>
  <c r="B1868" i="3"/>
  <c r="A1868" i="3"/>
  <c r="H1867" i="3"/>
  <c r="G1867" i="3"/>
  <c r="F1867" i="3"/>
  <c r="E1867" i="3"/>
  <c r="D1867" i="3"/>
  <c r="C1867" i="3"/>
  <c r="B1867" i="3"/>
  <c r="A1867" i="3"/>
  <c r="H1866" i="3"/>
  <c r="G1866" i="3"/>
  <c r="F1866" i="3"/>
  <c r="E1866" i="3"/>
  <c r="D1866" i="3"/>
  <c r="C1866" i="3"/>
  <c r="B1866" i="3"/>
  <c r="A1866" i="3"/>
  <c r="H1865" i="3"/>
  <c r="G1865" i="3"/>
  <c r="F1865" i="3"/>
  <c r="E1865" i="3"/>
  <c r="D1865" i="3"/>
  <c r="C1865" i="3"/>
  <c r="B1865" i="3"/>
  <c r="A1865" i="3"/>
  <c r="H1864" i="3"/>
  <c r="G1864" i="3"/>
  <c r="F1864" i="3"/>
  <c r="E1864" i="3"/>
  <c r="D1864" i="3"/>
  <c r="C1864" i="3"/>
  <c r="B1864" i="3"/>
  <c r="A1864" i="3"/>
  <c r="H1863" i="3"/>
  <c r="G1863" i="3"/>
  <c r="F1863" i="3"/>
  <c r="E1863" i="3"/>
  <c r="D1863" i="3"/>
  <c r="C1863" i="3"/>
  <c r="B1863" i="3"/>
  <c r="A1863" i="3"/>
  <c r="H1862" i="3"/>
  <c r="G1862" i="3"/>
  <c r="F1862" i="3"/>
  <c r="E1862" i="3"/>
  <c r="D1862" i="3"/>
  <c r="C1862" i="3"/>
  <c r="B1862" i="3"/>
  <c r="A1862" i="3"/>
  <c r="H1861" i="3"/>
  <c r="G1861" i="3"/>
  <c r="F1861" i="3"/>
  <c r="E1861" i="3"/>
  <c r="D1861" i="3"/>
  <c r="C1861" i="3"/>
  <c r="B1861" i="3"/>
  <c r="A1861" i="3"/>
  <c r="H1860" i="3"/>
  <c r="G1860" i="3"/>
  <c r="F1860" i="3"/>
  <c r="E1860" i="3"/>
  <c r="D1860" i="3"/>
  <c r="C1860" i="3"/>
  <c r="B1860" i="3"/>
  <c r="A1860" i="3"/>
  <c r="H1859" i="3"/>
  <c r="G1859" i="3"/>
  <c r="F1859" i="3"/>
  <c r="E1859" i="3"/>
  <c r="D1859" i="3"/>
  <c r="C1859" i="3"/>
  <c r="B1859" i="3"/>
  <c r="A1859" i="3"/>
  <c r="H1858" i="3"/>
  <c r="G1858" i="3"/>
  <c r="F1858" i="3"/>
  <c r="E1858" i="3"/>
  <c r="D1858" i="3"/>
  <c r="C1858" i="3"/>
  <c r="B1858" i="3"/>
  <c r="A1858" i="3"/>
  <c r="H1857" i="3"/>
  <c r="G1857" i="3"/>
  <c r="F1857" i="3"/>
  <c r="E1857" i="3"/>
  <c r="D1857" i="3"/>
  <c r="C1857" i="3"/>
  <c r="B1857" i="3"/>
  <c r="A1857" i="3"/>
  <c r="H1856" i="3"/>
  <c r="G1856" i="3"/>
  <c r="F1856" i="3"/>
  <c r="E1856" i="3"/>
  <c r="D1856" i="3"/>
  <c r="C1856" i="3"/>
  <c r="B1856" i="3"/>
  <c r="A1856" i="3"/>
  <c r="H1855" i="3"/>
  <c r="G1855" i="3"/>
  <c r="F1855" i="3"/>
  <c r="E1855" i="3"/>
  <c r="D1855" i="3"/>
  <c r="C1855" i="3"/>
  <c r="B1855" i="3"/>
  <c r="A1855" i="3"/>
  <c r="H1854" i="3"/>
  <c r="G1854" i="3"/>
  <c r="F1854" i="3"/>
  <c r="E1854" i="3"/>
  <c r="D1854" i="3"/>
  <c r="C1854" i="3"/>
  <c r="B1854" i="3"/>
  <c r="A1854" i="3"/>
  <c r="H1853" i="3"/>
  <c r="G1853" i="3"/>
  <c r="F1853" i="3"/>
  <c r="E1853" i="3"/>
  <c r="D1853" i="3"/>
  <c r="C1853" i="3"/>
  <c r="B1853" i="3"/>
  <c r="A1853" i="3"/>
  <c r="H1852" i="3"/>
  <c r="G1852" i="3"/>
  <c r="F1852" i="3"/>
  <c r="E1852" i="3"/>
  <c r="D1852" i="3"/>
  <c r="C1852" i="3"/>
  <c r="B1852" i="3"/>
  <c r="A1852" i="3"/>
  <c r="H1851" i="3"/>
  <c r="G1851" i="3"/>
  <c r="F1851" i="3"/>
  <c r="E1851" i="3"/>
  <c r="D1851" i="3"/>
  <c r="C1851" i="3"/>
  <c r="B1851" i="3"/>
  <c r="A1851" i="3"/>
  <c r="H1850" i="3"/>
  <c r="G1850" i="3"/>
  <c r="F1850" i="3"/>
  <c r="E1850" i="3"/>
  <c r="D1850" i="3"/>
  <c r="C1850" i="3"/>
  <c r="B1850" i="3"/>
  <c r="A1850" i="3"/>
  <c r="H1849" i="3"/>
  <c r="G1849" i="3"/>
  <c r="F1849" i="3"/>
  <c r="E1849" i="3"/>
  <c r="D1849" i="3"/>
  <c r="C1849" i="3"/>
  <c r="B1849" i="3"/>
  <c r="A1849" i="3"/>
  <c r="H1848" i="3"/>
  <c r="G1848" i="3"/>
  <c r="F1848" i="3"/>
  <c r="E1848" i="3"/>
  <c r="D1848" i="3"/>
  <c r="C1848" i="3"/>
  <c r="B1848" i="3"/>
  <c r="A1848" i="3"/>
  <c r="H1847" i="3"/>
  <c r="G1847" i="3"/>
  <c r="F1847" i="3"/>
  <c r="E1847" i="3"/>
  <c r="D1847" i="3"/>
  <c r="C1847" i="3"/>
  <c r="B1847" i="3"/>
  <c r="A1847" i="3"/>
  <c r="H1846" i="3"/>
  <c r="G1846" i="3"/>
  <c r="F1846" i="3"/>
  <c r="E1846" i="3"/>
  <c r="D1846" i="3"/>
  <c r="C1846" i="3"/>
  <c r="B1846" i="3"/>
  <c r="A1846" i="3"/>
  <c r="H1845" i="3"/>
  <c r="G1845" i="3"/>
  <c r="F1845" i="3"/>
  <c r="E1845" i="3"/>
  <c r="D1845" i="3"/>
  <c r="C1845" i="3"/>
  <c r="B1845" i="3"/>
  <c r="A1845" i="3"/>
  <c r="H1844" i="3"/>
  <c r="G1844" i="3"/>
  <c r="F1844" i="3"/>
  <c r="E1844" i="3"/>
  <c r="D1844" i="3"/>
  <c r="C1844" i="3"/>
  <c r="B1844" i="3"/>
  <c r="A1844" i="3"/>
  <c r="H1843" i="3"/>
  <c r="G1843" i="3"/>
  <c r="F1843" i="3"/>
  <c r="E1843" i="3"/>
  <c r="D1843" i="3"/>
  <c r="C1843" i="3"/>
  <c r="B1843" i="3"/>
  <c r="A1843" i="3"/>
  <c r="H1842" i="3"/>
  <c r="G1842" i="3"/>
  <c r="F1842" i="3"/>
  <c r="E1842" i="3"/>
  <c r="D1842" i="3"/>
  <c r="C1842" i="3"/>
  <c r="B1842" i="3"/>
  <c r="A1842" i="3"/>
  <c r="H1841" i="3"/>
  <c r="G1841" i="3"/>
  <c r="F1841" i="3"/>
  <c r="E1841" i="3"/>
  <c r="D1841" i="3"/>
  <c r="C1841" i="3"/>
  <c r="B1841" i="3"/>
  <c r="A1841" i="3"/>
  <c r="H1840" i="3"/>
  <c r="G1840" i="3"/>
  <c r="F1840" i="3"/>
  <c r="E1840" i="3"/>
  <c r="D1840" i="3"/>
  <c r="C1840" i="3"/>
  <c r="B1840" i="3"/>
  <c r="A1840" i="3"/>
  <c r="H1839" i="3"/>
  <c r="G1839" i="3"/>
  <c r="F1839" i="3"/>
  <c r="E1839" i="3"/>
  <c r="D1839" i="3"/>
  <c r="C1839" i="3"/>
  <c r="B1839" i="3"/>
  <c r="A1839" i="3"/>
  <c r="H1838" i="3"/>
  <c r="G1838" i="3"/>
  <c r="F1838" i="3"/>
  <c r="E1838" i="3"/>
  <c r="D1838" i="3"/>
  <c r="C1838" i="3"/>
  <c r="B1838" i="3"/>
  <c r="A1838" i="3"/>
  <c r="H1837" i="3"/>
  <c r="G1837" i="3"/>
  <c r="F1837" i="3"/>
  <c r="E1837" i="3"/>
  <c r="D1837" i="3"/>
  <c r="C1837" i="3"/>
  <c r="B1837" i="3"/>
  <c r="A1837" i="3"/>
  <c r="H1836" i="3"/>
  <c r="G1836" i="3"/>
  <c r="F1836" i="3"/>
  <c r="E1836" i="3"/>
  <c r="D1836" i="3"/>
  <c r="C1836" i="3"/>
  <c r="B1836" i="3"/>
  <c r="A1836" i="3"/>
  <c r="H1835" i="3"/>
  <c r="G1835" i="3"/>
  <c r="F1835" i="3"/>
  <c r="E1835" i="3"/>
  <c r="D1835" i="3"/>
  <c r="C1835" i="3"/>
  <c r="B1835" i="3"/>
  <c r="A1835" i="3"/>
  <c r="H1834" i="3"/>
  <c r="G1834" i="3"/>
  <c r="F1834" i="3"/>
  <c r="E1834" i="3"/>
  <c r="D1834" i="3"/>
  <c r="C1834" i="3"/>
  <c r="B1834" i="3"/>
  <c r="A1834" i="3"/>
  <c r="H1833" i="3"/>
  <c r="G1833" i="3"/>
  <c r="F1833" i="3"/>
  <c r="E1833" i="3"/>
  <c r="D1833" i="3"/>
  <c r="C1833" i="3"/>
  <c r="B1833" i="3"/>
  <c r="A1833" i="3"/>
  <c r="H1832" i="3"/>
  <c r="G1832" i="3"/>
  <c r="F1832" i="3"/>
  <c r="E1832" i="3"/>
  <c r="D1832" i="3"/>
  <c r="C1832" i="3"/>
  <c r="B1832" i="3"/>
  <c r="A1832" i="3"/>
  <c r="H1831" i="3"/>
  <c r="G1831" i="3"/>
  <c r="F1831" i="3"/>
  <c r="E1831" i="3"/>
  <c r="D1831" i="3"/>
  <c r="C1831" i="3"/>
  <c r="B1831" i="3"/>
  <c r="A1831" i="3"/>
  <c r="H1830" i="3"/>
  <c r="G1830" i="3"/>
  <c r="F1830" i="3"/>
  <c r="E1830" i="3"/>
  <c r="D1830" i="3"/>
  <c r="C1830" i="3"/>
  <c r="B1830" i="3"/>
  <c r="A1830" i="3"/>
  <c r="H1829" i="3"/>
  <c r="G1829" i="3"/>
  <c r="F1829" i="3"/>
  <c r="E1829" i="3"/>
  <c r="D1829" i="3"/>
  <c r="C1829" i="3"/>
  <c r="B1829" i="3"/>
  <c r="A1829" i="3"/>
  <c r="H1828" i="3"/>
  <c r="G1828" i="3"/>
  <c r="F1828" i="3"/>
  <c r="E1828" i="3"/>
  <c r="D1828" i="3"/>
  <c r="C1828" i="3"/>
  <c r="B1828" i="3"/>
  <c r="A1828" i="3"/>
  <c r="H1827" i="3"/>
  <c r="G1827" i="3"/>
  <c r="F1827" i="3"/>
  <c r="E1827" i="3"/>
  <c r="D1827" i="3"/>
  <c r="C1827" i="3"/>
  <c r="B1827" i="3"/>
  <c r="A1827" i="3"/>
  <c r="H1826" i="3"/>
  <c r="G1826" i="3"/>
  <c r="F1826" i="3"/>
  <c r="E1826" i="3"/>
  <c r="D1826" i="3"/>
  <c r="C1826" i="3"/>
  <c r="B1826" i="3"/>
  <c r="A1826" i="3"/>
  <c r="H1825" i="3"/>
  <c r="G1825" i="3"/>
  <c r="F1825" i="3"/>
  <c r="E1825" i="3"/>
  <c r="D1825" i="3"/>
  <c r="C1825" i="3"/>
  <c r="B1825" i="3"/>
  <c r="A1825" i="3"/>
  <c r="H1824" i="3"/>
  <c r="G1824" i="3"/>
  <c r="F1824" i="3"/>
  <c r="E1824" i="3"/>
  <c r="D1824" i="3"/>
  <c r="C1824" i="3"/>
  <c r="B1824" i="3"/>
  <c r="A1824" i="3"/>
  <c r="H1823" i="3"/>
  <c r="G1823" i="3"/>
  <c r="F1823" i="3"/>
  <c r="E1823" i="3"/>
  <c r="D1823" i="3"/>
  <c r="C1823" i="3"/>
  <c r="B1823" i="3"/>
  <c r="A1823" i="3"/>
  <c r="H1822" i="3"/>
  <c r="G1822" i="3"/>
  <c r="F1822" i="3"/>
  <c r="E1822" i="3"/>
  <c r="D1822" i="3"/>
  <c r="C1822" i="3"/>
  <c r="B1822" i="3"/>
  <c r="A1822" i="3"/>
  <c r="H1821" i="3"/>
  <c r="G1821" i="3"/>
  <c r="F1821" i="3"/>
  <c r="E1821" i="3"/>
  <c r="D1821" i="3"/>
  <c r="C1821" i="3"/>
  <c r="B1821" i="3"/>
  <c r="A1821" i="3"/>
  <c r="H1820" i="3"/>
  <c r="G1820" i="3"/>
  <c r="F1820" i="3"/>
  <c r="E1820" i="3"/>
  <c r="D1820" i="3"/>
  <c r="C1820" i="3"/>
  <c r="B1820" i="3"/>
  <c r="A1820" i="3"/>
  <c r="H1819" i="3"/>
  <c r="G1819" i="3"/>
  <c r="F1819" i="3"/>
  <c r="E1819" i="3"/>
  <c r="D1819" i="3"/>
  <c r="C1819" i="3"/>
  <c r="B1819" i="3"/>
  <c r="A1819" i="3"/>
  <c r="H1818" i="3"/>
  <c r="G1818" i="3"/>
  <c r="F1818" i="3"/>
  <c r="E1818" i="3"/>
  <c r="D1818" i="3"/>
  <c r="C1818" i="3"/>
  <c r="B1818" i="3"/>
  <c r="A1818" i="3"/>
  <c r="H1817" i="3"/>
  <c r="G1817" i="3"/>
  <c r="F1817" i="3"/>
  <c r="E1817" i="3"/>
  <c r="D1817" i="3"/>
  <c r="C1817" i="3"/>
  <c r="B1817" i="3"/>
  <c r="A1817" i="3"/>
  <c r="H1816" i="3"/>
  <c r="G1816" i="3"/>
  <c r="F1816" i="3"/>
  <c r="E1816" i="3"/>
  <c r="D1816" i="3"/>
  <c r="C1816" i="3"/>
  <c r="B1816" i="3"/>
  <c r="A1816" i="3"/>
  <c r="H1815" i="3"/>
  <c r="G1815" i="3"/>
  <c r="F1815" i="3"/>
  <c r="E1815" i="3"/>
  <c r="D1815" i="3"/>
  <c r="C1815" i="3"/>
  <c r="B1815" i="3"/>
  <c r="A1815" i="3"/>
  <c r="H1814" i="3"/>
  <c r="G1814" i="3"/>
  <c r="F1814" i="3"/>
  <c r="E1814" i="3"/>
  <c r="D1814" i="3"/>
  <c r="C1814" i="3"/>
  <c r="B1814" i="3"/>
  <c r="A1814" i="3"/>
  <c r="H1813" i="3"/>
  <c r="G1813" i="3"/>
  <c r="F1813" i="3"/>
  <c r="E1813" i="3"/>
  <c r="D1813" i="3"/>
  <c r="C1813" i="3"/>
  <c r="B1813" i="3"/>
  <c r="A1813" i="3"/>
  <c r="H1812" i="3"/>
  <c r="G1812" i="3"/>
  <c r="F1812" i="3"/>
  <c r="E1812" i="3"/>
  <c r="D1812" i="3"/>
  <c r="C1812" i="3"/>
  <c r="B1812" i="3"/>
  <c r="A1812" i="3"/>
  <c r="H1811" i="3"/>
  <c r="G1811" i="3"/>
  <c r="F1811" i="3"/>
  <c r="E1811" i="3"/>
  <c r="D1811" i="3"/>
  <c r="C1811" i="3"/>
  <c r="B1811" i="3"/>
  <c r="A1811" i="3"/>
  <c r="H1810" i="3"/>
  <c r="G1810" i="3"/>
  <c r="F1810" i="3"/>
  <c r="E1810" i="3"/>
  <c r="D1810" i="3"/>
  <c r="C1810" i="3"/>
  <c r="B1810" i="3"/>
  <c r="A1810" i="3"/>
  <c r="H1809" i="3"/>
  <c r="G1809" i="3"/>
  <c r="F1809" i="3"/>
  <c r="E1809" i="3"/>
  <c r="D1809" i="3"/>
  <c r="C1809" i="3"/>
  <c r="B1809" i="3"/>
  <c r="A1809" i="3"/>
  <c r="H1808" i="3"/>
  <c r="G1808" i="3"/>
  <c r="F1808" i="3"/>
  <c r="E1808" i="3"/>
  <c r="D1808" i="3"/>
  <c r="C1808" i="3"/>
  <c r="B1808" i="3"/>
  <c r="A1808" i="3"/>
  <c r="H1807" i="3"/>
  <c r="G1807" i="3"/>
  <c r="F1807" i="3"/>
  <c r="E1807" i="3"/>
  <c r="D1807" i="3"/>
  <c r="C1807" i="3"/>
  <c r="B1807" i="3"/>
  <c r="A1807" i="3"/>
  <c r="H1806" i="3"/>
  <c r="G1806" i="3"/>
  <c r="F1806" i="3"/>
  <c r="E1806" i="3"/>
  <c r="D1806" i="3"/>
  <c r="C1806" i="3"/>
  <c r="B1806" i="3"/>
  <c r="A1806" i="3"/>
  <c r="H1805" i="3"/>
  <c r="G1805" i="3"/>
  <c r="F1805" i="3"/>
  <c r="E1805" i="3"/>
  <c r="D1805" i="3"/>
  <c r="C1805" i="3"/>
  <c r="B1805" i="3"/>
  <c r="A1805" i="3"/>
  <c r="H1804" i="3"/>
  <c r="G1804" i="3"/>
  <c r="F1804" i="3"/>
  <c r="E1804" i="3"/>
  <c r="D1804" i="3"/>
  <c r="C1804" i="3"/>
  <c r="B1804" i="3"/>
  <c r="A1804" i="3"/>
  <c r="H1803" i="3"/>
  <c r="G1803" i="3"/>
  <c r="F1803" i="3"/>
  <c r="E1803" i="3"/>
  <c r="D1803" i="3"/>
  <c r="C1803" i="3"/>
  <c r="B1803" i="3"/>
  <c r="A1803" i="3"/>
  <c r="H1802" i="3"/>
  <c r="G1802" i="3"/>
  <c r="F1802" i="3"/>
  <c r="E1802" i="3"/>
  <c r="D1802" i="3"/>
  <c r="C1802" i="3"/>
  <c r="B1802" i="3"/>
  <c r="A1802" i="3"/>
  <c r="H1801" i="3"/>
  <c r="G1801" i="3"/>
  <c r="F1801" i="3"/>
  <c r="E1801" i="3"/>
  <c r="D1801" i="3"/>
  <c r="C1801" i="3"/>
  <c r="B1801" i="3"/>
  <c r="A1801" i="3"/>
  <c r="H1800" i="3"/>
  <c r="G1800" i="3"/>
  <c r="F1800" i="3"/>
  <c r="E1800" i="3"/>
  <c r="D1800" i="3"/>
  <c r="C1800" i="3"/>
  <c r="B1800" i="3"/>
  <c r="A1800" i="3"/>
  <c r="H1799" i="3"/>
  <c r="G1799" i="3"/>
  <c r="F1799" i="3"/>
  <c r="E1799" i="3"/>
  <c r="D1799" i="3"/>
  <c r="C1799" i="3"/>
  <c r="B1799" i="3"/>
  <c r="A1799" i="3"/>
  <c r="H1798" i="3"/>
  <c r="G1798" i="3"/>
  <c r="F1798" i="3"/>
  <c r="E1798" i="3"/>
  <c r="D1798" i="3"/>
  <c r="C1798" i="3"/>
  <c r="B1798" i="3"/>
  <c r="A1798" i="3"/>
  <c r="H1797" i="3"/>
  <c r="G1797" i="3"/>
  <c r="F1797" i="3"/>
  <c r="E1797" i="3"/>
  <c r="D1797" i="3"/>
  <c r="C1797" i="3"/>
  <c r="B1797" i="3"/>
  <c r="A1797" i="3"/>
  <c r="H1796" i="3"/>
  <c r="G1796" i="3"/>
  <c r="F1796" i="3"/>
  <c r="E1796" i="3"/>
  <c r="D1796" i="3"/>
  <c r="C1796" i="3"/>
  <c r="B1796" i="3"/>
  <c r="A1796" i="3"/>
  <c r="H1795" i="3"/>
  <c r="G1795" i="3"/>
  <c r="F1795" i="3"/>
  <c r="E1795" i="3"/>
  <c r="D1795" i="3"/>
  <c r="C1795" i="3"/>
  <c r="B1795" i="3"/>
  <c r="A1795" i="3"/>
  <c r="H1794" i="3"/>
  <c r="G1794" i="3"/>
  <c r="F1794" i="3"/>
  <c r="E1794" i="3"/>
  <c r="D1794" i="3"/>
  <c r="C1794" i="3"/>
  <c r="B1794" i="3"/>
  <c r="A1794" i="3"/>
  <c r="H1793" i="3"/>
  <c r="G1793" i="3"/>
  <c r="F1793" i="3"/>
  <c r="E1793" i="3"/>
  <c r="D1793" i="3"/>
  <c r="C1793" i="3"/>
  <c r="B1793" i="3"/>
  <c r="A1793" i="3"/>
  <c r="H1792" i="3"/>
  <c r="G1792" i="3"/>
  <c r="F1792" i="3"/>
  <c r="E1792" i="3"/>
  <c r="D1792" i="3"/>
  <c r="C1792" i="3"/>
  <c r="B1792" i="3"/>
  <c r="A1792" i="3"/>
  <c r="H1791" i="3"/>
  <c r="G1791" i="3"/>
  <c r="F1791" i="3"/>
  <c r="E1791" i="3"/>
  <c r="D1791" i="3"/>
  <c r="C1791" i="3"/>
  <c r="B1791" i="3"/>
  <c r="A1791" i="3"/>
  <c r="H1790" i="3"/>
  <c r="G1790" i="3"/>
  <c r="F1790" i="3"/>
  <c r="E1790" i="3"/>
  <c r="D1790" i="3"/>
  <c r="C1790" i="3"/>
  <c r="B1790" i="3"/>
  <c r="A1790" i="3"/>
  <c r="H1789" i="3"/>
  <c r="G1789" i="3"/>
  <c r="F1789" i="3"/>
  <c r="E1789" i="3"/>
  <c r="D1789" i="3"/>
  <c r="C1789" i="3"/>
  <c r="B1789" i="3"/>
  <c r="A1789" i="3"/>
  <c r="H1788" i="3"/>
  <c r="G1788" i="3"/>
  <c r="F1788" i="3"/>
  <c r="E1788" i="3"/>
  <c r="D1788" i="3"/>
  <c r="C1788" i="3"/>
  <c r="B1788" i="3"/>
  <c r="A1788" i="3"/>
  <c r="H1787" i="3"/>
  <c r="G1787" i="3"/>
  <c r="F1787" i="3"/>
  <c r="E1787" i="3"/>
  <c r="D1787" i="3"/>
  <c r="C1787" i="3"/>
  <c r="B1787" i="3"/>
  <c r="A1787" i="3"/>
  <c r="H1786" i="3"/>
  <c r="G1786" i="3"/>
  <c r="F1786" i="3"/>
  <c r="E1786" i="3"/>
  <c r="D1786" i="3"/>
  <c r="C1786" i="3"/>
  <c r="B1786" i="3"/>
  <c r="A1786" i="3"/>
  <c r="H1785" i="3"/>
  <c r="G1785" i="3"/>
  <c r="F1785" i="3"/>
  <c r="E1785" i="3"/>
  <c r="D1785" i="3"/>
  <c r="C1785" i="3"/>
  <c r="B1785" i="3"/>
  <c r="A1785" i="3"/>
  <c r="H1784" i="3"/>
  <c r="G1784" i="3"/>
  <c r="F1784" i="3"/>
  <c r="E1784" i="3"/>
  <c r="D1784" i="3"/>
  <c r="C1784" i="3"/>
  <c r="B1784" i="3"/>
  <c r="A1784" i="3"/>
  <c r="H1783" i="3"/>
  <c r="G1783" i="3"/>
  <c r="F1783" i="3"/>
  <c r="E1783" i="3"/>
  <c r="D1783" i="3"/>
  <c r="C1783" i="3"/>
  <c r="B1783" i="3"/>
  <c r="A1783" i="3"/>
  <c r="H1782" i="3"/>
  <c r="G1782" i="3"/>
  <c r="F1782" i="3"/>
  <c r="E1782" i="3"/>
  <c r="D1782" i="3"/>
  <c r="C1782" i="3"/>
  <c r="B1782" i="3"/>
  <c r="A1782" i="3"/>
  <c r="H1781" i="3"/>
  <c r="G1781" i="3"/>
  <c r="F1781" i="3"/>
  <c r="E1781" i="3"/>
  <c r="D1781" i="3"/>
  <c r="C1781" i="3"/>
  <c r="B1781" i="3"/>
  <c r="A1781" i="3"/>
  <c r="H1780" i="3"/>
  <c r="G1780" i="3"/>
  <c r="F1780" i="3"/>
  <c r="E1780" i="3"/>
  <c r="D1780" i="3"/>
  <c r="C1780" i="3"/>
  <c r="B1780" i="3"/>
  <c r="A1780" i="3"/>
  <c r="H1779" i="3"/>
  <c r="G1779" i="3"/>
  <c r="F1779" i="3"/>
  <c r="E1779" i="3"/>
  <c r="D1779" i="3"/>
  <c r="C1779" i="3"/>
  <c r="B1779" i="3"/>
  <c r="A1779" i="3"/>
  <c r="H1778" i="3"/>
  <c r="G1778" i="3"/>
  <c r="F1778" i="3"/>
  <c r="E1778" i="3"/>
  <c r="D1778" i="3"/>
  <c r="C1778" i="3"/>
  <c r="B1778" i="3"/>
  <c r="A1778" i="3"/>
  <c r="H1777" i="3"/>
  <c r="G1777" i="3"/>
  <c r="F1777" i="3"/>
  <c r="E1777" i="3"/>
  <c r="D1777" i="3"/>
  <c r="C1777" i="3"/>
  <c r="B1777" i="3"/>
  <c r="A1777" i="3"/>
  <c r="H1776" i="3"/>
  <c r="G1776" i="3"/>
  <c r="F1776" i="3"/>
  <c r="E1776" i="3"/>
  <c r="D1776" i="3"/>
  <c r="C1776" i="3"/>
  <c r="B1776" i="3"/>
  <c r="A1776" i="3"/>
  <c r="H1775" i="3"/>
  <c r="G1775" i="3"/>
  <c r="F1775" i="3"/>
  <c r="E1775" i="3"/>
  <c r="D1775" i="3"/>
  <c r="C1775" i="3"/>
  <c r="B1775" i="3"/>
  <c r="A1775" i="3"/>
  <c r="H1774" i="3"/>
  <c r="G1774" i="3"/>
  <c r="F1774" i="3"/>
  <c r="E1774" i="3"/>
  <c r="D1774" i="3"/>
  <c r="C1774" i="3"/>
  <c r="B1774" i="3"/>
  <c r="A1774" i="3"/>
  <c r="H1773" i="3"/>
  <c r="G1773" i="3"/>
  <c r="F1773" i="3"/>
  <c r="E1773" i="3"/>
  <c r="D1773" i="3"/>
  <c r="C1773" i="3"/>
  <c r="B1773" i="3"/>
  <c r="A1773" i="3"/>
  <c r="H1772" i="3"/>
  <c r="G1772" i="3"/>
  <c r="F1772" i="3"/>
  <c r="E1772" i="3"/>
  <c r="D1772" i="3"/>
  <c r="C1772" i="3"/>
  <c r="B1772" i="3"/>
  <c r="A1772" i="3"/>
  <c r="H1771" i="3"/>
  <c r="G1771" i="3"/>
  <c r="F1771" i="3"/>
  <c r="E1771" i="3"/>
  <c r="D1771" i="3"/>
  <c r="C1771" i="3"/>
  <c r="B1771" i="3"/>
  <c r="A1771" i="3"/>
  <c r="H1770" i="3"/>
  <c r="G1770" i="3"/>
  <c r="F1770" i="3"/>
  <c r="E1770" i="3"/>
  <c r="D1770" i="3"/>
  <c r="C1770" i="3"/>
  <c r="B1770" i="3"/>
  <c r="A1770" i="3"/>
  <c r="H1769" i="3"/>
  <c r="G1769" i="3"/>
  <c r="F1769" i="3"/>
  <c r="E1769" i="3"/>
  <c r="D1769" i="3"/>
  <c r="C1769" i="3"/>
  <c r="B1769" i="3"/>
  <c r="A1769" i="3"/>
  <c r="H1768" i="3"/>
  <c r="G1768" i="3"/>
  <c r="F1768" i="3"/>
  <c r="E1768" i="3"/>
  <c r="D1768" i="3"/>
  <c r="C1768" i="3"/>
  <c r="B1768" i="3"/>
  <c r="A1768" i="3"/>
  <c r="H1767" i="3"/>
  <c r="G1767" i="3"/>
  <c r="F1767" i="3"/>
  <c r="E1767" i="3"/>
  <c r="D1767" i="3"/>
  <c r="C1767" i="3"/>
  <c r="B1767" i="3"/>
  <c r="A1767" i="3"/>
  <c r="H1766" i="3"/>
  <c r="G1766" i="3"/>
  <c r="F1766" i="3"/>
  <c r="E1766" i="3"/>
  <c r="D1766" i="3"/>
  <c r="C1766" i="3"/>
  <c r="B1766" i="3"/>
  <c r="A1766" i="3"/>
  <c r="H1765" i="3"/>
  <c r="G1765" i="3"/>
  <c r="F1765" i="3"/>
  <c r="E1765" i="3"/>
  <c r="D1765" i="3"/>
  <c r="C1765" i="3"/>
  <c r="B1765" i="3"/>
  <c r="A1765" i="3"/>
  <c r="H1764" i="3"/>
  <c r="G1764" i="3"/>
  <c r="F1764" i="3"/>
  <c r="E1764" i="3"/>
  <c r="D1764" i="3"/>
  <c r="C1764" i="3"/>
  <c r="B1764" i="3"/>
  <c r="A1764" i="3"/>
  <c r="H1763" i="3"/>
  <c r="G1763" i="3"/>
  <c r="F1763" i="3"/>
  <c r="E1763" i="3"/>
  <c r="D1763" i="3"/>
  <c r="C1763" i="3"/>
  <c r="B1763" i="3"/>
  <c r="A1763" i="3"/>
  <c r="H1762" i="3"/>
  <c r="G1762" i="3"/>
  <c r="F1762" i="3"/>
  <c r="E1762" i="3"/>
  <c r="D1762" i="3"/>
  <c r="C1762" i="3"/>
  <c r="B1762" i="3"/>
  <c r="A1762" i="3"/>
  <c r="H1761" i="3"/>
  <c r="G1761" i="3"/>
  <c r="F1761" i="3"/>
  <c r="E1761" i="3"/>
  <c r="D1761" i="3"/>
  <c r="C1761" i="3"/>
  <c r="B1761" i="3"/>
  <c r="A1761" i="3"/>
  <c r="H1760" i="3"/>
  <c r="G1760" i="3"/>
  <c r="F1760" i="3"/>
  <c r="E1760" i="3"/>
  <c r="D1760" i="3"/>
  <c r="C1760" i="3"/>
  <c r="B1760" i="3"/>
  <c r="A1760" i="3"/>
  <c r="H1759" i="3"/>
  <c r="G1759" i="3"/>
  <c r="F1759" i="3"/>
  <c r="E1759" i="3"/>
  <c r="D1759" i="3"/>
  <c r="C1759" i="3"/>
  <c r="B1759" i="3"/>
  <c r="A1759" i="3"/>
  <c r="H1758" i="3"/>
  <c r="G1758" i="3"/>
  <c r="F1758" i="3"/>
  <c r="E1758" i="3"/>
  <c r="D1758" i="3"/>
  <c r="C1758" i="3"/>
  <c r="B1758" i="3"/>
  <c r="A1758" i="3"/>
  <c r="H1757" i="3"/>
  <c r="G1757" i="3"/>
  <c r="F1757" i="3"/>
  <c r="E1757" i="3"/>
  <c r="D1757" i="3"/>
  <c r="C1757" i="3"/>
  <c r="B1757" i="3"/>
  <c r="A1757" i="3"/>
  <c r="H1756" i="3"/>
  <c r="G1756" i="3"/>
  <c r="F1756" i="3"/>
  <c r="E1756" i="3"/>
  <c r="D1756" i="3"/>
  <c r="C1756" i="3"/>
  <c r="B1756" i="3"/>
  <c r="A1756" i="3"/>
  <c r="H1755" i="3"/>
  <c r="G1755" i="3"/>
  <c r="F1755" i="3"/>
  <c r="E1755" i="3"/>
  <c r="D1755" i="3"/>
  <c r="C1755" i="3"/>
  <c r="B1755" i="3"/>
  <c r="A1755" i="3"/>
  <c r="H1754" i="3"/>
  <c r="G1754" i="3"/>
  <c r="F1754" i="3"/>
  <c r="E1754" i="3"/>
  <c r="D1754" i="3"/>
  <c r="C1754" i="3"/>
  <c r="B1754" i="3"/>
  <c r="A1754" i="3"/>
  <c r="H1753" i="3"/>
  <c r="G1753" i="3"/>
  <c r="F1753" i="3"/>
  <c r="E1753" i="3"/>
  <c r="D1753" i="3"/>
  <c r="C1753" i="3"/>
  <c r="B1753" i="3"/>
  <c r="A1753" i="3"/>
  <c r="H1752" i="3"/>
  <c r="G1752" i="3"/>
  <c r="F1752" i="3"/>
  <c r="E1752" i="3"/>
  <c r="D1752" i="3"/>
  <c r="C1752" i="3"/>
  <c r="B1752" i="3"/>
  <c r="A1752" i="3"/>
  <c r="H1751" i="3"/>
  <c r="G1751" i="3"/>
  <c r="F1751" i="3"/>
  <c r="E1751" i="3"/>
  <c r="D1751" i="3"/>
  <c r="C1751" i="3"/>
  <c r="B1751" i="3"/>
  <c r="A1751" i="3"/>
  <c r="H1750" i="3"/>
  <c r="G1750" i="3"/>
  <c r="F1750" i="3"/>
  <c r="E1750" i="3"/>
  <c r="D1750" i="3"/>
  <c r="C1750" i="3"/>
  <c r="B1750" i="3"/>
  <c r="A1750" i="3"/>
  <c r="H1749" i="3"/>
  <c r="G1749" i="3"/>
  <c r="F1749" i="3"/>
  <c r="E1749" i="3"/>
  <c r="D1749" i="3"/>
  <c r="C1749" i="3"/>
  <c r="B1749" i="3"/>
  <c r="A1749" i="3"/>
  <c r="H1748" i="3"/>
  <c r="G1748" i="3"/>
  <c r="F1748" i="3"/>
  <c r="E1748" i="3"/>
  <c r="D1748" i="3"/>
  <c r="C1748" i="3"/>
  <c r="B1748" i="3"/>
  <c r="A1748" i="3"/>
  <c r="H1747" i="3"/>
  <c r="G1747" i="3"/>
  <c r="F1747" i="3"/>
  <c r="E1747" i="3"/>
  <c r="D1747" i="3"/>
  <c r="C1747" i="3"/>
  <c r="B1747" i="3"/>
  <c r="A1747" i="3"/>
  <c r="H1746" i="3"/>
  <c r="G1746" i="3"/>
  <c r="F1746" i="3"/>
  <c r="E1746" i="3"/>
  <c r="D1746" i="3"/>
  <c r="C1746" i="3"/>
  <c r="B1746" i="3"/>
  <c r="A1746" i="3"/>
  <c r="H1745" i="3"/>
  <c r="G1745" i="3"/>
  <c r="F1745" i="3"/>
  <c r="E1745" i="3"/>
  <c r="D1745" i="3"/>
  <c r="C1745" i="3"/>
  <c r="B1745" i="3"/>
  <c r="A1745" i="3"/>
  <c r="H1744" i="3"/>
  <c r="G1744" i="3"/>
  <c r="F1744" i="3"/>
  <c r="E1744" i="3"/>
  <c r="D1744" i="3"/>
  <c r="C1744" i="3"/>
  <c r="B1744" i="3"/>
  <c r="A1744" i="3"/>
  <c r="H1743" i="3"/>
  <c r="G1743" i="3"/>
  <c r="F1743" i="3"/>
  <c r="E1743" i="3"/>
  <c r="D1743" i="3"/>
  <c r="C1743" i="3"/>
  <c r="B1743" i="3"/>
  <c r="A1743" i="3"/>
  <c r="H1742" i="3"/>
  <c r="G1742" i="3"/>
  <c r="F1742" i="3"/>
  <c r="E1742" i="3"/>
  <c r="D1742" i="3"/>
  <c r="C1742" i="3"/>
  <c r="B1742" i="3"/>
  <c r="A1742" i="3"/>
  <c r="H1741" i="3"/>
  <c r="G1741" i="3"/>
  <c r="F1741" i="3"/>
  <c r="E1741" i="3"/>
  <c r="D1741" i="3"/>
  <c r="C1741" i="3"/>
  <c r="B1741" i="3"/>
  <c r="A1741" i="3"/>
  <c r="H1740" i="3"/>
  <c r="G1740" i="3"/>
  <c r="F1740" i="3"/>
  <c r="E1740" i="3"/>
  <c r="D1740" i="3"/>
  <c r="C1740" i="3"/>
  <c r="B1740" i="3"/>
  <c r="A1740" i="3"/>
  <c r="H1739" i="3"/>
  <c r="G1739" i="3"/>
  <c r="F1739" i="3"/>
  <c r="E1739" i="3"/>
  <c r="D1739" i="3"/>
  <c r="C1739" i="3"/>
  <c r="B1739" i="3"/>
  <c r="A1739" i="3"/>
  <c r="H1738" i="3"/>
  <c r="G1738" i="3"/>
  <c r="F1738" i="3"/>
  <c r="E1738" i="3"/>
  <c r="D1738" i="3"/>
  <c r="C1738" i="3"/>
  <c r="B1738" i="3"/>
  <c r="A1738" i="3"/>
  <c r="H1737" i="3"/>
  <c r="G1737" i="3"/>
  <c r="F1737" i="3"/>
  <c r="E1737" i="3"/>
  <c r="D1737" i="3"/>
  <c r="C1737" i="3"/>
  <c r="B1737" i="3"/>
  <c r="A1737" i="3"/>
  <c r="H1736" i="3"/>
  <c r="G1736" i="3"/>
  <c r="F1736" i="3"/>
  <c r="E1736" i="3"/>
  <c r="D1736" i="3"/>
  <c r="C1736" i="3"/>
  <c r="B1736" i="3"/>
  <c r="A1736" i="3"/>
  <c r="H1735" i="3"/>
  <c r="G1735" i="3"/>
  <c r="F1735" i="3"/>
  <c r="E1735" i="3"/>
  <c r="D1735" i="3"/>
  <c r="C1735" i="3"/>
  <c r="B1735" i="3"/>
  <c r="A1735" i="3"/>
  <c r="H1734" i="3"/>
  <c r="G1734" i="3"/>
  <c r="F1734" i="3"/>
  <c r="E1734" i="3"/>
  <c r="D1734" i="3"/>
  <c r="C1734" i="3"/>
  <c r="B1734" i="3"/>
  <c r="A1734" i="3"/>
  <c r="H1733" i="3"/>
  <c r="G1733" i="3"/>
  <c r="F1733" i="3"/>
  <c r="E1733" i="3"/>
  <c r="D1733" i="3"/>
  <c r="C1733" i="3"/>
  <c r="B1733" i="3"/>
  <c r="A1733" i="3"/>
  <c r="H1732" i="3"/>
  <c r="G1732" i="3"/>
  <c r="F1732" i="3"/>
  <c r="E1732" i="3"/>
  <c r="D1732" i="3"/>
  <c r="C1732" i="3"/>
  <c r="B1732" i="3"/>
  <c r="A1732" i="3"/>
  <c r="H1731" i="3"/>
  <c r="G1731" i="3"/>
  <c r="F1731" i="3"/>
  <c r="E1731" i="3"/>
  <c r="D1731" i="3"/>
  <c r="C1731" i="3"/>
  <c r="B1731" i="3"/>
  <c r="A1731" i="3"/>
  <c r="H1730" i="3"/>
  <c r="G1730" i="3"/>
  <c r="F1730" i="3"/>
  <c r="E1730" i="3"/>
  <c r="D1730" i="3"/>
  <c r="C1730" i="3"/>
  <c r="B1730" i="3"/>
  <c r="A1730" i="3"/>
  <c r="H1729" i="3"/>
  <c r="G1729" i="3"/>
  <c r="F1729" i="3"/>
  <c r="E1729" i="3"/>
  <c r="D1729" i="3"/>
  <c r="C1729" i="3"/>
  <c r="B1729" i="3"/>
  <c r="A1729" i="3"/>
  <c r="H1728" i="3"/>
  <c r="G1728" i="3"/>
  <c r="F1728" i="3"/>
  <c r="E1728" i="3"/>
  <c r="D1728" i="3"/>
  <c r="C1728" i="3"/>
  <c r="B1728" i="3"/>
  <c r="A1728" i="3"/>
  <c r="H1727" i="3"/>
  <c r="G1727" i="3"/>
  <c r="F1727" i="3"/>
  <c r="E1727" i="3"/>
  <c r="D1727" i="3"/>
  <c r="C1727" i="3"/>
  <c r="B1727" i="3"/>
  <c r="A1727" i="3"/>
  <c r="H1726" i="3"/>
  <c r="G1726" i="3"/>
  <c r="F1726" i="3"/>
  <c r="E1726" i="3"/>
  <c r="D1726" i="3"/>
  <c r="C1726" i="3"/>
  <c r="B1726" i="3"/>
  <c r="A1726" i="3"/>
  <c r="H1725" i="3"/>
  <c r="G1725" i="3"/>
  <c r="F1725" i="3"/>
  <c r="E1725" i="3"/>
  <c r="D1725" i="3"/>
  <c r="C1725" i="3"/>
  <c r="B1725" i="3"/>
  <c r="A1725" i="3"/>
  <c r="H1724" i="3"/>
  <c r="G1724" i="3"/>
  <c r="F1724" i="3"/>
  <c r="E1724" i="3"/>
  <c r="D1724" i="3"/>
  <c r="C1724" i="3"/>
  <c r="B1724" i="3"/>
  <c r="A1724" i="3"/>
  <c r="H1723" i="3"/>
  <c r="G1723" i="3"/>
  <c r="F1723" i="3"/>
  <c r="E1723" i="3"/>
  <c r="D1723" i="3"/>
  <c r="C1723" i="3"/>
  <c r="B1723" i="3"/>
  <c r="A1723" i="3"/>
  <c r="H1722" i="3"/>
  <c r="G1722" i="3"/>
  <c r="F1722" i="3"/>
  <c r="E1722" i="3"/>
  <c r="D1722" i="3"/>
  <c r="C1722" i="3"/>
  <c r="B1722" i="3"/>
  <c r="A1722" i="3"/>
  <c r="H1721" i="3"/>
  <c r="G1721" i="3"/>
  <c r="F1721" i="3"/>
  <c r="E1721" i="3"/>
  <c r="D1721" i="3"/>
  <c r="C1721" i="3"/>
  <c r="B1721" i="3"/>
  <c r="A1721" i="3"/>
  <c r="H1720" i="3"/>
  <c r="G1720" i="3"/>
  <c r="F1720" i="3"/>
  <c r="E1720" i="3"/>
  <c r="D1720" i="3"/>
  <c r="C1720" i="3"/>
  <c r="B1720" i="3"/>
  <c r="A1720" i="3"/>
  <c r="H1719" i="3"/>
  <c r="G1719" i="3"/>
  <c r="F1719" i="3"/>
  <c r="E1719" i="3"/>
  <c r="D1719" i="3"/>
  <c r="C1719" i="3"/>
  <c r="B1719" i="3"/>
  <c r="A1719" i="3"/>
  <c r="H1718" i="3"/>
  <c r="G1718" i="3"/>
  <c r="F1718" i="3"/>
  <c r="E1718" i="3"/>
  <c r="D1718" i="3"/>
  <c r="C1718" i="3"/>
  <c r="B1718" i="3"/>
  <c r="A1718" i="3"/>
  <c r="H1717" i="3"/>
  <c r="G1717" i="3"/>
  <c r="F1717" i="3"/>
  <c r="E1717" i="3"/>
  <c r="D1717" i="3"/>
  <c r="C1717" i="3"/>
  <c r="B1717" i="3"/>
  <c r="A1717" i="3"/>
  <c r="H1716" i="3"/>
  <c r="G1716" i="3"/>
  <c r="F1716" i="3"/>
  <c r="E1716" i="3"/>
  <c r="D1716" i="3"/>
  <c r="C1716" i="3"/>
  <c r="B1716" i="3"/>
  <c r="A1716" i="3"/>
  <c r="H1715" i="3"/>
  <c r="G1715" i="3"/>
  <c r="F1715" i="3"/>
  <c r="E1715" i="3"/>
  <c r="D1715" i="3"/>
  <c r="C1715" i="3"/>
  <c r="B1715" i="3"/>
  <c r="A1715" i="3"/>
  <c r="H1714" i="3"/>
  <c r="G1714" i="3"/>
  <c r="F1714" i="3"/>
  <c r="E1714" i="3"/>
  <c r="D1714" i="3"/>
  <c r="C1714" i="3"/>
  <c r="B1714" i="3"/>
  <c r="A1714" i="3"/>
  <c r="H1713" i="3"/>
  <c r="G1713" i="3"/>
  <c r="F1713" i="3"/>
  <c r="E1713" i="3"/>
  <c r="D1713" i="3"/>
  <c r="C1713" i="3"/>
  <c r="B1713" i="3"/>
  <c r="A1713" i="3"/>
  <c r="H1712" i="3"/>
  <c r="G1712" i="3"/>
  <c r="F1712" i="3"/>
  <c r="E1712" i="3"/>
  <c r="D1712" i="3"/>
  <c r="C1712" i="3"/>
  <c r="B1712" i="3"/>
  <c r="A1712" i="3"/>
  <c r="H1711" i="3"/>
  <c r="G1711" i="3"/>
  <c r="F1711" i="3"/>
  <c r="E1711" i="3"/>
  <c r="D1711" i="3"/>
  <c r="C1711" i="3"/>
  <c r="B1711" i="3"/>
  <c r="A1711" i="3"/>
  <c r="H1710" i="3"/>
  <c r="G1710" i="3"/>
  <c r="F1710" i="3"/>
  <c r="E1710" i="3"/>
  <c r="D1710" i="3"/>
  <c r="C1710" i="3"/>
  <c r="B1710" i="3"/>
  <c r="A1710" i="3"/>
  <c r="H1709" i="3"/>
  <c r="G1709" i="3"/>
  <c r="F1709" i="3"/>
  <c r="E1709" i="3"/>
  <c r="D1709" i="3"/>
  <c r="C1709" i="3"/>
  <c r="B1709" i="3"/>
  <c r="A1709" i="3"/>
  <c r="H1708" i="3"/>
  <c r="G1708" i="3"/>
  <c r="F1708" i="3"/>
  <c r="E1708" i="3"/>
  <c r="D1708" i="3"/>
  <c r="C1708" i="3"/>
  <c r="B1708" i="3"/>
  <c r="A1708" i="3"/>
  <c r="H1707" i="3"/>
  <c r="G1707" i="3"/>
  <c r="F1707" i="3"/>
  <c r="E1707" i="3"/>
  <c r="D1707" i="3"/>
  <c r="C1707" i="3"/>
  <c r="B1707" i="3"/>
  <c r="A1707" i="3"/>
  <c r="H1706" i="3"/>
  <c r="G1706" i="3"/>
  <c r="F1706" i="3"/>
  <c r="E1706" i="3"/>
  <c r="D1706" i="3"/>
  <c r="C1706" i="3"/>
  <c r="B1706" i="3"/>
  <c r="A1706" i="3"/>
  <c r="H1705" i="3"/>
  <c r="G1705" i="3"/>
  <c r="F1705" i="3"/>
  <c r="E1705" i="3"/>
  <c r="D1705" i="3"/>
  <c r="C1705" i="3"/>
  <c r="B1705" i="3"/>
  <c r="A1705" i="3"/>
  <c r="H1704" i="3"/>
  <c r="G1704" i="3"/>
  <c r="F1704" i="3"/>
  <c r="E1704" i="3"/>
  <c r="D1704" i="3"/>
  <c r="C1704" i="3"/>
  <c r="B1704" i="3"/>
  <c r="A1704" i="3"/>
  <c r="H1703" i="3"/>
  <c r="G1703" i="3"/>
  <c r="F1703" i="3"/>
  <c r="E1703" i="3"/>
  <c r="D1703" i="3"/>
  <c r="C1703" i="3"/>
  <c r="B1703" i="3"/>
  <c r="A1703" i="3"/>
  <c r="H1702" i="3"/>
  <c r="G1702" i="3"/>
  <c r="F1702" i="3"/>
  <c r="E1702" i="3"/>
  <c r="D1702" i="3"/>
  <c r="C1702" i="3"/>
  <c r="B1702" i="3"/>
  <c r="A1702" i="3"/>
  <c r="H1701" i="3"/>
  <c r="G1701" i="3"/>
  <c r="F1701" i="3"/>
  <c r="E1701" i="3"/>
  <c r="D1701" i="3"/>
  <c r="C1701" i="3"/>
  <c r="B1701" i="3"/>
  <c r="A1701" i="3"/>
  <c r="H1700" i="3"/>
  <c r="G1700" i="3"/>
  <c r="F1700" i="3"/>
  <c r="E1700" i="3"/>
  <c r="D1700" i="3"/>
  <c r="C1700" i="3"/>
  <c r="B1700" i="3"/>
  <c r="A1700" i="3"/>
  <c r="H1699" i="3"/>
  <c r="G1699" i="3"/>
  <c r="F1699" i="3"/>
  <c r="E1699" i="3"/>
  <c r="D1699" i="3"/>
  <c r="C1699" i="3"/>
  <c r="B1699" i="3"/>
  <c r="A1699" i="3"/>
  <c r="H1698" i="3"/>
  <c r="G1698" i="3"/>
  <c r="F1698" i="3"/>
  <c r="E1698" i="3"/>
  <c r="D1698" i="3"/>
  <c r="C1698" i="3"/>
  <c r="B1698" i="3"/>
  <c r="A1698" i="3"/>
  <c r="H1697" i="3"/>
  <c r="G1697" i="3"/>
  <c r="F1697" i="3"/>
  <c r="E1697" i="3"/>
  <c r="D1697" i="3"/>
  <c r="C1697" i="3"/>
  <c r="B1697" i="3"/>
  <c r="A1697" i="3"/>
  <c r="H1696" i="3"/>
  <c r="G1696" i="3"/>
  <c r="F1696" i="3"/>
  <c r="E1696" i="3"/>
  <c r="D1696" i="3"/>
  <c r="C1696" i="3"/>
  <c r="B1696" i="3"/>
  <c r="A1696" i="3"/>
  <c r="H1695" i="3"/>
  <c r="G1695" i="3"/>
  <c r="F1695" i="3"/>
  <c r="E1695" i="3"/>
  <c r="D1695" i="3"/>
  <c r="C1695" i="3"/>
  <c r="B1695" i="3"/>
  <c r="A1695" i="3"/>
  <c r="H1694" i="3"/>
  <c r="G1694" i="3"/>
  <c r="F1694" i="3"/>
  <c r="E1694" i="3"/>
  <c r="D1694" i="3"/>
  <c r="C1694" i="3"/>
  <c r="B1694" i="3"/>
  <c r="A1694" i="3"/>
  <c r="H1693" i="3"/>
  <c r="G1693" i="3"/>
  <c r="F1693" i="3"/>
  <c r="E1693" i="3"/>
  <c r="D1693" i="3"/>
  <c r="C1693" i="3"/>
  <c r="B1693" i="3"/>
  <c r="A1693" i="3"/>
  <c r="H1692" i="3"/>
  <c r="G1692" i="3"/>
  <c r="F1692" i="3"/>
  <c r="E1692" i="3"/>
  <c r="D1692" i="3"/>
  <c r="C1692" i="3"/>
  <c r="B1692" i="3"/>
  <c r="A1692" i="3"/>
  <c r="H1691" i="3"/>
  <c r="G1691" i="3"/>
  <c r="F1691" i="3"/>
  <c r="E1691" i="3"/>
  <c r="D1691" i="3"/>
  <c r="C1691" i="3"/>
  <c r="B1691" i="3"/>
  <c r="A1691" i="3"/>
  <c r="H1690" i="3"/>
  <c r="G1690" i="3"/>
  <c r="F1690" i="3"/>
  <c r="E1690" i="3"/>
  <c r="D1690" i="3"/>
  <c r="C1690" i="3"/>
  <c r="B1690" i="3"/>
  <c r="A1690" i="3"/>
  <c r="H1689" i="3"/>
  <c r="G1689" i="3"/>
  <c r="F1689" i="3"/>
  <c r="E1689" i="3"/>
  <c r="D1689" i="3"/>
  <c r="C1689" i="3"/>
  <c r="B1689" i="3"/>
  <c r="A1689" i="3"/>
  <c r="H1688" i="3"/>
  <c r="G1688" i="3"/>
  <c r="F1688" i="3"/>
  <c r="E1688" i="3"/>
  <c r="D1688" i="3"/>
  <c r="C1688" i="3"/>
  <c r="B1688" i="3"/>
  <c r="A1688" i="3"/>
  <c r="H1687" i="3"/>
  <c r="G1687" i="3"/>
  <c r="F1687" i="3"/>
  <c r="E1687" i="3"/>
  <c r="D1687" i="3"/>
  <c r="C1687" i="3"/>
  <c r="B1687" i="3"/>
  <c r="A1687" i="3"/>
  <c r="H1686" i="3"/>
  <c r="G1686" i="3"/>
  <c r="F1686" i="3"/>
  <c r="E1686" i="3"/>
  <c r="D1686" i="3"/>
  <c r="C1686" i="3"/>
  <c r="B1686" i="3"/>
  <c r="A1686" i="3"/>
  <c r="H1685" i="3"/>
  <c r="G1685" i="3"/>
  <c r="F1685" i="3"/>
  <c r="E1685" i="3"/>
  <c r="D1685" i="3"/>
  <c r="C1685" i="3"/>
  <c r="B1685" i="3"/>
  <c r="A1685" i="3"/>
  <c r="H1684" i="3"/>
  <c r="G1684" i="3"/>
  <c r="F1684" i="3"/>
  <c r="E1684" i="3"/>
  <c r="D1684" i="3"/>
  <c r="C1684" i="3"/>
  <c r="B1684" i="3"/>
  <c r="A1684" i="3"/>
  <c r="H1683" i="3"/>
  <c r="G1683" i="3"/>
  <c r="F1683" i="3"/>
  <c r="E1683" i="3"/>
  <c r="D1683" i="3"/>
  <c r="C1683" i="3"/>
  <c r="B1683" i="3"/>
  <c r="A1683" i="3"/>
  <c r="H1682" i="3"/>
  <c r="G1682" i="3"/>
  <c r="F1682" i="3"/>
  <c r="E1682" i="3"/>
  <c r="D1682" i="3"/>
  <c r="C1682" i="3"/>
  <c r="B1682" i="3"/>
  <c r="A1682" i="3"/>
  <c r="H1681" i="3"/>
  <c r="G1681" i="3"/>
  <c r="F1681" i="3"/>
  <c r="E1681" i="3"/>
  <c r="D1681" i="3"/>
  <c r="C1681" i="3"/>
  <c r="B1681" i="3"/>
  <c r="A1681" i="3"/>
  <c r="H1680" i="3"/>
  <c r="G1680" i="3"/>
  <c r="F1680" i="3"/>
  <c r="E1680" i="3"/>
  <c r="D1680" i="3"/>
  <c r="C1680" i="3"/>
  <c r="B1680" i="3"/>
  <c r="A1680" i="3"/>
  <c r="H1679" i="3"/>
  <c r="G1679" i="3"/>
  <c r="F1679" i="3"/>
  <c r="E1679" i="3"/>
  <c r="D1679" i="3"/>
  <c r="C1679" i="3"/>
  <c r="B1679" i="3"/>
  <c r="A1679" i="3"/>
  <c r="H1678" i="3"/>
  <c r="G1678" i="3"/>
  <c r="F1678" i="3"/>
  <c r="E1678" i="3"/>
  <c r="D1678" i="3"/>
  <c r="C1678" i="3"/>
  <c r="B1678" i="3"/>
  <c r="A1678" i="3"/>
  <c r="H1677" i="3"/>
  <c r="G1677" i="3"/>
  <c r="F1677" i="3"/>
  <c r="E1677" i="3"/>
  <c r="D1677" i="3"/>
  <c r="C1677" i="3"/>
  <c r="B1677" i="3"/>
  <c r="A1677" i="3"/>
  <c r="H1676" i="3"/>
  <c r="G1676" i="3"/>
  <c r="F1676" i="3"/>
  <c r="E1676" i="3"/>
  <c r="D1676" i="3"/>
  <c r="C1676" i="3"/>
  <c r="B1676" i="3"/>
  <c r="A1676" i="3"/>
  <c r="H1675" i="3"/>
  <c r="G1675" i="3"/>
  <c r="F1675" i="3"/>
  <c r="E1675" i="3"/>
  <c r="D1675" i="3"/>
  <c r="C1675" i="3"/>
  <c r="B1675" i="3"/>
  <c r="A1675" i="3"/>
  <c r="H1674" i="3"/>
  <c r="G1674" i="3"/>
  <c r="F1674" i="3"/>
  <c r="E1674" i="3"/>
  <c r="D1674" i="3"/>
  <c r="C1674" i="3"/>
  <c r="B1674" i="3"/>
  <c r="A1674" i="3"/>
  <c r="H1673" i="3"/>
  <c r="G1673" i="3"/>
  <c r="F1673" i="3"/>
  <c r="E1673" i="3"/>
  <c r="D1673" i="3"/>
  <c r="C1673" i="3"/>
  <c r="B1673" i="3"/>
  <c r="A1673" i="3"/>
  <c r="H1672" i="3"/>
  <c r="G1672" i="3"/>
  <c r="F1672" i="3"/>
  <c r="E1672" i="3"/>
  <c r="D1672" i="3"/>
  <c r="C1672" i="3"/>
  <c r="B1672" i="3"/>
  <c r="A1672" i="3"/>
  <c r="H1671" i="3"/>
  <c r="G1671" i="3"/>
  <c r="F1671" i="3"/>
  <c r="E1671" i="3"/>
  <c r="D1671" i="3"/>
  <c r="C1671" i="3"/>
  <c r="B1671" i="3"/>
  <c r="A1671" i="3"/>
  <c r="H1670" i="3"/>
  <c r="G1670" i="3"/>
  <c r="F1670" i="3"/>
  <c r="E1670" i="3"/>
  <c r="D1670" i="3"/>
  <c r="C1670" i="3"/>
  <c r="B1670" i="3"/>
  <c r="A1670" i="3"/>
  <c r="H1669" i="3"/>
  <c r="G1669" i="3"/>
  <c r="F1669" i="3"/>
  <c r="E1669" i="3"/>
  <c r="D1669" i="3"/>
  <c r="C1669" i="3"/>
  <c r="B1669" i="3"/>
  <c r="A1669" i="3"/>
  <c r="H1668" i="3"/>
  <c r="G1668" i="3"/>
  <c r="F1668" i="3"/>
  <c r="E1668" i="3"/>
  <c r="D1668" i="3"/>
  <c r="C1668" i="3"/>
  <c r="B1668" i="3"/>
  <c r="A1668" i="3"/>
  <c r="H1667" i="3"/>
  <c r="G1667" i="3"/>
  <c r="F1667" i="3"/>
  <c r="E1667" i="3"/>
  <c r="D1667" i="3"/>
  <c r="C1667" i="3"/>
  <c r="B1667" i="3"/>
  <c r="A1667" i="3"/>
  <c r="H1666" i="3"/>
  <c r="G1666" i="3"/>
  <c r="F1666" i="3"/>
  <c r="E1666" i="3"/>
  <c r="D1666" i="3"/>
  <c r="C1666" i="3"/>
  <c r="B1666" i="3"/>
  <c r="A1666" i="3"/>
  <c r="H1665" i="3"/>
  <c r="G1665" i="3"/>
  <c r="F1665" i="3"/>
  <c r="E1665" i="3"/>
  <c r="D1665" i="3"/>
  <c r="C1665" i="3"/>
  <c r="B1665" i="3"/>
  <c r="A1665" i="3"/>
  <c r="H1664" i="3"/>
  <c r="G1664" i="3"/>
  <c r="F1664" i="3"/>
  <c r="E1664" i="3"/>
  <c r="D1664" i="3"/>
  <c r="C1664" i="3"/>
  <c r="B1664" i="3"/>
  <c r="A1664" i="3"/>
  <c r="H1663" i="3"/>
  <c r="G1663" i="3"/>
  <c r="F1663" i="3"/>
  <c r="E1663" i="3"/>
  <c r="D1663" i="3"/>
  <c r="C1663" i="3"/>
  <c r="B1663" i="3"/>
  <c r="A1663" i="3"/>
  <c r="H1662" i="3"/>
  <c r="G1662" i="3"/>
  <c r="F1662" i="3"/>
  <c r="E1662" i="3"/>
  <c r="D1662" i="3"/>
  <c r="C1662" i="3"/>
  <c r="B1662" i="3"/>
  <c r="A1662" i="3"/>
  <c r="H1661" i="3"/>
  <c r="G1661" i="3"/>
  <c r="F1661" i="3"/>
  <c r="E1661" i="3"/>
  <c r="D1661" i="3"/>
  <c r="C1661" i="3"/>
  <c r="B1661" i="3"/>
  <c r="A1661" i="3"/>
  <c r="H1660" i="3"/>
  <c r="G1660" i="3"/>
  <c r="F1660" i="3"/>
  <c r="E1660" i="3"/>
  <c r="D1660" i="3"/>
  <c r="C1660" i="3"/>
  <c r="B1660" i="3"/>
  <c r="A1660" i="3"/>
  <c r="H1659" i="3"/>
  <c r="G1659" i="3"/>
  <c r="F1659" i="3"/>
  <c r="E1659" i="3"/>
  <c r="D1659" i="3"/>
  <c r="C1659" i="3"/>
  <c r="B1659" i="3"/>
  <c r="A1659" i="3"/>
  <c r="H1658" i="3"/>
  <c r="G1658" i="3"/>
  <c r="F1658" i="3"/>
  <c r="E1658" i="3"/>
  <c r="D1658" i="3"/>
  <c r="C1658" i="3"/>
  <c r="B1658" i="3"/>
  <c r="A1658" i="3"/>
  <c r="H1657" i="3"/>
  <c r="G1657" i="3"/>
  <c r="F1657" i="3"/>
  <c r="E1657" i="3"/>
  <c r="D1657" i="3"/>
  <c r="C1657" i="3"/>
  <c r="B1657" i="3"/>
  <c r="A1657" i="3"/>
  <c r="H1656" i="3"/>
  <c r="G1656" i="3"/>
  <c r="F1656" i="3"/>
  <c r="E1656" i="3"/>
  <c r="D1656" i="3"/>
  <c r="C1656" i="3"/>
  <c r="B1656" i="3"/>
  <c r="A1656" i="3"/>
  <c r="H1655" i="3"/>
  <c r="G1655" i="3"/>
  <c r="F1655" i="3"/>
  <c r="E1655" i="3"/>
  <c r="D1655" i="3"/>
  <c r="C1655" i="3"/>
  <c r="B1655" i="3"/>
  <c r="A1655" i="3"/>
  <c r="H1654" i="3"/>
  <c r="G1654" i="3"/>
  <c r="F1654" i="3"/>
  <c r="E1654" i="3"/>
  <c r="D1654" i="3"/>
  <c r="C1654" i="3"/>
  <c r="B1654" i="3"/>
  <c r="A1654" i="3"/>
  <c r="H1653" i="3"/>
  <c r="G1653" i="3"/>
  <c r="F1653" i="3"/>
  <c r="E1653" i="3"/>
  <c r="D1653" i="3"/>
  <c r="C1653" i="3"/>
  <c r="B1653" i="3"/>
  <c r="A1653" i="3"/>
  <c r="H1652" i="3"/>
  <c r="G1652" i="3"/>
  <c r="F1652" i="3"/>
  <c r="E1652" i="3"/>
  <c r="D1652" i="3"/>
  <c r="C1652" i="3"/>
  <c r="B1652" i="3"/>
  <c r="A1652" i="3"/>
  <c r="H1651" i="3"/>
  <c r="G1651" i="3"/>
  <c r="F1651" i="3"/>
  <c r="E1651" i="3"/>
  <c r="D1651" i="3"/>
  <c r="C1651" i="3"/>
  <c r="B1651" i="3"/>
  <c r="A1651" i="3"/>
  <c r="H1650" i="3"/>
  <c r="G1650" i="3"/>
  <c r="F1650" i="3"/>
  <c r="E1650" i="3"/>
  <c r="D1650" i="3"/>
  <c r="C1650" i="3"/>
  <c r="B1650" i="3"/>
  <c r="A1650" i="3"/>
  <c r="H1649" i="3"/>
  <c r="G1649" i="3"/>
  <c r="F1649" i="3"/>
  <c r="E1649" i="3"/>
  <c r="D1649" i="3"/>
  <c r="C1649" i="3"/>
  <c r="B1649" i="3"/>
  <c r="A1649" i="3"/>
  <c r="H1648" i="3"/>
  <c r="G1648" i="3"/>
  <c r="F1648" i="3"/>
  <c r="E1648" i="3"/>
  <c r="D1648" i="3"/>
  <c r="C1648" i="3"/>
  <c r="B1648" i="3"/>
  <c r="A1648" i="3"/>
  <c r="H1647" i="3"/>
  <c r="G1647" i="3"/>
  <c r="F1647" i="3"/>
  <c r="E1647" i="3"/>
  <c r="D1647" i="3"/>
  <c r="C1647" i="3"/>
  <c r="B1647" i="3"/>
  <c r="A1647" i="3"/>
  <c r="H1646" i="3"/>
  <c r="G1646" i="3"/>
  <c r="F1646" i="3"/>
  <c r="E1646" i="3"/>
  <c r="D1646" i="3"/>
  <c r="C1646" i="3"/>
  <c r="B1646" i="3"/>
  <c r="A1646" i="3"/>
  <c r="H1645" i="3"/>
  <c r="G1645" i="3"/>
  <c r="F1645" i="3"/>
  <c r="E1645" i="3"/>
  <c r="D1645" i="3"/>
  <c r="C1645" i="3"/>
  <c r="B1645" i="3"/>
  <c r="A1645" i="3"/>
  <c r="H1644" i="3"/>
  <c r="G1644" i="3"/>
  <c r="F1644" i="3"/>
  <c r="E1644" i="3"/>
  <c r="D1644" i="3"/>
  <c r="C1644" i="3"/>
  <c r="B1644" i="3"/>
  <c r="A1644" i="3"/>
  <c r="H1643" i="3"/>
  <c r="G1643" i="3"/>
  <c r="F1643" i="3"/>
  <c r="E1643" i="3"/>
  <c r="D1643" i="3"/>
  <c r="C1643" i="3"/>
  <c r="B1643" i="3"/>
  <c r="A1643" i="3"/>
  <c r="H1642" i="3"/>
  <c r="G1642" i="3"/>
  <c r="F1642" i="3"/>
  <c r="E1642" i="3"/>
  <c r="D1642" i="3"/>
  <c r="C1642" i="3"/>
  <c r="B1642" i="3"/>
  <c r="A1642" i="3"/>
  <c r="H1641" i="3"/>
  <c r="G1641" i="3"/>
  <c r="F1641" i="3"/>
  <c r="E1641" i="3"/>
  <c r="D1641" i="3"/>
  <c r="C1641" i="3"/>
  <c r="B1641" i="3"/>
  <c r="A1641" i="3"/>
  <c r="H1640" i="3"/>
  <c r="G1640" i="3"/>
  <c r="F1640" i="3"/>
  <c r="E1640" i="3"/>
  <c r="D1640" i="3"/>
  <c r="C1640" i="3"/>
  <c r="B1640" i="3"/>
  <c r="A1640" i="3"/>
  <c r="H1639" i="3"/>
  <c r="G1639" i="3"/>
  <c r="F1639" i="3"/>
  <c r="E1639" i="3"/>
  <c r="D1639" i="3"/>
  <c r="C1639" i="3"/>
  <c r="B1639" i="3"/>
  <c r="A1639" i="3"/>
  <c r="H1638" i="3"/>
  <c r="G1638" i="3"/>
  <c r="F1638" i="3"/>
  <c r="E1638" i="3"/>
  <c r="D1638" i="3"/>
  <c r="C1638" i="3"/>
  <c r="B1638" i="3"/>
  <c r="A1638" i="3"/>
  <c r="H1637" i="3"/>
  <c r="G1637" i="3"/>
  <c r="F1637" i="3"/>
  <c r="E1637" i="3"/>
  <c r="D1637" i="3"/>
  <c r="C1637" i="3"/>
  <c r="B1637" i="3"/>
  <c r="A1637" i="3"/>
  <c r="H1636" i="3"/>
  <c r="G1636" i="3"/>
  <c r="F1636" i="3"/>
  <c r="E1636" i="3"/>
  <c r="D1636" i="3"/>
  <c r="C1636" i="3"/>
  <c r="B1636" i="3"/>
  <c r="A1636" i="3"/>
  <c r="H1635" i="3"/>
  <c r="G1635" i="3"/>
  <c r="F1635" i="3"/>
  <c r="E1635" i="3"/>
  <c r="D1635" i="3"/>
  <c r="C1635" i="3"/>
  <c r="B1635" i="3"/>
  <c r="A1635" i="3"/>
  <c r="H1634" i="3"/>
  <c r="G1634" i="3"/>
  <c r="F1634" i="3"/>
  <c r="E1634" i="3"/>
  <c r="D1634" i="3"/>
  <c r="C1634" i="3"/>
  <c r="B1634" i="3"/>
  <c r="A1634" i="3"/>
  <c r="H1633" i="3"/>
  <c r="G1633" i="3"/>
  <c r="F1633" i="3"/>
  <c r="E1633" i="3"/>
  <c r="D1633" i="3"/>
  <c r="C1633" i="3"/>
  <c r="B1633" i="3"/>
  <c r="A1633" i="3"/>
  <c r="H1632" i="3"/>
  <c r="G1632" i="3"/>
  <c r="F1632" i="3"/>
  <c r="E1632" i="3"/>
  <c r="D1632" i="3"/>
  <c r="C1632" i="3"/>
  <c r="B1632" i="3"/>
  <c r="A1632" i="3"/>
  <c r="H1631" i="3"/>
  <c r="G1631" i="3"/>
  <c r="F1631" i="3"/>
  <c r="E1631" i="3"/>
  <c r="D1631" i="3"/>
  <c r="C1631" i="3"/>
  <c r="B1631" i="3"/>
  <c r="A1631" i="3"/>
  <c r="H1630" i="3"/>
  <c r="G1630" i="3"/>
  <c r="F1630" i="3"/>
  <c r="E1630" i="3"/>
  <c r="D1630" i="3"/>
  <c r="C1630" i="3"/>
  <c r="B1630" i="3"/>
  <c r="A1630" i="3"/>
  <c r="H1629" i="3"/>
  <c r="G1629" i="3"/>
  <c r="F1629" i="3"/>
  <c r="E1629" i="3"/>
  <c r="D1629" i="3"/>
  <c r="C1629" i="3"/>
  <c r="B1629" i="3"/>
  <c r="A1629" i="3"/>
  <c r="H1628" i="3"/>
  <c r="G1628" i="3"/>
  <c r="F1628" i="3"/>
  <c r="E1628" i="3"/>
  <c r="D1628" i="3"/>
  <c r="C1628" i="3"/>
  <c r="B1628" i="3"/>
  <c r="A1628" i="3"/>
  <c r="H1627" i="3"/>
  <c r="G1627" i="3"/>
  <c r="F1627" i="3"/>
  <c r="E1627" i="3"/>
  <c r="D1627" i="3"/>
  <c r="C1627" i="3"/>
  <c r="B1627" i="3"/>
  <c r="A1627" i="3"/>
  <c r="H1626" i="3"/>
  <c r="G1626" i="3"/>
  <c r="F1626" i="3"/>
  <c r="E1626" i="3"/>
  <c r="D1626" i="3"/>
  <c r="C1626" i="3"/>
  <c r="B1626" i="3"/>
  <c r="A1626" i="3"/>
  <c r="H1625" i="3"/>
  <c r="G1625" i="3"/>
  <c r="F1625" i="3"/>
  <c r="E1625" i="3"/>
  <c r="D1625" i="3"/>
  <c r="C1625" i="3"/>
  <c r="B1625" i="3"/>
  <c r="A1625" i="3"/>
  <c r="H1624" i="3"/>
  <c r="G1624" i="3"/>
  <c r="F1624" i="3"/>
  <c r="E1624" i="3"/>
  <c r="D1624" i="3"/>
  <c r="C1624" i="3"/>
  <c r="B1624" i="3"/>
  <c r="A1624" i="3"/>
  <c r="H1623" i="3"/>
  <c r="G1623" i="3"/>
  <c r="F1623" i="3"/>
  <c r="E1623" i="3"/>
  <c r="D1623" i="3"/>
  <c r="C1623" i="3"/>
  <c r="B1623" i="3"/>
  <c r="A1623" i="3"/>
  <c r="H1622" i="3"/>
  <c r="G1622" i="3"/>
  <c r="F1622" i="3"/>
  <c r="E1622" i="3"/>
  <c r="D1622" i="3"/>
  <c r="C1622" i="3"/>
  <c r="B1622" i="3"/>
  <c r="A1622" i="3"/>
  <c r="H1621" i="3"/>
  <c r="G1621" i="3"/>
  <c r="F1621" i="3"/>
  <c r="E1621" i="3"/>
  <c r="D1621" i="3"/>
  <c r="C1621" i="3"/>
  <c r="B1621" i="3"/>
  <c r="A1621" i="3"/>
  <c r="H1620" i="3"/>
  <c r="G1620" i="3"/>
  <c r="F1620" i="3"/>
  <c r="E1620" i="3"/>
  <c r="D1620" i="3"/>
  <c r="C1620" i="3"/>
  <c r="B1620" i="3"/>
  <c r="A1620" i="3"/>
  <c r="H1619" i="3"/>
  <c r="G1619" i="3"/>
  <c r="F1619" i="3"/>
  <c r="E1619" i="3"/>
  <c r="D1619" i="3"/>
  <c r="C1619" i="3"/>
  <c r="B1619" i="3"/>
  <c r="A1619" i="3"/>
  <c r="H1618" i="3"/>
  <c r="G1618" i="3"/>
  <c r="F1618" i="3"/>
  <c r="E1618" i="3"/>
  <c r="D1618" i="3"/>
  <c r="C1618" i="3"/>
  <c r="B1618" i="3"/>
  <c r="A1618" i="3"/>
  <c r="H1617" i="3"/>
  <c r="G1617" i="3"/>
  <c r="F1617" i="3"/>
  <c r="E1617" i="3"/>
  <c r="D1617" i="3"/>
  <c r="C1617" i="3"/>
  <c r="B1617" i="3"/>
  <c r="A1617" i="3"/>
  <c r="H1616" i="3"/>
  <c r="G1616" i="3"/>
  <c r="F1616" i="3"/>
  <c r="E1616" i="3"/>
  <c r="D1616" i="3"/>
  <c r="C1616" i="3"/>
  <c r="B1616" i="3"/>
  <c r="A1616" i="3"/>
  <c r="H1615" i="3"/>
  <c r="G1615" i="3"/>
  <c r="F1615" i="3"/>
  <c r="E1615" i="3"/>
  <c r="D1615" i="3"/>
  <c r="C1615" i="3"/>
  <c r="B1615" i="3"/>
  <c r="A1615" i="3"/>
  <c r="H1614" i="3"/>
  <c r="G1614" i="3"/>
  <c r="F1614" i="3"/>
  <c r="E1614" i="3"/>
  <c r="D1614" i="3"/>
  <c r="C1614" i="3"/>
  <c r="B1614" i="3"/>
  <c r="A1614" i="3"/>
  <c r="H1613" i="3"/>
  <c r="G1613" i="3"/>
  <c r="F1613" i="3"/>
  <c r="E1613" i="3"/>
  <c r="D1613" i="3"/>
  <c r="C1613" i="3"/>
  <c r="B1613" i="3"/>
  <c r="A1613" i="3"/>
  <c r="H1612" i="3"/>
  <c r="G1612" i="3"/>
  <c r="F1612" i="3"/>
  <c r="E1612" i="3"/>
  <c r="D1612" i="3"/>
  <c r="C1612" i="3"/>
  <c r="B1612" i="3"/>
  <c r="A1612" i="3"/>
  <c r="H1611" i="3"/>
  <c r="G1611" i="3"/>
  <c r="F1611" i="3"/>
  <c r="E1611" i="3"/>
  <c r="D1611" i="3"/>
  <c r="C1611" i="3"/>
  <c r="B1611" i="3"/>
  <c r="A1611" i="3"/>
  <c r="H1610" i="3"/>
  <c r="G1610" i="3"/>
  <c r="F1610" i="3"/>
  <c r="E1610" i="3"/>
  <c r="D1610" i="3"/>
  <c r="C1610" i="3"/>
  <c r="B1610" i="3"/>
  <c r="A1610" i="3"/>
  <c r="H1609" i="3"/>
  <c r="G1609" i="3"/>
  <c r="F1609" i="3"/>
  <c r="E1609" i="3"/>
  <c r="D1609" i="3"/>
  <c r="C1609" i="3"/>
  <c r="B1609" i="3"/>
  <c r="A1609" i="3"/>
  <c r="H1608" i="3"/>
  <c r="G1608" i="3"/>
  <c r="F1608" i="3"/>
  <c r="E1608" i="3"/>
  <c r="D1608" i="3"/>
  <c r="C1608" i="3"/>
  <c r="B1608" i="3"/>
  <c r="A1608" i="3"/>
  <c r="H1607" i="3"/>
  <c r="G1607" i="3"/>
  <c r="F1607" i="3"/>
  <c r="E1607" i="3"/>
  <c r="D1607" i="3"/>
  <c r="C1607" i="3"/>
  <c r="B1607" i="3"/>
  <c r="A1607" i="3"/>
  <c r="H1606" i="3"/>
  <c r="G1606" i="3"/>
  <c r="F1606" i="3"/>
  <c r="E1606" i="3"/>
  <c r="D1606" i="3"/>
  <c r="C1606" i="3"/>
  <c r="B1606" i="3"/>
  <c r="A1606" i="3"/>
  <c r="H1605" i="3"/>
  <c r="G1605" i="3"/>
  <c r="F1605" i="3"/>
  <c r="E1605" i="3"/>
  <c r="D1605" i="3"/>
  <c r="C1605" i="3"/>
  <c r="B1605" i="3"/>
  <c r="A1605" i="3"/>
  <c r="H1604" i="3"/>
  <c r="G1604" i="3"/>
  <c r="F1604" i="3"/>
  <c r="E1604" i="3"/>
  <c r="D1604" i="3"/>
  <c r="C1604" i="3"/>
  <c r="B1604" i="3"/>
  <c r="A1604" i="3"/>
  <c r="H1603" i="3"/>
  <c r="G1603" i="3"/>
  <c r="F1603" i="3"/>
  <c r="E1603" i="3"/>
  <c r="D1603" i="3"/>
  <c r="C1603" i="3"/>
  <c r="B1603" i="3"/>
  <c r="A1603" i="3"/>
  <c r="H1602" i="3"/>
  <c r="G1602" i="3"/>
  <c r="F1602" i="3"/>
  <c r="E1602" i="3"/>
  <c r="D1602" i="3"/>
  <c r="C1602" i="3"/>
  <c r="B1602" i="3"/>
  <c r="A1602" i="3"/>
  <c r="H1601" i="3"/>
  <c r="G1601" i="3"/>
  <c r="F1601" i="3"/>
  <c r="E1601" i="3"/>
  <c r="D1601" i="3"/>
  <c r="C1601" i="3"/>
  <c r="B1601" i="3"/>
  <c r="A1601" i="3"/>
  <c r="H1600" i="3"/>
  <c r="G1600" i="3"/>
  <c r="F1600" i="3"/>
  <c r="E1600" i="3"/>
  <c r="D1600" i="3"/>
  <c r="C1600" i="3"/>
  <c r="B1600" i="3"/>
  <c r="A1600" i="3"/>
  <c r="H1599" i="3"/>
  <c r="G1599" i="3"/>
  <c r="F1599" i="3"/>
  <c r="E1599" i="3"/>
  <c r="D1599" i="3"/>
  <c r="C1599" i="3"/>
  <c r="B1599" i="3"/>
  <c r="A1599" i="3"/>
  <c r="H1598" i="3"/>
  <c r="G1598" i="3"/>
  <c r="F1598" i="3"/>
  <c r="E1598" i="3"/>
  <c r="D1598" i="3"/>
  <c r="C1598" i="3"/>
  <c r="B1598" i="3"/>
  <c r="A1598" i="3"/>
  <c r="H1597" i="3"/>
  <c r="G1597" i="3"/>
  <c r="F1597" i="3"/>
  <c r="E1597" i="3"/>
  <c r="D1597" i="3"/>
  <c r="C1597" i="3"/>
  <c r="B1597" i="3"/>
  <c r="A1597" i="3"/>
  <c r="H1596" i="3"/>
  <c r="G1596" i="3"/>
  <c r="F1596" i="3"/>
  <c r="E1596" i="3"/>
  <c r="D1596" i="3"/>
  <c r="C1596" i="3"/>
  <c r="B1596" i="3"/>
  <c r="A1596" i="3"/>
  <c r="H1595" i="3"/>
  <c r="G1595" i="3"/>
  <c r="F1595" i="3"/>
  <c r="E1595" i="3"/>
  <c r="D1595" i="3"/>
  <c r="C1595" i="3"/>
  <c r="B1595" i="3"/>
  <c r="A1595" i="3"/>
  <c r="H1594" i="3"/>
  <c r="G1594" i="3"/>
  <c r="F1594" i="3"/>
  <c r="E1594" i="3"/>
  <c r="D1594" i="3"/>
  <c r="C1594" i="3"/>
  <c r="B1594" i="3"/>
  <c r="A1594" i="3"/>
  <c r="H1593" i="3"/>
  <c r="G1593" i="3"/>
  <c r="F1593" i="3"/>
  <c r="E1593" i="3"/>
  <c r="D1593" i="3"/>
  <c r="C1593" i="3"/>
  <c r="B1593" i="3"/>
  <c r="A1593" i="3"/>
  <c r="H1592" i="3"/>
  <c r="G1592" i="3"/>
  <c r="F1592" i="3"/>
  <c r="E1592" i="3"/>
  <c r="D1592" i="3"/>
  <c r="C1592" i="3"/>
  <c r="B1592" i="3"/>
  <c r="A1592" i="3"/>
  <c r="H1591" i="3"/>
  <c r="G1591" i="3"/>
  <c r="F1591" i="3"/>
  <c r="E1591" i="3"/>
  <c r="D1591" i="3"/>
  <c r="C1591" i="3"/>
  <c r="B1591" i="3"/>
  <c r="A1591" i="3"/>
  <c r="H1590" i="3"/>
  <c r="G1590" i="3"/>
  <c r="F1590" i="3"/>
  <c r="E1590" i="3"/>
  <c r="D1590" i="3"/>
  <c r="C1590" i="3"/>
  <c r="B1590" i="3"/>
  <c r="A1590" i="3"/>
  <c r="H1589" i="3"/>
  <c r="G1589" i="3"/>
  <c r="F1589" i="3"/>
  <c r="E1589" i="3"/>
  <c r="D1589" i="3"/>
  <c r="C1589" i="3"/>
  <c r="B1589" i="3"/>
  <c r="A1589" i="3"/>
  <c r="H1588" i="3"/>
  <c r="G1588" i="3"/>
  <c r="F1588" i="3"/>
  <c r="E1588" i="3"/>
  <c r="D1588" i="3"/>
  <c r="C1588" i="3"/>
  <c r="B1588" i="3"/>
  <c r="A1588" i="3"/>
  <c r="H1587" i="3"/>
  <c r="G1587" i="3"/>
  <c r="F1587" i="3"/>
  <c r="E1587" i="3"/>
  <c r="D1587" i="3"/>
  <c r="C1587" i="3"/>
  <c r="B1587" i="3"/>
  <c r="A1587" i="3"/>
  <c r="H1586" i="3"/>
  <c r="G1586" i="3"/>
  <c r="F1586" i="3"/>
  <c r="E1586" i="3"/>
  <c r="D1586" i="3"/>
  <c r="C1586" i="3"/>
  <c r="B1586" i="3"/>
  <c r="A1586" i="3"/>
  <c r="H1585" i="3"/>
  <c r="G1585" i="3"/>
  <c r="F1585" i="3"/>
  <c r="E1585" i="3"/>
  <c r="D1585" i="3"/>
  <c r="C1585" i="3"/>
  <c r="B1585" i="3"/>
  <c r="A1585" i="3"/>
  <c r="H1584" i="3"/>
  <c r="G1584" i="3"/>
  <c r="F1584" i="3"/>
  <c r="E1584" i="3"/>
  <c r="D1584" i="3"/>
  <c r="C1584" i="3"/>
  <c r="B1584" i="3"/>
  <c r="A1584" i="3"/>
  <c r="H1583" i="3"/>
  <c r="G1583" i="3"/>
  <c r="F1583" i="3"/>
  <c r="E1583" i="3"/>
  <c r="D1583" i="3"/>
  <c r="C1583" i="3"/>
  <c r="B1583" i="3"/>
  <c r="A1583" i="3"/>
  <c r="H1582" i="3"/>
  <c r="G1582" i="3"/>
  <c r="F1582" i="3"/>
  <c r="E1582" i="3"/>
  <c r="D1582" i="3"/>
  <c r="C1582" i="3"/>
  <c r="B1582" i="3"/>
  <c r="A1582" i="3"/>
  <c r="H1581" i="3"/>
  <c r="G1581" i="3"/>
  <c r="F1581" i="3"/>
  <c r="E1581" i="3"/>
  <c r="D1581" i="3"/>
  <c r="C1581" i="3"/>
  <c r="B1581" i="3"/>
  <c r="A1581" i="3"/>
  <c r="H1580" i="3"/>
  <c r="G1580" i="3"/>
  <c r="F1580" i="3"/>
  <c r="E1580" i="3"/>
  <c r="D1580" i="3"/>
  <c r="C1580" i="3"/>
  <c r="B1580" i="3"/>
  <c r="A1580" i="3"/>
  <c r="H1579" i="3"/>
  <c r="G1579" i="3"/>
  <c r="F1579" i="3"/>
  <c r="E1579" i="3"/>
  <c r="D1579" i="3"/>
  <c r="C1579" i="3"/>
  <c r="B1579" i="3"/>
  <c r="A1579" i="3"/>
  <c r="H1578" i="3"/>
  <c r="G1578" i="3"/>
  <c r="F1578" i="3"/>
  <c r="E1578" i="3"/>
  <c r="D1578" i="3"/>
  <c r="C1578" i="3"/>
  <c r="B1578" i="3"/>
  <c r="A1578" i="3"/>
  <c r="H1577" i="3"/>
  <c r="G1577" i="3"/>
  <c r="F1577" i="3"/>
  <c r="E1577" i="3"/>
  <c r="D1577" i="3"/>
  <c r="C1577" i="3"/>
  <c r="B1577" i="3"/>
  <c r="A1577" i="3"/>
  <c r="H1576" i="3"/>
  <c r="G1576" i="3"/>
  <c r="F1576" i="3"/>
  <c r="E1576" i="3"/>
  <c r="D1576" i="3"/>
  <c r="C1576" i="3"/>
  <c r="B1576" i="3"/>
  <c r="A1576" i="3"/>
  <c r="H1575" i="3"/>
  <c r="G1575" i="3"/>
  <c r="F1575" i="3"/>
  <c r="E1575" i="3"/>
  <c r="D1575" i="3"/>
  <c r="C1575" i="3"/>
  <c r="B1575" i="3"/>
  <c r="A1575" i="3"/>
  <c r="H1574" i="3"/>
  <c r="G1574" i="3"/>
  <c r="F1574" i="3"/>
  <c r="E1574" i="3"/>
  <c r="D1574" i="3"/>
  <c r="C1574" i="3"/>
  <c r="B1574" i="3"/>
  <c r="A1574" i="3"/>
  <c r="H1573" i="3"/>
  <c r="G1573" i="3"/>
  <c r="F1573" i="3"/>
  <c r="E1573" i="3"/>
  <c r="D1573" i="3"/>
  <c r="C1573" i="3"/>
  <c r="B1573" i="3"/>
  <c r="A1573" i="3"/>
  <c r="H1572" i="3"/>
  <c r="G1572" i="3"/>
  <c r="F1572" i="3"/>
  <c r="E1572" i="3"/>
  <c r="D1572" i="3"/>
  <c r="C1572" i="3"/>
  <c r="B1572" i="3"/>
  <c r="A1572" i="3"/>
  <c r="H1571" i="3"/>
  <c r="G1571" i="3"/>
  <c r="F1571" i="3"/>
  <c r="E1571" i="3"/>
  <c r="D1571" i="3"/>
  <c r="C1571" i="3"/>
  <c r="B1571" i="3"/>
  <c r="A1571" i="3"/>
  <c r="H1570" i="3"/>
  <c r="G1570" i="3"/>
  <c r="F1570" i="3"/>
  <c r="E1570" i="3"/>
  <c r="D1570" i="3"/>
  <c r="C1570" i="3"/>
  <c r="B1570" i="3"/>
  <c r="A1570" i="3"/>
  <c r="H1569" i="3"/>
  <c r="G1569" i="3"/>
  <c r="F1569" i="3"/>
  <c r="E1569" i="3"/>
  <c r="D1569" i="3"/>
  <c r="C1569" i="3"/>
  <c r="B1569" i="3"/>
  <c r="A1569" i="3"/>
  <c r="H1568" i="3"/>
  <c r="G1568" i="3"/>
  <c r="F1568" i="3"/>
  <c r="E1568" i="3"/>
  <c r="D1568" i="3"/>
  <c r="C1568" i="3"/>
  <c r="B1568" i="3"/>
  <c r="A1568" i="3"/>
  <c r="H1567" i="3"/>
  <c r="G1567" i="3"/>
  <c r="F1567" i="3"/>
  <c r="E1567" i="3"/>
  <c r="D1567" i="3"/>
  <c r="C1567" i="3"/>
  <c r="B1567" i="3"/>
  <c r="A1567" i="3"/>
  <c r="H1566" i="3"/>
  <c r="G1566" i="3"/>
  <c r="F1566" i="3"/>
  <c r="E1566" i="3"/>
  <c r="D1566" i="3"/>
  <c r="C1566" i="3"/>
  <c r="B1566" i="3"/>
  <c r="A1566" i="3"/>
  <c r="H1565" i="3"/>
  <c r="G1565" i="3"/>
  <c r="F1565" i="3"/>
  <c r="E1565" i="3"/>
  <c r="D1565" i="3"/>
  <c r="C1565" i="3"/>
  <c r="B1565" i="3"/>
  <c r="A1565" i="3"/>
  <c r="H1564" i="3"/>
  <c r="G1564" i="3"/>
  <c r="F1564" i="3"/>
  <c r="E1564" i="3"/>
  <c r="D1564" i="3"/>
  <c r="C1564" i="3"/>
  <c r="B1564" i="3"/>
  <c r="A1564" i="3"/>
  <c r="H1563" i="3"/>
  <c r="G1563" i="3"/>
  <c r="F1563" i="3"/>
  <c r="E1563" i="3"/>
  <c r="D1563" i="3"/>
  <c r="C1563" i="3"/>
  <c r="B1563" i="3"/>
  <c r="A1563" i="3"/>
  <c r="H1562" i="3"/>
  <c r="G1562" i="3"/>
  <c r="F1562" i="3"/>
  <c r="E1562" i="3"/>
  <c r="D1562" i="3"/>
  <c r="C1562" i="3"/>
  <c r="B1562" i="3"/>
  <c r="A1562" i="3"/>
  <c r="H1561" i="3"/>
  <c r="G1561" i="3"/>
  <c r="F1561" i="3"/>
  <c r="E1561" i="3"/>
  <c r="D1561" i="3"/>
  <c r="C1561" i="3"/>
  <c r="B1561" i="3"/>
  <c r="A1561" i="3"/>
  <c r="H1560" i="3"/>
  <c r="G1560" i="3"/>
  <c r="F1560" i="3"/>
  <c r="E1560" i="3"/>
  <c r="D1560" i="3"/>
  <c r="C1560" i="3"/>
  <c r="B1560" i="3"/>
  <c r="A1560" i="3"/>
  <c r="H1559" i="3"/>
  <c r="G1559" i="3"/>
  <c r="F1559" i="3"/>
  <c r="E1559" i="3"/>
  <c r="D1559" i="3"/>
  <c r="C1559" i="3"/>
  <c r="B1559" i="3"/>
  <c r="A1559" i="3"/>
  <c r="H1558" i="3"/>
  <c r="G1558" i="3"/>
  <c r="F1558" i="3"/>
  <c r="E1558" i="3"/>
  <c r="D1558" i="3"/>
  <c r="C1558" i="3"/>
  <c r="B1558" i="3"/>
  <c r="A1558" i="3"/>
  <c r="H1557" i="3"/>
  <c r="G1557" i="3"/>
  <c r="F1557" i="3"/>
  <c r="E1557" i="3"/>
  <c r="D1557" i="3"/>
  <c r="C1557" i="3"/>
  <c r="B1557" i="3"/>
  <c r="A1557" i="3"/>
  <c r="H1556" i="3"/>
  <c r="G1556" i="3"/>
  <c r="F1556" i="3"/>
  <c r="E1556" i="3"/>
  <c r="D1556" i="3"/>
  <c r="C1556" i="3"/>
  <c r="B1556" i="3"/>
  <c r="A1556" i="3"/>
  <c r="H1555" i="3"/>
  <c r="G1555" i="3"/>
  <c r="F1555" i="3"/>
  <c r="E1555" i="3"/>
  <c r="D1555" i="3"/>
  <c r="C1555" i="3"/>
  <c r="B1555" i="3"/>
  <c r="A1555" i="3"/>
  <c r="H1554" i="3"/>
  <c r="G1554" i="3"/>
  <c r="F1554" i="3"/>
  <c r="E1554" i="3"/>
  <c r="D1554" i="3"/>
  <c r="C1554" i="3"/>
  <c r="B1554" i="3"/>
  <c r="A1554" i="3"/>
  <c r="H1553" i="3"/>
  <c r="G1553" i="3"/>
  <c r="F1553" i="3"/>
  <c r="E1553" i="3"/>
  <c r="D1553" i="3"/>
  <c r="C1553" i="3"/>
  <c r="B1553" i="3"/>
  <c r="A1553" i="3"/>
  <c r="H1552" i="3"/>
  <c r="G1552" i="3"/>
  <c r="F1552" i="3"/>
  <c r="E1552" i="3"/>
  <c r="D1552" i="3"/>
  <c r="C1552" i="3"/>
  <c r="B1552" i="3"/>
  <c r="A1552" i="3"/>
  <c r="H1551" i="3"/>
  <c r="G1551" i="3"/>
  <c r="F1551" i="3"/>
  <c r="E1551" i="3"/>
  <c r="D1551" i="3"/>
  <c r="C1551" i="3"/>
  <c r="B1551" i="3"/>
  <c r="A1551" i="3"/>
  <c r="H1550" i="3"/>
  <c r="G1550" i="3"/>
  <c r="F1550" i="3"/>
  <c r="E1550" i="3"/>
  <c r="D1550" i="3"/>
  <c r="C1550" i="3"/>
  <c r="B1550" i="3"/>
  <c r="A1550" i="3"/>
  <c r="H1549" i="3"/>
  <c r="G1549" i="3"/>
  <c r="F1549" i="3"/>
  <c r="E1549" i="3"/>
  <c r="D1549" i="3"/>
  <c r="C1549" i="3"/>
  <c r="B1549" i="3"/>
  <c r="A1549" i="3"/>
  <c r="H1548" i="3"/>
  <c r="G1548" i="3"/>
  <c r="F1548" i="3"/>
  <c r="E1548" i="3"/>
  <c r="D1548" i="3"/>
  <c r="C1548" i="3"/>
  <c r="B1548" i="3"/>
  <c r="A1548" i="3"/>
  <c r="H1547" i="3"/>
  <c r="G1547" i="3"/>
  <c r="F1547" i="3"/>
  <c r="E1547" i="3"/>
  <c r="D1547" i="3"/>
  <c r="C1547" i="3"/>
  <c r="B1547" i="3"/>
  <c r="A1547" i="3"/>
  <c r="H1546" i="3"/>
  <c r="G1546" i="3"/>
  <c r="F1546" i="3"/>
  <c r="E1546" i="3"/>
  <c r="D1546" i="3"/>
  <c r="C1546" i="3"/>
  <c r="B1546" i="3"/>
  <c r="A1546" i="3"/>
  <c r="H1545" i="3"/>
  <c r="G1545" i="3"/>
  <c r="F1545" i="3"/>
  <c r="E1545" i="3"/>
  <c r="D1545" i="3"/>
  <c r="C1545" i="3"/>
  <c r="B1545" i="3"/>
  <c r="A1545" i="3"/>
  <c r="H1544" i="3"/>
  <c r="G1544" i="3"/>
  <c r="F1544" i="3"/>
  <c r="E1544" i="3"/>
  <c r="D1544" i="3"/>
  <c r="C1544" i="3"/>
  <c r="B1544" i="3"/>
  <c r="A1544" i="3"/>
  <c r="H1543" i="3"/>
  <c r="G1543" i="3"/>
  <c r="F1543" i="3"/>
  <c r="E1543" i="3"/>
  <c r="D1543" i="3"/>
  <c r="C1543" i="3"/>
  <c r="B1543" i="3"/>
  <c r="A1543" i="3"/>
  <c r="H1542" i="3"/>
  <c r="G1542" i="3"/>
  <c r="F1542" i="3"/>
  <c r="E1542" i="3"/>
  <c r="D1542" i="3"/>
  <c r="C1542" i="3"/>
  <c r="B1542" i="3"/>
  <c r="A1542" i="3"/>
  <c r="H1541" i="3"/>
  <c r="G1541" i="3"/>
  <c r="F1541" i="3"/>
  <c r="E1541" i="3"/>
  <c r="D1541" i="3"/>
  <c r="C1541" i="3"/>
  <c r="B1541" i="3"/>
  <c r="A1541" i="3"/>
  <c r="H1540" i="3"/>
  <c r="G1540" i="3"/>
  <c r="F1540" i="3"/>
  <c r="E1540" i="3"/>
  <c r="D1540" i="3"/>
  <c r="C1540" i="3"/>
  <c r="B1540" i="3"/>
  <c r="A1540" i="3"/>
  <c r="H1539" i="3"/>
  <c r="G1539" i="3"/>
  <c r="F1539" i="3"/>
  <c r="E1539" i="3"/>
  <c r="D1539" i="3"/>
  <c r="C1539" i="3"/>
  <c r="B1539" i="3"/>
  <c r="A1539" i="3"/>
  <c r="H1538" i="3"/>
  <c r="G1538" i="3"/>
  <c r="F1538" i="3"/>
  <c r="E1538" i="3"/>
  <c r="D1538" i="3"/>
  <c r="C1538" i="3"/>
  <c r="B1538" i="3"/>
  <c r="A1538" i="3"/>
  <c r="H1537" i="3"/>
  <c r="G1537" i="3"/>
  <c r="F1537" i="3"/>
  <c r="E1537" i="3"/>
  <c r="D1537" i="3"/>
  <c r="C1537" i="3"/>
  <c r="B1537" i="3"/>
  <c r="A1537" i="3"/>
  <c r="H1536" i="3"/>
  <c r="G1536" i="3"/>
  <c r="F1536" i="3"/>
  <c r="E1536" i="3"/>
  <c r="D1536" i="3"/>
  <c r="C1536" i="3"/>
  <c r="B1536" i="3"/>
  <c r="A1536" i="3"/>
  <c r="H1535" i="3"/>
  <c r="G1535" i="3"/>
  <c r="F1535" i="3"/>
  <c r="E1535" i="3"/>
  <c r="D1535" i="3"/>
  <c r="C1535" i="3"/>
  <c r="B1535" i="3"/>
  <c r="A1535" i="3"/>
  <c r="H1534" i="3"/>
  <c r="G1534" i="3"/>
  <c r="F1534" i="3"/>
  <c r="E1534" i="3"/>
  <c r="D1534" i="3"/>
  <c r="C1534" i="3"/>
  <c r="B1534" i="3"/>
  <c r="A1534" i="3"/>
  <c r="H1533" i="3"/>
  <c r="G1533" i="3"/>
  <c r="F1533" i="3"/>
  <c r="E1533" i="3"/>
  <c r="D1533" i="3"/>
  <c r="C1533" i="3"/>
  <c r="B1533" i="3"/>
  <c r="A1533" i="3"/>
  <c r="H1532" i="3"/>
  <c r="G1532" i="3"/>
  <c r="F1532" i="3"/>
  <c r="E1532" i="3"/>
  <c r="D1532" i="3"/>
  <c r="C1532" i="3"/>
  <c r="B1532" i="3"/>
  <c r="A1532" i="3"/>
  <c r="H1531" i="3"/>
  <c r="G1531" i="3"/>
  <c r="F1531" i="3"/>
  <c r="E1531" i="3"/>
  <c r="D1531" i="3"/>
  <c r="C1531" i="3"/>
  <c r="B1531" i="3"/>
  <c r="A1531" i="3"/>
  <c r="H1530" i="3"/>
  <c r="G1530" i="3"/>
  <c r="F1530" i="3"/>
  <c r="E1530" i="3"/>
  <c r="D1530" i="3"/>
  <c r="C1530" i="3"/>
  <c r="B1530" i="3"/>
  <c r="A1530" i="3"/>
  <c r="H1529" i="3"/>
  <c r="G1529" i="3"/>
  <c r="F1529" i="3"/>
  <c r="E1529" i="3"/>
  <c r="D1529" i="3"/>
  <c r="C1529" i="3"/>
  <c r="B1529" i="3"/>
  <c r="A1529" i="3"/>
  <c r="H1528" i="3"/>
  <c r="G1528" i="3"/>
  <c r="F1528" i="3"/>
  <c r="E1528" i="3"/>
  <c r="D1528" i="3"/>
  <c r="C1528" i="3"/>
  <c r="B1528" i="3"/>
  <c r="A1528" i="3"/>
  <c r="H1527" i="3"/>
  <c r="G1527" i="3"/>
  <c r="F1527" i="3"/>
  <c r="E1527" i="3"/>
  <c r="D1527" i="3"/>
  <c r="C1527" i="3"/>
  <c r="B1527" i="3"/>
  <c r="A1527" i="3"/>
  <c r="H1526" i="3"/>
  <c r="G1526" i="3"/>
  <c r="F1526" i="3"/>
  <c r="E1526" i="3"/>
  <c r="D1526" i="3"/>
  <c r="C1526" i="3"/>
  <c r="B1526" i="3"/>
  <c r="A1526" i="3"/>
  <c r="H1525" i="3"/>
  <c r="G1525" i="3"/>
  <c r="F1525" i="3"/>
  <c r="E1525" i="3"/>
  <c r="D1525" i="3"/>
  <c r="C1525" i="3"/>
  <c r="B1525" i="3"/>
  <c r="A1525" i="3"/>
  <c r="H1524" i="3"/>
  <c r="G1524" i="3"/>
  <c r="F1524" i="3"/>
  <c r="E1524" i="3"/>
  <c r="D1524" i="3"/>
  <c r="C1524" i="3"/>
  <c r="B1524" i="3"/>
  <c r="A1524" i="3"/>
  <c r="H1523" i="3"/>
  <c r="G1523" i="3"/>
  <c r="F1523" i="3"/>
  <c r="E1523" i="3"/>
  <c r="D1523" i="3"/>
  <c r="C1523" i="3"/>
  <c r="B1523" i="3"/>
  <c r="A1523" i="3"/>
  <c r="H1522" i="3"/>
  <c r="G1522" i="3"/>
  <c r="F1522" i="3"/>
  <c r="E1522" i="3"/>
  <c r="D1522" i="3"/>
  <c r="C1522" i="3"/>
  <c r="B1522" i="3"/>
  <c r="A1522" i="3"/>
  <c r="H1521" i="3"/>
  <c r="G1521" i="3"/>
  <c r="F1521" i="3"/>
  <c r="E1521" i="3"/>
  <c r="D1521" i="3"/>
  <c r="C1521" i="3"/>
  <c r="B1521" i="3"/>
  <c r="A1521" i="3"/>
  <c r="H1520" i="3"/>
  <c r="G1520" i="3"/>
  <c r="F1520" i="3"/>
  <c r="E1520" i="3"/>
  <c r="D1520" i="3"/>
  <c r="C1520" i="3"/>
  <c r="B1520" i="3"/>
  <c r="A1520" i="3"/>
  <c r="H1519" i="3"/>
  <c r="G1519" i="3"/>
  <c r="F1519" i="3"/>
  <c r="E1519" i="3"/>
  <c r="D1519" i="3"/>
  <c r="C1519" i="3"/>
  <c r="B1519" i="3"/>
  <c r="A1519" i="3"/>
  <c r="H1518" i="3"/>
  <c r="G1518" i="3"/>
  <c r="F1518" i="3"/>
  <c r="E1518" i="3"/>
  <c r="D1518" i="3"/>
  <c r="C1518" i="3"/>
  <c r="B1518" i="3"/>
  <c r="A1518" i="3"/>
  <c r="H1517" i="3"/>
  <c r="G1517" i="3"/>
  <c r="F1517" i="3"/>
  <c r="E1517" i="3"/>
  <c r="D1517" i="3"/>
  <c r="C1517" i="3"/>
  <c r="B1517" i="3"/>
  <c r="A1517" i="3"/>
  <c r="H1516" i="3"/>
  <c r="G1516" i="3"/>
  <c r="F1516" i="3"/>
  <c r="E1516" i="3"/>
  <c r="D1516" i="3"/>
  <c r="C1516" i="3"/>
  <c r="B1516" i="3"/>
  <c r="A1516" i="3"/>
  <c r="H1515" i="3"/>
  <c r="G1515" i="3"/>
  <c r="F1515" i="3"/>
  <c r="E1515" i="3"/>
  <c r="D1515" i="3"/>
  <c r="C1515" i="3"/>
  <c r="B1515" i="3"/>
  <c r="A1515" i="3"/>
  <c r="H1514" i="3"/>
  <c r="G1514" i="3"/>
  <c r="F1514" i="3"/>
  <c r="E1514" i="3"/>
  <c r="D1514" i="3"/>
  <c r="C1514" i="3"/>
  <c r="B1514" i="3"/>
  <c r="A1514" i="3"/>
  <c r="H1513" i="3"/>
  <c r="G1513" i="3"/>
  <c r="F1513" i="3"/>
  <c r="E1513" i="3"/>
  <c r="D1513" i="3"/>
  <c r="C1513" i="3"/>
  <c r="B1513" i="3"/>
  <c r="A1513" i="3"/>
  <c r="H1512" i="3"/>
  <c r="G1512" i="3"/>
  <c r="F1512" i="3"/>
  <c r="E1512" i="3"/>
  <c r="D1512" i="3"/>
  <c r="C1512" i="3"/>
  <c r="B1512" i="3"/>
  <c r="A1512" i="3"/>
  <c r="H1511" i="3"/>
  <c r="G1511" i="3"/>
  <c r="F1511" i="3"/>
  <c r="E1511" i="3"/>
  <c r="D1511" i="3"/>
  <c r="C1511" i="3"/>
  <c r="B1511" i="3"/>
  <c r="A1511" i="3"/>
  <c r="H1510" i="3"/>
  <c r="G1510" i="3"/>
  <c r="F1510" i="3"/>
  <c r="E1510" i="3"/>
  <c r="D1510" i="3"/>
  <c r="C1510" i="3"/>
  <c r="B1510" i="3"/>
  <c r="A1510" i="3"/>
  <c r="H1509" i="3"/>
  <c r="G1509" i="3"/>
  <c r="F1509" i="3"/>
  <c r="E1509" i="3"/>
  <c r="D1509" i="3"/>
  <c r="C1509" i="3"/>
  <c r="B1509" i="3"/>
  <c r="A1509" i="3"/>
  <c r="H1508" i="3"/>
  <c r="G1508" i="3"/>
  <c r="F1508" i="3"/>
  <c r="E1508" i="3"/>
  <c r="D1508" i="3"/>
  <c r="C1508" i="3"/>
  <c r="B1508" i="3"/>
  <c r="A1508" i="3"/>
  <c r="H1507" i="3"/>
  <c r="G1507" i="3"/>
  <c r="F1507" i="3"/>
  <c r="E1507" i="3"/>
  <c r="D1507" i="3"/>
  <c r="C1507" i="3"/>
  <c r="B1507" i="3"/>
  <c r="A1507" i="3"/>
  <c r="H1506" i="3"/>
  <c r="G1506" i="3"/>
  <c r="F1506" i="3"/>
  <c r="E1506" i="3"/>
  <c r="D1506" i="3"/>
  <c r="C1506" i="3"/>
  <c r="B1506" i="3"/>
  <c r="A1506" i="3"/>
  <c r="H1505" i="3"/>
  <c r="G1505" i="3"/>
  <c r="F1505" i="3"/>
  <c r="E1505" i="3"/>
  <c r="D1505" i="3"/>
  <c r="C1505" i="3"/>
  <c r="B1505" i="3"/>
  <c r="A1505" i="3"/>
  <c r="H1504" i="3"/>
  <c r="G1504" i="3"/>
  <c r="F1504" i="3"/>
  <c r="E1504" i="3"/>
  <c r="D1504" i="3"/>
  <c r="C1504" i="3"/>
  <c r="B1504" i="3"/>
  <c r="A1504" i="3"/>
  <c r="H1503" i="3"/>
  <c r="G1503" i="3"/>
  <c r="F1503" i="3"/>
  <c r="E1503" i="3"/>
  <c r="D1503" i="3"/>
  <c r="C1503" i="3"/>
  <c r="B1503" i="3"/>
  <c r="A1503" i="3"/>
  <c r="H1502" i="3"/>
  <c r="G1502" i="3"/>
  <c r="F1502" i="3"/>
  <c r="E1502" i="3"/>
  <c r="D1502" i="3"/>
  <c r="C1502" i="3"/>
  <c r="B1502" i="3"/>
  <c r="A1502" i="3"/>
  <c r="H1501" i="3"/>
  <c r="G1501" i="3"/>
  <c r="F1501" i="3"/>
  <c r="E1501" i="3"/>
  <c r="D1501" i="3"/>
  <c r="C1501" i="3"/>
  <c r="B1501" i="3"/>
  <c r="A1501" i="3"/>
  <c r="H1500" i="3"/>
  <c r="G1500" i="3"/>
  <c r="F1500" i="3"/>
  <c r="E1500" i="3"/>
  <c r="D1500" i="3"/>
  <c r="C1500" i="3"/>
  <c r="B1500" i="3"/>
  <c r="A1500" i="3"/>
  <c r="H1499" i="3"/>
  <c r="G1499" i="3"/>
  <c r="F1499" i="3"/>
  <c r="E1499" i="3"/>
  <c r="D1499" i="3"/>
  <c r="C1499" i="3"/>
  <c r="B1499" i="3"/>
  <c r="A1499" i="3"/>
  <c r="H1498" i="3"/>
  <c r="G1498" i="3"/>
  <c r="F1498" i="3"/>
  <c r="E1498" i="3"/>
  <c r="D1498" i="3"/>
  <c r="C1498" i="3"/>
  <c r="B1498" i="3"/>
  <c r="A1498" i="3"/>
  <c r="H1497" i="3"/>
  <c r="G1497" i="3"/>
  <c r="F1497" i="3"/>
  <c r="E1497" i="3"/>
  <c r="D1497" i="3"/>
  <c r="C1497" i="3"/>
  <c r="B1497" i="3"/>
  <c r="A1497" i="3"/>
  <c r="H1496" i="3"/>
  <c r="G1496" i="3"/>
  <c r="F1496" i="3"/>
  <c r="E1496" i="3"/>
  <c r="D1496" i="3"/>
  <c r="C1496" i="3"/>
  <c r="B1496" i="3"/>
  <c r="A1496" i="3"/>
  <c r="H1495" i="3"/>
  <c r="G1495" i="3"/>
  <c r="F1495" i="3"/>
  <c r="E1495" i="3"/>
  <c r="D1495" i="3"/>
  <c r="C1495" i="3"/>
  <c r="B1495" i="3"/>
  <c r="A1495" i="3"/>
  <c r="H1494" i="3"/>
  <c r="G1494" i="3"/>
  <c r="F1494" i="3"/>
  <c r="E1494" i="3"/>
  <c r="D1494" i="3"/>
  <c r="C1494" i="3"/>
  <c r="B1494" i="3"/>
  <c r="A1494" i="3"/>
  <c r="H1493" i="3"/>
  <c r="G1493" i="3"/>
  <c r="F1493" i="3"/>
  <c r="E1493" i="3"/>
  <c r="D1493" i="3"/>
  <c r="C1493" i="3"/>
  <c r="B1493" i="3"/>
  <c r="A1493" i="3"/>
  <c r="H1492" i="3"/>
  <c r="G1492" i="3"/>
  <c r="F1492" i="3"/>
  <c r="E1492" i="3"/>
  <c r="D1492" i="3"/>
  <c r="C1492" i="3"/>
  <c r="B1492" i="3"/>
  <c r="A1492" i="3"/>
  <c r="H1491" i="3"/>
  <c r="G1491" i="3"/>
  <c r="F1491" i="3"/>
  <c r="E1491" i="3"/>
  <c r="D1491" i="3"/>
  <c r="C1491" i="3"/>
  <c r="B1491" i="3"/>
  <c r="A1491" i="3"/>
  <c r="H1490" i="3"/>
  <c r="G1490" i="3"/>
  <c r="F1490" i="3"/>
  <c r="E1490" i="3"/>
  <c r="D1490" i="3"/>
  <c r="C1490" i="3"/>
  <c r="B1490" i="3"/>
  <c r="A1490" i="3"/>
  <c r="H1489" i="3"/>
  <c r="G1489" i="3"/>
  <c r="F1489" i="3"/>
  <c r="E1489" i="3"/>
  <c r="D1489" i="3"/>
  <c r="C1489" i="3"/>
  <c r="B1489" i="3"/>
  <c r="A1489" i="3"/>
  <c r="H1488" i="3"/>
  <c r="G1488" i="3"/>
  <c r="F1488" i="3"/>
  <c r="E1488" i="3"/>
  <c r="D1488" i="3"/>
  <c r="C1488" i="3"/>
  <c r="B1488" i="3"/>
  <c r="A1488" i="3"/>
  <c r="H1487" i="3"/>
  <c r="G1487" i="3"/>
  <c r="F1487" i="3"/>
  <c r="E1487" i="3"/>
  <c r="D1487" i="3"/>
  <c r="C1487" i="3"/>
  <c r="B1487" i="3"/>
  <c r="A1487" i="3"/>
  <c r="H1486" i="3"/>
  <c r="G1486" i="3"/>
  <c r="F1486" i="3"/>
  <c r="E1486" i="3"/>
  <c r="D1486" i="3"/>
  <c r="C1486" i="3"/>
  <c r="B1486" i="3"/>
  <c r="A1486" i="3"/>
  <c r="H1485" i="3"/>
  <c r="G1485" i="3"/>
  <c r="F1485" i="3"/>
  <c r="E1485" i="3"/>
  <c r="D1485" i="3"/>
  <c r="C1485" i="3"/>
  <c r="B1485" i="3"/>
  <c r="A1485" i="3"/>
  <c r="H1484" i="3"/>
  <c r="G1484" i="3"/>
  <c r="F1484" i="3"/>
  <c r="E1484" i="3"/>
  <c r="D1484" i="3"/>
  <c r="C1484" i="3"/>
  <c r="B1484" i="3"/>
  <c r="A1484" i="3"/>
  <c r="H1483" i="3"/>
  <c r="G1483" i="3"/>
  <c r="F1483" i="3"/>
  <c r="E1483" i="3"/>
  <c r="D1483" i="3"/>
  <c r="C1483" i="3"/>
  <c r="B1483" i="3"/>
  <c r="A1483" i="3"/>
  <c r="H1482" i="3"/>
  <c r="G1482" i="3"/>
  <c r="F1482" i="3"/>
  <c r="E1482" i="3"/>
  <c r="D1482" i="3"/>
  <c r="C1482" i="3"/>
  <c r="B1482" i="3"/>
  <c r="A1482" i="3"/>
  <c r="H1481" i="3"/>
  <c r="G1481" i="3"/>
  <c r="F1481" i="3"/>
  <c r="E1481" i="3"/>
  <c r="D1481" i="3"/>
  <c r="C1481" i="3"/>
  <c r="B1481" i="3"/>
  <c r="A1481" i="3"/>
  <c r="H1480" i="3"/>
  <c r="G1480" i="3"/>
  <c r="F1480" i="3"/>
  <c r="E1480" i="3"/>
  <c r="D1480" i="3"/>
  <c r="C1480" i="3"/>
  <c r="B1480" i="3"/>
  <c r="A1480" i="3"/>
  <c r="H1479" i="3"/>
  <c r="G1479" i="3"/>
  <c r="F1479" i="3"/>
  <c r="E1479" i="3"/>
  <c r="D1479" i="3"/>
  <c r="C1479" i="3"/>
  <c r="B1479" i="3"/>
  <c r="A1479" i="3"/>
  <c r="H1478" i="3"/>
  <c r="G1478" i="3"/>
  <c r="F1478" i="3"/>
  <c r="E1478" i="3"/>
  <c r="D1478" i="3"/>
  <c r="C1478" i="3"/>
  <c r="B1478" i="3"/>
  <c r="A1478" i="3"/>
  <c r="H1477" i="3"/>
  <c r="G1477" i="3"/>
  <c r="F1477" i="3"/>
  <c r="E1477" i="3"/>
  <c r="D1477" i="3"/>
  <c r="C1477" i="3"/>
  <c r="B1477" i="3"/>
  <c r="A1477" i="3"/>
  <c r="H1476" i="3"/>
  <c r="G1476" i="3"/>
  <c r="F1476" i="3"/>
  <c r="E1476" i="3"/>
  <c r="D1476" i="3"/>
  <c r="C1476" i="3"/>
  <c r="B1476" i="3"/>
  <c r="A1476" i="3"/>
  <c r="H1475" i="3"/>
  <c r="G1475" i="3"/>
  <c r="F1475" i="3"/>
  <c r="E1475" i="3"/>
  <c r="D1475" i="3"/>
  <c r="C1475" i="3"/>
  <c r="B1475" i="3"/>
  <c r="A1475" i="3"/>
  <c r="H1474" i="3"/>
  <c r="G1474" i="3"/>
  <c r="F1474" i="3"/>
  <c r="E1474" i="3"/>
  <c r="D1474" i="3"/>
  <c r="C1474" i="3"/>
  <c r="B1474" i="3"/>
  <c r="A1474" i="3"/>
  <c r="H1473" i="3"/>
  <c r="G1473" i="3"/>
  <c r="F1473" i="3"/>
  <c r="E1473" i="3"/>
  <c r="D1473" i="3"/>
  <c r="C1473" i="3"/>
  <c r="B1473" i="3"/>
  <c r="A1473" i="3"/>
  <c r="H1472" i="3"/>
  <c r="G1472" i="3"/>
  <c r="F1472" i="3"/>
  <c r="E1472" i="3"/>
  <c r="D1472" i="3"/>
  <c r="C1472" i="3"/>
  <c r="B1472" i="3"/>
  <c r="A1472" i="3"/>
  <c r="H1471" i="3"/>
  <c r="G1471" i="3"/>
  <c r="F1471" i="3"/>
  <c r="E1471" i="3"/>
  <c r="D1471" i="3"/>
  <c r="C1471" i="3"/>
  <c r="B1471" i="3"/>
  <c r="A1471" i="3"/>
  <c r="H1470" i="3"/>
  <c r="G1470" i="3"/>
  <c r="F1470" i="3"/>
  <c r="E1470" i="3"/>
  <c r="D1470" i="3"/>
  <c r="C1470" i="3"/>
  <c r="B1470" i="3"/>
  <c r="A1470" i="3"/>
  <c r="H1469" i="3"/>
  <c r="G1469" i="3"/>
  <c r="F1469" i="3"/>
  <c r="E1469" i="3"/>
  <c r="D1469" i="3"/>
  <c r="C1469" i="3"/>
  <c r="B1469" i="3"/>
  <c r="A1469" i="3"/>
  <c r="H1468" i="3"/>
  <c r="G1468" i="3"/>
  <c r="F1468" i="3"/>
  <c r="E1468" i="3"/>
  <c r="D1468" i="3"/>
  <c r="C1468" i="3"/>
  <c r="B1468" i="3"/>
  <c r="A1468" i="3"/>
  <c r="H1467" i="3"/>
  <c r="G1467" i="3"/>
  <c r="F1467" i="3"/>
  <c r="E1467" i="3"/>
  <c r="D1467" i="3"/>
  <c r="C1467" i="3"/>
  <c r="B1467" i="3"/>
  <c r="A1467" i="3"/>
  <c r="H1466" i="3"/>
  <c r="G1466" i="3"/>
  <c r="F1466" i="3"/>
  <c r="E1466" i="3"/>
  <c r="D1466" i="3"/>
  <c r="C1466" i="3"/>
  <c r="B1466" i="3"/>
  <c r="A1466" i="3"/>
  <c r="H1465" i="3"/>
  <c r="G1465" i="3"/>
  <c r="F1465" i="3"/>
  <c r="E1465" i="3"/>
  <c r="D1465" i="3"/>
  <c r="C1465" i="3"/>
  <c r="B1465" i="3"/>
  <c r="A1465" i="3"/>
  <c r="H1464" i="3"/>
  <c r="G1464" i="3"/>
  <c r="F1464" i="3"/>
  <c r="E1464" i="3"/>
  <c r="D1464" i="3"/>
  <c r="C1464" i="3"/>
  <c r="B1464" i="3"/>
  <c r="A1464" i="3"/>
  <c r="H1463" i="3"/>
  <c r="G1463" i="3"/>
  <c r="F1463" i="3"/>
  <c r="E1463" i="3"/>
  <c r="D1463" i="3"/>
  <c r="C1463" i="3"/>
  <c r="B1463" i="3"/>
  <c r="A1463" i="3"/>
  <c r="H1462" i="3"/>
  <c r="G1462" i="3"/>
  <c r="F1462" i="3"/>
  <c r="E1462" i="3"/>
  <c r="D1462" i="3"/>
  <c r="C1462" i="3"/>
  <c r="B1462" i="3"/>
  <c r="A1462" i="3"/>
  <c r="H1461" i="3"/>
  <c r="G1461" i="3"/>
  <c r="F1461" i="3"/>
  <c r="E1461" i="3"/>
  <c r="D1461" i="3"/>
  <c r="C1461" i="3"/>
  <c r="B1461" i="3"/>
  <c r="A1461" i="3"/>
  <c r="H1460" i="3"/>
  <c r="G1460" i="3"/>
  <c r="F1460" i="3"/>
  <c r="E1460" i="3"/>
  <c r="D1460" i="3"/>
  <c r="C1460" i="3"/>
  <c r="B1460" i="3"/>
  <c r="A1460" i="3"/>
  <c r="H1459" i="3"/>
  <c r="G1459" i="3"/>
  <c r="F1459" i="3"/>
  <c r="E1459" i="3"/>
  <c r="D1459" i="3"/>
  <c r="C1459" i="3"/>
  <c r="B1459" i="3"/>
  <c r="A1459" i="3"/>
  <c r="H1458" i="3"/>
  <c r="G1458" i="3"/>
  <c r="F1458" i="3"/>
  <c r="E1458" i="3"/>
  <c r="D1458" i="3"/>
  <c r="C1458" i="3"/>
  <c r="B1458" i="3"/>
  <c r="A1458" i="3"/>
  <c r="H1457" i="3"/>
  <c r="G1457" i="3"/>
  <c r="F1457" i="3"/>
  <c r="E1457" i="3"/>
  <c r="D1457" i="3"/>
  <c r="C1457" i="3"/>
  <c r="B1457" i="3"/>
  <c r="A1457" i="3"/>
  <c r="H1456" i="3"/>
  <c r="G1456" i="3"/>
  <c r="F1456" i="3"/>
  <c r="E1456" i="3"/>
  <c r="D1456" i="3"/>
  <c r="C1456" i="3"/>
  <c r="B1456" i="3"/>
  <c r="A1456" i="3"/>
  <c r="H1455" i="3"/>
  <c r="G1455" i="3"/>
  <c r="F1455" i="3"/>
  <c r="E1455" i="3"/>
  <c r="D1455" i="3"/>
  <c r="C1455" i="3"/>
  <c r="B1455" i="3"/>
  <c r="A1455" i="3"/>
  <c r="H1454" i="3"/>
  <c r="G1454" i="3"/>
  <c r="F1454" i="3"/>
  <c r="E1454" i="3"/>
  <c r="D1454" i="3"/>
  <c r="C1454" i="3"/>
  <c r="B1454" i="3"/>
  <c r="A1454" i="3"/>
  <c r="H1453" i="3"/>
  <c r="G1453" i="3"/>
  <c r="F1453" i="3"/>
  <c r="E1453" i="3"/>
  <c r="D1453" i="3"/>
  <c r="C1453" i="3"/>
  <c r="B1453" i="3"/>
  <c r="A1453" i="3"/>
  <c r="H1452" i="3"/>
  <c r="G1452" i="3"/>
  <c r="F1452" i="3"/>
  <c r="E1452" i="3"/>
  <c r="D1452" i="3"/>
  <c r="C1452" i="3"/>
  <c r="B1452" i="3"/>
  <c r="A1452" i="3"/>
  <c r="H1451" i="3"/>
  <c r="G1451" i="3"/>
  <c r="F1451" i="3"/>
  <c r="E1451" i="3"/>
  <c r="D1451" i="3"/>
  <c r="C1451" i="3"/>
  <c r="B1451" i="3"/>
  <c r="A1451" i="3"/>
  <c r="H1450" i="3"/>
  <c r="G1450" i="3"/>
  <c r="F1450" i="3"/>
  <c r="E1450" i="3"/>
  <c r="D1450" i="3"/>
  <c r="C1450" i="3"/>
  <c r="B1450" i="3"/>
  <c r="A1450" i="3"/>
  <c r="H1449" i="3"/>
  <c r="G1449" i="3"/>
  <c r="F1449" i="3"/>
  <c r="E1449" i="3"/>
  <c r="D1449" i="3"/>
  <c r="C1449" i="3"/>
  <c r="B1449" i="3"/>
  <c r="A1449" i="3"/>
  <c r="H1448" i="3"/>
  <c r="G1448" i="3"/>
  <c r="F1448" i="3"/>
  <c r="E1448" i="3"/>
  <c r="D1448" i="3"/>
  <c r="C1448" i="3"/>
  <c r="B1448" i="3"/>
  <c r="A1448" i="3"/>
  <c r="H1447" i="3"/>
  <c r="G1447" i="3"/>
  <c r="F1447" i="3"/>
  <c r="E1447" i="3"/>
  <c r="D1447" i="3"/>
  <c r="C1447" i="3"/>
  <c r="B1447" i="3"/>
  <c r="A1447" i="3"/>
  <c r="H1446" i="3"/>
  <c r="G1446" i="3"/>
  <c r="F1446" i="3"/>
  <c r="E1446" i="3"/>
  <c r="D1446" i="3"/>
  <c r="C1446" i="3"/>
  <c r="B1446" i="3"/>
  <c r="A1446" i="3"/>
  <c r="H1445" i="3"/>
  <c r="G1445" i="3"/>
  <c r="F1445" i="3"/>
  <c r="E1445" i="3"/>
  <c r="D1445" i="3"/>
  <c r="C1445" i="3"/>
  <c r="B1445" i="3"/>
  <c r="A1445" i="3"/>
  <c r="H1444" i="3"/>
  <c r="G1444" i="3"/>
  <c r="F1444" i="3"/>
  <c r="E1444" i="3"/>
  <c r="D1444" i="3"/>
  <c r="C1444" i="3"/>
  <c r="B1444" i="3"/>
  <c r="A1444" i="3"/>
  <c r="H1443" i="3"/>
  <c r="G1443" i="3"/>
  <c r="F1443" i="3"/>
  <c r="E1443" i="3"/>
  <c r="D1443" i="3"/>
  <c r="C1443" i="3"/>
  <c r="B1443" i="3"/>
  <c r="A1443" i="3"/>
  <c r="H1442" i="3"/>
  <c r="G1442" i="3"/>
  <c r="F1442" i="3"/>
  <c r="E1442" i="3"/>
  <c r="D1442" i="3"/>
  <c r="C1442" i="3"/>
  <c r="B1442" i="3"/>
  <c r="A1442" i="3"/>
  <c r="H1441" i="3"/>
  <c r="G1441" i="3"/>
  <c r="F1441" i="3"/>
  <c r="E1441" i="3"/>
  <c r="D1441" i="3"/>
  <c r="C1441" i="3"/>
  <c r="B1441" i="3"/>
  <c r="A1441" i="3"/>
  <c r="H1440" i="3"/>
  <c r="G1440" i="3"/>
  <c r="F1440" i="3"/>
  <c r="E1440" i="3"/>
  <c r="D1440" i="3"/>
  <c r="C1440" i="3"/>
  <c r="B1440" i="3"/>
  <c r="A1440" i="3"/>
  <c r="H1439" i="3"/>
  <c r="G1439" i="3"/>
  <c r="F1439" i="3"/>
  <c r="E1439" i="3"/>
  <c r="D1439" i="3"/>
  <c r="C1439" i="3"/>
  <c r="B1439" i="3"/>
  <c r="A1439" i="3"/>
  <c r="H1438" i="3"/>
  <c r="G1438" i="3"/>
  <c r="F1438" i="3"/>
  <c r="E1438" i="3"/>
  <c r="D1438" i="3"/>
  <c r="C1438" i="3"/>
  <c r="B1438" i="3"/>
  <c r="A1438" i="3"/>
  <c r="H1437" i="3"/>
  <c r="G1437" i="3"/>
  <c r="F1437" i="3"/>
  <c r="E1437" i="3"/>
  <c r="D1437" i="3"/>
  <c r="C1437" i="3"/>
  <c r="B1437" i="3"/>
  <c r="A1437" i="3"/>
  <c r="H1436" i="3"/>
  <c r="G1436" i="3"/>
  <c r="F1436" i="3"/>
  <c r="E1436" i="3"/>
  <c r="D1436" i="3"/>
  <c r="C1436" i="3"/>
  <c r="B1436" i="3"/>
  <c r="A1436" i="3"/>
  <c r="H1435" i="3"/>
  <c r="G1435" i="3"/>
  <c r="F1435" i="3"/>
  <c r="E1435" i="3"/>
  <c r="D1435" i="3"/>
  <c r="C1435" i="3"/>
  <c r="B1435" i="3"/>
  <c r="A1435" i="3"/>
  <c r="H1434" i="3"/>
  <c r="G1434" i="3"/>
  <c r="F1434" i="3"/>
  <c r="E1434" i="3"/>
  <c r="D1434" i="3"/>
  <c r="C1434" i="3"/>
  <c r="B1434" i="3"/>
  <c r="A1434" i="3"/>
  <c r="H1433" i="3"/>
  <c r="G1433" i="3"/>
  <c r="F1433" i="3"/>
  <c r="E1433" i="3"/>
  <c r="D1433" i="3"/>
  <c r="C1433" i="3"/>
  <c r="B1433" i="3"/>
  <c r="A1433" i="3"/>
  <c r="H1432" i="3"/>
  <c r="G1432" i="3"/>
  <c r="F1432" i="3"/>
  <c r="E1432" i="3"/>
  <c r="D1432" i="3"/>
  <c r="C1432" i="3"/>
  <c r="B1432" i="3"/>
  <c r="A1432" i="3"/>
  <c r="H1431" i="3"/>
  <c r="G1431" i="3"/>
  <c r="F1431" i="3"/>
  <c r="E1431" i="3"/>
  <c r="D1431" i="3"/>
  <c r="C1431" i="3"/>
  <c r="B1431" i="3"/>
  <c r="A1431" i="3"/>
  <c r="H1430" i="3"/>
  <c r="G1430" i="3"/>
  <c r="F1430" i="3"/>
  <c r="E1430" i="3"/>
  <c r="D1430" i="3"/>
  <c r="C1430" i="3"/>
  <c r="B1430" i="3"/>
  <c r="A1430" i="3"/>
  <c r="H1429" i="3"/>
  <c r="G1429" i="3"/>
  <c r="F1429" i="3"/>
  <c r="E1429" i="3"/>
  <c r="D1429" i="3"/>
  <c r="C1429" i="3"/>
  <c r="B1429" i="3"/>
  <c r="A1429" i="3"/>
  <c r="H1428" i="3"/>
  <c r="G1428" i="3"/>
  <c r="F1428" i="3"/>
  <c r="E1428" i="3"/>
  <c r="D1428" i="3"/>
  <c r="C1428" i="3"/>
  <c r="B1428" i="3"/>
  <c r="A1428" i="3"/>
  <c r="H1427" i="3"/>
  <c r="G1427" i="3"/>
  <c r="F1427" i="3"/>
  <c r="E1427" i="3"/>
  <c r="D1427" i="3"/>
  <c r="C1427" i="3"/>
  <c r="B1427" i="3"/>
  <c r="A1427" i="3"/>
  <c r="H1426" i="3"/>
  <c r="G1426" i="3"/>
  <c r="F1426" i="3"/>
  <c r="E1426" i="3"/>
  <c r="D1426" i="3"/>
  <c r="C1426" i="3"/>
  <c r="B1426" i="3"/>
  <c r="A1426" i="3"/>
  <c r="H1425" i="3"/>
  <c r="G1425" i="3"/>
  <c r="F1425" i="3"/>
  <c r="E1425" i="3"/>
  <c r="D1425" i="3"/>
  <c r="C1425" i="3"/>
  <c r="B1425" i="3"/>
  <c r="A1425" i="3"/>
  <c r="H1424" i="3"/>
  <c r="G1424" i="3"/>
  <c r="F1424" i="3"/>
  <c r="E1424" i="3"/>
  <c r="D1424" i="3"/>
  <c r="C1424" i="3"/>
  <c r="B1424" i="3"/>
  <c r="A1424" i="3"/>
  <c r="H1423" i="3"/>
  <c r="G1423" i="3"/>
  <c r="F1423" i="3"/>
  <c r="E1423" i="3"/>
  <c r="D1423" i="3"/>
  <c r="C1423" i="3"/>
  <c r="B1423" i="3"/>
  <c r="A1423" i="3"/>
  <c r="H1422" i="3"/>
  <c r="G1422" i="3"/>
  <c r="F1422" i="3"/>
  <c r="E1422" i="3"/>
  <c r="D1422" i="3"/>
  <c r="C1422" i="3"/>
  <c r="B1422" i="3"/>
  <c r="A1422" i="3"/>
  <c r="H1421" i="3"/>
  <c r="G1421" i="3"/>
  <c r="F1421" i="3"/>
  <c r="E1421" i="3"/>
  <c r="D1421" i="3"/>
  <c r="C1421" i="3"/>
  <c r="B1421" i="3"/>
  <c r="A1421" i="3"/>
  <c r="H1420" i="3"/>
  <c r="G1420" i="3"/>
  <c r="F1420" i="3"/>
  <c r="E1420" i="3"/>
  <c r="D1420" i="3"/>
  <c r="C1420" i="3"/>
  <c r="B1420" i="3"/>
  <c r="A1420" i="3"/>
  <c r="H1419" i="3"/>
  <c r="G1419" i="3"/>
  <c r="F1419" i="3"/>
  <c r="E1419" i="3"/>
  <c r="D1419" i="3"/>
  <c r="C1419" i="3"/>
  <c r="B1419" i="3"/>
  <c r="A1419" i="3"/>
  <c r="H1418" i="3"/>
  <c r="G1418" i="3"/>
  <c r="F1418" i="3"/>
  <c r="E1418" i="3"/>
  <c r="D1418" i="3"/>
  <c r="C1418" i="3"/>
  <c r="B1418" i="3"/>
  <c r="A1418" i="3"/>
  <c r="H1417" i="3"/>
  <c r="G1417" i="3"/>
  <c r="F1417" i="3"/>
  <c r="E1417" i="3"/>
  <c r="D1417" i="3"/>
  <c r="C1417" i="3"/>
  <c r="B1417" i="3"/>
  <c r="A1417" i="3"/>
  <c r="H1416" i="3"/>
  <c r="G1416" i="3"/>
  <c r="F1416" i="3"/>
  <c r="E1416" i="3"/>
  <c r="D1416" i="3"/>
  <c r="C1416" i="3"/>
  <c r="B1416" i="3"/>
  <c r="A1416" i="3"/>
  <c r="H1415" i="3"/>
  <c r="G1415" i="3"/>
  <c r="F1415" i="3"/>
  <c r="E1415" i="3"/>
  <c r="D1415" i="3"/>
  <c r="C1415" i="3"/>
  <c r="B1415" i="3"/>
  <c r="A1415" i="3"/>
  <c r="H1414" i="3"/>
  <c r="G1414" i="3"/>
  <c r="F1414" i="3"/>
  <c r="E1414" i="3"/>
  <c r="D1414" i="3"/>
  <c r="C1414" i="3"/>
  <c r="B1414" i="3"/>
  <c r="A1414" i="3"/>
  <c r="H1413" i="3"/>
  <c r="G1413" i="3"/>
  <c r="F1413" i="3"/>
  <c r="E1413" i="3"/>
  <c r="D1413" i="3"/>
  <c r="C1413" i="3"/>
  <c r="B1413" i="3"/>
  <c r="A1413" i="3"/>
  <c r="H1412" i="3"/>
  <c r="G1412" i="3"/>
  <c r="F1412" i="3"/>
  <c r="E1412" i="3"/>
  <c r="D1412" i="3"/>
  <c r="C1412" i="3"/>
  <c r="B1412" i="3"/>
  <c r="A1412" i="3"/>
  <c r="H1411" i="3"/>
  <c r="G1411" i="3"/>
  <c r="F1411" i="3"/>
  <c r="E1411" i="3"/>
  <c r="D1411" i="3"/>
  <c r="C1411" i="3"/>
  <c r="B1411" i="3"/>
  <c r="A1411" i="3"/>
  <c r="H1410" i="3"/>
  <c r="G1410" i="3"/>
  <c r="F1410" i="3"/>
  <c r="E1410" i="3"/>
  <c r="D1410" i="3"/>
  <c r="C1410" i="3"/>
  <c r="B1410" i="3"/>
  <c r="A1410" i="3"/>
  <c r="H1409" i="3"/>
  <c r="G1409" i="3"/>
  <c r="F1409" i="3"/>
  <c r="E1409" i="3"/>
  <c r="D1409" i="3"/>
  <c r="C1409" i="3"/>
  <c r="B1409" i="3"/>
  <c r="A1409" i="3"/>
  <c r="H1408" i="3"/>
  <c r="G1408" i="3"/>
  <c r="F1408" i="3"/>
  <c r="E1408" i="3"/>
  <c r="D1408" i="3"/>
  <c r="C1408" i="3"/>
  <c r="B1408" i="3"/>
  <c r="A1408" i="3"/>
  <c r="H1407" i="3"/>
  <c r="G1407" i="3"/>
  <c r="F1407" i="3"/>
  <c r="E1407" i="3"/>
  <c r="D1407" i="3"/>
  <c r="C1407" i="3"/>
  <c r="B1407" i="3"/>
  <c r="A1407" i="3"/>
  <c r="H1406" i="3"/>
  <c r="G1406" i="3"/>
  <c r="F1406" i="3"/>
  <c r="E1406" i="3"/>
  <c r="D1406" i="3"/>
  <c r="C1406" i="3"/>
  <c r="B1406" i="3"/>
  <c r="A1406" i="3"/>
  <c r="H1405" i="3"/>
  <c r="G1405" i="3"/>
  <c r="F1405" i="3"/>
  <c r="E1405" i="3"/>
  <c r="D1405" i="3"/>
  <c r="C1405" i="3"/>
  <c r="B1405" i="3"/>
  <c r="A1405" i="3"/>
  <c r="H1404" i="3"/>
  <c r="G1404" i="3"/>
  <c r="F1404" i="3"/>
  <c r="E1404" i="3"/>
  <c r="D1404" i="3"/>
  <c r="C1404" i="3"/>
  <c r="B1404" i="3"/>
  <c r="A1404" i="3"/>
  <c r="H1403" i="3"/>
  <c r="G1403" i="3"/>
  <c r="F1403" i="3"/>
  <c r="E1403" i="3"/>
  <c r="D1403" i="3"/>
  <c r="C1403" i="3"/>
  <c r="B1403" i="3"/>
  <c r="A1403" i="3"/>
  <c r="H1402" i="3"/>
  <c r="G1402" i="3"/>
  <c r="F1402" i="3"/>
  <c r="E1402" i="3"/>
  <c r="D1402" i="3"/>
  <c r="C1402" i="3"/>
  <c r="B1402" i="3"/>
  <c r="A1402" i="3"/>
  <c r="H1401" i="3"/>
  <c r="G1401" i="3"/>
  <c r="F1401" i="3"/>
  <c r="E1401" i="3"/>
  <c r="D1401" i="3"/>
  <c r="C1401" i="3"/>
  <c r="B1401" i="3"/>
  <c r="A1401" i="3"/>
  <c r="H1400" i="3"/>
  <c r="G1400" i="3"/>
  <c r="F1400" i="3"/>
  <c r="E1400" i="3"/>
  <c r="D1400" i="3"/>
  <c r="C1400" i="3"/>
  <c r="B1400" i="3"/>
  <c r="A1400" i="3"/>
  <c r="H1399" i="3"/>
  <c r="G1399" i="3"/>
  <c r="F1399" i="3"/>
  <c r="E1399" i="3"/>
  <c r="D1399" i="3"/>
  <c r="C1399" i="3"/>
  <c r="B1399" i="3"/>
  <c r="A1399" i="3"/>
  <c r="H1398" i="3"/>
  <c r="G1398" i="3"/>
  <c r="F1398" i="3"/>
  <c r="E1398" i="3"/>
  <c r="D1398" i="3"/>
  <c r="C1398" i="3"/>
  <c r="B1398" i="3"/>
  <c r="A1398" i="3"/>
  <c r="H1397" i="3"/>
  <c r="G1397" i="3"/>
  <c r="F1397" i="3"/>
  <c r="E1397" i="3"/>
  <c r="D1397" i="3"/>
  <c r="C1397" i="3"/>
  <c r="B1397" i="3"/>
  <c r="A1397" i="3"/>
  <c r="H1396" i="3"/>
  <c r="G1396" i="3"/>
  <c r="F1396" i="3"/>
  <c r="E1396" i="3"/>
  <c r="D1396" i="3"/>
  <c r="C1396" i="3"/>
  <c r="B1396" i="3"/>
  <c r="A1396" i="3"/>
  <c r="H1395" i="3"/>
  <c r="G1395" i="3"/>
  <c r="F1395" i="3"/>
  <c r="E1395" i="3"/>
  <c r="D1395" i="3"/>
  <c r="C1395" i="3"/>
  <c r="B1395" i="3"/>
  <c r="A1395" i="3"/>
  <c r="H1394" i="3"/>
  <c r="G1394" i="3"/>
  <c r="F1394" i="3"/>
  <c r="E1394" i="3"/>
  <c r="D1394" i="3"/>
  <c r="C1394" i="3"/>
  <c r="B1394" i="3"/>
  <c r="A1394" i="3"/>
  <c r="H1393" i="3"/>
  <c r="G1393" i="3"/>
  <c r="F1393" i="3"/>
  <c r="E1393" i="3"/>
  <c r="D1393" i="3"/>
  <c r="C1393" i="3"/>
  <c r="B1393" i="3"/>
  <c r="A1393" i="3"/>
  <c r="H1392" i="3"/>
  <c r="G1392" i="3"/>
  <c r="F1392" i="3"/>
  <c r="E1392" i="3"/>
  <c r="D1392" i="3"/>
  <c r="C1392" i="3"/>
  <c r="B1392" i="3"/>
  <c r="A1392" i="3"/>
  <c r="H1391" i="3"/>
  <c r="G1391" i="3"/>
  <c r="F1391" i="3"/>
  <c r="E1391" i="3"/>
  <c r="D1391" i="3"/>
  <c r="C1391" i="3"/>
  <c r="B1391" i="3"/>
  <c r="A1391" i="3"/>
  <c r="H1390" i="3"/>
  <c r="G1390" i="3"/>
  <c r="F1390" i="3"/>
  <c r="E1390" i="3"/>
  <c r="D1390" i="3"/>
  <c r="C1390" i="3"/>
  <c r="B1390" i="3"/>
  <c r="A1390" i="3"/>
  <c r="H1389" i="3"/>
  <c r="G1389" i="3"/>
  <c r="F1389" i="3"/>
  <c r="E1389" i="3"/>
  <c r="D1389" i="3"/>
  <c r="C1389" i="3"/>
  <c r="B1389" i="3"/>
  <c r="A1389" i="3"/>
  <c r="H1388" i="3"/>
  <c r="G1388" i="3"/>
  <c r="F1388" i="3"/>
  <c r="E1388" i="3"/>
  <c r="D1388" i="3"/>
  <c r="C1388" i="3"/>
  <c r="B1388" i="3"/>
  <c r="A1388" i="3"/>
  <c r="H1387" i="3"/>
  <c r="G1387" i="3"/>
  <c r="F1387" i="3"/>
  <c r="E1387" i="3"/>
  <c r="D1387" i="3"/>
  <c r="C1387" i="3"/>
  <c r="B1387" i="3"/>
  <c r="A1387" i="3"/>
  <c r="H1386" i="3"/>
  <c r="G1386" i="3"/>
  <c r="F1386" i="3"/>
  <c r="E1386" i="3"/>
  <c r="D1386" i="3"/>
  <c r="C1386" i="3"/>
  <c r="B1386" i="3"/>
  <c r="A1386" i="3"/>
  <c r="H1385" i="3"/>
  <c r="G1385" i="3"/>
  <c r="F1385" i="3"/>
  <c r="E1385" i="3"/>
  <c r="D1385" i="3"/>
  <c r="C1385" i="3"/>
  <c r="B1385" i="3"/>
  <c r="A1385" i="3"/>
  <c r="H1384" i="3"/>
  <c r="G1384" i="3"/>
  <c r="F1384" i="3"/>
  <c r="E1384" i="3"/>
  <c r="D1384" i="3"/>
  <c r="C1384" i="3"/>
  <c r="B1384" i="3"/>
  <c r="A1384" i="3"/>
  <c r="H1383" i="3"/>
  <c r="G1383" i="3"/>
  <c r="F1383" i="3"/>
  <c r="E1383" i="3"/>
  <c r="D1383" i="3"/>
  <c r="C1383" i="3"/>
  <c r="B1383" i="3"/>
  <c r="A1383" i="3"/>
  <c r="H1382" i="3"/>
  <c r="G1382" i="3"/>
  <c r="F1382" i="3"/>
  <c r="E1382" i="3"/>
  <c r="D1382" i="3"/>
  <c r="C1382" i="3"/>
  <c r="B1382" i="3"/>
  <c r="A1382" i="3"/>
  <c r="H1381" i="3"/>
  <c r="G1381" i="3"/>
  <c r="F1381" i="3"/>
  <c r="E1381" i="3"/>
  <c r="D1381" i="3"/>
  <c r="C1381" i="3"/>
  <c r="B1381" i="3"/>
  <c r="A1381" i="3"/>
  <c r="H1380" i="3"/>
  <c r="G1380" i="3"/>
  <c r="F1380" i="3"/>
  <c r="E1380" i="3"/>
  <c r="D1380" i="3"/>
  <c r="C1380" i="3"/>
  <c r="B1380" i="3"/>
  <c r="A1380" i="3"/>
  <c r="H1379" i="3"/>
  <c r="G1379" i="3"/>
  <c r="F1379" i="3"/>
  <c r="E1379" i="3"/>
  <c r="D1379" i="3"/>
  <c r="C1379" i="3"/>
  <c r="B1379" i="3"/>
  <c r="A1379" i="3"/>
  <c r="H1378" i="3"/>
  <c r="G1378" i="3"/>
  <c r="F1378" i="3"/>
  <c r="E1378" i="3"/>
  <c r="D1378" i="3"/>
  <c r="C1378" i="3"/>
  <c r="B1378" i="3"/>
  <c r="A1378" i="3"/>
  <c r="H1377" i="3"/>
  <c r="G1377" i="3"/>
  <c r="F1377" i="3"/>
  <c r="E1377" i="3"/>
  <c r="D1377" i="3"/>
  <c r="C1377" i="3"/>
  <c r="B1377" i="3"/>
  <c r="A1377" i="3"/>
  <c r="H1376" i="3"/>
  <c r="G1376" i="3"/>
  <c r="F1376" i="3"/>
  <c r="E1376" i="3"/>
  <c r="D1376" i="3"/>
  <c r="C1376" i="3"/>
  <c r="B1376" i="3"/>
  <c r="A1376" i="3"/>
  <c r="H1375" i="3"/>
  <c r="G1375" i="3"/>
  <c r="F1375" i="3"/>
  <c r="E1375" i="3"/>
  <c r="D1375" i="3"/>
  <c r="C1375" i="3"/>
  <c r="B1375" i="3"/>
  <c r="A1375" i="3"/>
  <c r="H1374" i="3"/>
  <c r="G1374" i="3"/>
  <c r="F1374" i="3"/>
  <c r="E1374" i="3"/>
  <c r="D1374" i="3"/>
  <c r="C1374" i="3"/>
  <c r="B1374" i="3"/>
  <c r="A1374" i="3"/>
  <c r="H1373" i="3"/>
  <c r="G1373" i="3"/>
  <c r="F1373" i="3"/>
  <c r="E1373" i="3"/>
  <c r="D1373" i="3"/>
  <c r="C1373" i="3"/>
  <c r="B1373" i="3"/>
  <c r="A1373" i="3"/>
  <c r="H1372" i="3"/>
  <c r="G1372" i="3"/>
  <c r="F1372" i="3"/>
  <c r="E1372" i="3"/>
  <c r="D1372" i="3"/>
  <c r="C1372" i="3"/>
  <c r="B1372" i="3"/>
  <c r="A1372" i="3"/>
  <c r="H1371" i="3"/>
  <c r="G1371" i="3"/>
  <c r="F1371" i="3"/>
  <c r="E1371" i="3"/>
  <c r="D1371" i="3"/>
  <c r="C1371" i="3"/>
  <c r="B1371" i="3"/>
  <c r="A1371" i="3"/>
  <c r="H1370" i="3"/>
  <c r="G1370" i="3"/>
  <c r="F1370" i="3"/>
  <c r="E1370" i="3"/>
  <c r="D1370" i="3"/>
  <c r="C1370" i="3"/>
  <c r="B1370" i="3"/>
  <c r="A1370" i="3"/>
  <c r="H1369" i="3"/>
  <c r="G1369" i="3"/>
  <c r="F1369" i="3"/>
  <c r="E1369" i="3"/>
  <c r="D1369" i="3"/>
  <c r="C1369" i="3"/>
  <c r="B1369" i="3"/>
  <c r="A1369" i="3"/>
  <c r="H1368" i="3"/>
  <c r="G1368" i="3"/>
  <c r="F1368" i="3"/>
  <c r="E1368" i="3"/>
  <c r="D1368" i="3"/>
  <c r="C1368" i="3"/>
  <c r="B1368" i="3"/>
  <c r="A1368" i="3"/>
  <c r="H1367" i="3"/>
  <c r="G1367" i="3"/>
  <c r="F1367" i="3"/>
  <c r="E1367" i="3"/>
  <c r="D1367" i="3"/>
  <c r="C1367" i="3"/>
  <c r="B1367" i="3"/>
  <c r="A1367" i="3"/>
  <c r="H1366" i="3"/>
  <c r="G1366" i="3"/>
  <c r="F1366" i="3"/>
  <c r="E1366" i="3"/>
  <c r="D1366" i="3"/>
  <c r="C1366" i="3"/>
  <c r="B1366" i="3"/>
  <c r="A1366" i="3"/>
  <c r="H1365" i="3"/>
  <c r="G1365" i="3"/>
  <c r="F1365" i="3"/>
  <c r="E1365" i="3"/>
  <c r="D1365" i="3"/>
  <c r="C1365" i="3"/>
  <c r="B1365" i="3"/>
  <c r="A1365" i="3"/>
  <c r="H1364" i="3"/>
  <c r="G1364" i="3"/>
  <c r="F1364" i="3"/>
  <c r="E1364" i="3"/>
  <c r="D1364" i="3"/>
  <c r="C1364" i="3"/>
  <c r="B1364" i="3"/>
  <c r="A1364" i="3"/>
  <c r="H1363" i="3"/>
  <c r="G1363" i="3"/>
  <c r="F1363" i="3"/>
  <c r="E1363" i="3"/>
  <c r="D1363" i="3"/>
  <c r="C1363" i="3"/>
  <c r="B1363" i="3"/>
  <c r="A1363" i="3"/>
  <c r="H1362" i="3"/>
  <c r="G1362" i="3"/>
  <c r="F1362" i="3"/>
  <c r="E1362" i="3"/>
  <c r="D1362" i="3"/>
  <c r="C1362" i="3"/>
  <c r="B1362" i="3"/>
  <c r="A1362" i="3"/>
  <c r="H1361" i="3"/>
  <c r="G1361" i="3"/>
  <c r="F1361" i="3"/>
  <c r="E1361" i="3"/>
  <c r="D1361" i="3"/>
  <c r="C1361" i="3"/>
  <c r="B1361" i="3"/>
  <c r="A1361" i="3"/>
  <c r="H1360" i="3"/>
  <c r="G1360" i="3"/>
  <c r="F1360" i="3"/>
  <c r="E1360" i="3"/>
  <c r="D1360" i="3"/>
  <c r="C1360" i="3"/>
  <c r="B1360" i="3"/>
  <c r="A1360" i="3"/>
  <c r="H1359" i="3"/>
  <c r="G1359" i="3"/>
  <c r="F1359" i="3"/>
  <c r="E1359" i="3"/>
  <c r="D1359" i="3"/>
  <c r="C1359" i="3"/>
  <c r="B1359" i="3"/>
  <c r="A1359" i="3"/>
  <c r="H1358" i="3"/>
  <c r="G1358" i="3"/>
  <c r="F1358" i="3"/>
  <c r="E1358" i="3"/>
  <c r="D1358" i="3"/>
  <c r="C1358" i="3"/>
  <c r="B1358" i="3"/>
  <c r="A1358" i="3"/>
  <c r="H1357" i="3"/>
  <c r="G1357" i="3"/>
  <c r="F1357" i="3"/>
  <c r="E1357" i="3"/>
  <c r="D1357" i="3"/>
  <c r="C1357" i="3"/>
  <c r="B1357" i="3"/>
  <c r="A1357" i="3"/>
  <c r="H1356" i="3"/>
  <c r="G1356" i="3"/>
  <c r="F1356" i="3"/>
  <c r="E1356" i="3"/>
  <c r="D1356" i="3"/>
  <c r="C1356" i="3"/>
  <c r="B1356" i="3"/>
  <c r="A1356" i="3"/>
  <c r="H1355" i="3"/>
  <c r="G1355" i="3"/>
  <c r="F1355" i="3"/>
  <c r="E1355" i="3"/>
  <c r="D1355" i="3"/>
  <c r="C1355" i="3"/>
  <c r="B1355" i="3"/>
  <c r="A1355" i="3"/>
  <c r="H1354" i="3"/>
  <c r="G1354" i="3"/>
  <c r="F1354" i="3"/>
  <c r="E1354" i="3"/>
  <c r="D1354" i="3"/>
  <c r="C1354" i="3"/>
  <c r="B1354" i="3"/>
  <c r="A1354" i="3"/>
  <c r="H1353" i="3"/>
  <c r="G1353" i="3"/>
  <c r="F1353" i="3"/>
  <c r="E1353" i="3"/>
  <c r="D1353" i="3"/>
  <c r="C1353" i="3"/>
  <c r="B1353" i="3"/>
  <c r="A1353" i="3"/>
  <c r="H1352" i="3"/>
  <c r="G1352" i="3"/>
  <c r="F1352" i="3"/>
  <c r="E1352" i="3"/>
  <c r="D1352" i="3"/>
  <c r="C1352" i="3"/>
  <c r="B1352" i="3"/>
  <c r="A1352" i="3"/>
  <c r="H1351" i="3"/>
  <c r="G1351" i="3"/>
  <c r="F1351" i="3"/>
  <c r="E1351" i="3"/>
  <c r="D1351" i="3"/>
  <c r="C1351" i="3"/>
  <c r="B1351" i="3"/>
  <c r="A1351" i="3"/>
  <c r="H1350" i="3"/>
  <c r="G1350" i="3"/>
  <c r="F1350" i="3"/>
  <c r="E1350" i="3"/>
  <c r="D1350" i="3"/>
  <c r="C1350" i="3"/>
  <c r="B1350" i="3"/>
  <c r="A1350" i="3"/>
  <c r="H1349" i="3"/>
  <c r="G1349" i="3"/>
  <c r="F1349" i="3"/>
  <c r="E1349" i="3"/>
  <c r="D1349" i="3"/>
  <c r="C1349" i="3"/>
  <c r="B1349" i="3"/>
  <c r="A1349" i="3"/>
  <c r="H1348" i="3"/>
  <c r="G1348" i="3"/>
  <c r="F1348" i="3"/>
  <c r="E1348" i="3"/>
  <c r="D1348" i="3"/>
  <c r="C1348" i="3"/>
  <c r="B1348" i="3"/>
  <c r="A1348" i="3"/>
  <c r="H1347" i="3"/>
  <c r="G1347" i="3"/>
  <c r="F1347" i="3"/>
  <c r="E1347" i="3"/>
  <c r="D1347" i="3"/>
  <c r="C1347" i="3"/>
  <c r="B1347" i="3"/>
  <c r="A1347" i="3"/>
  <c r="H1346" i="3"/>
  <c r="G1346" i="3"/>
  <c r="F1346" i="3"/>
  <c r="E1346" i="3"/>
  <c r="D1346" i="3"/>
  <c r="C1346" i="3"/>
  <c r="B1346" i="3"/>
  <c r="A1346" i="3"/>
  <c r="H1345" i="3"/>
  <c r="G1345" i="3"/>
  <c r="F1345" i="3"/>
  <c r="E1345" i="3"/>
  <c r="D1345" i="3"/>
  <c r="C1345" i="3"/>
  <c r="B1345" i="3"/>
  <c r="A1345" i="3"/>
  <c r="H1344" i="3"/>
  <c r="G1344" i="3"/>
  <c r="F1344" i="3"/>
  <c r="E1344" i="3"/>
  <c r="D1344" i="3"/>
  <c r="C1344" i="3"/>
  <c r="B1344" i="3"/>
  <c r="A1344" i="3"/>
  <c r="H1343" i="3"/>
  <c r="G1343" i="3"/>
  <c r="F1343" i="3"/>
  <c r="E1343" i="3"/>
  <c r="D1343" i="3"/>
  <c r="C1343" i="3"/>
  <c r="B1343" i="3"/>
  <c r="A1343" i="3"/>
  <c r="H1342" i="3"/>
  <c r="G1342" i="3"/>
  <c r="F1342" i="3"/>
  <c r="E1342" i="3"/>
  <c r="D1342" i="3"/>
  <c r="C1342" i="3"/>
  <c r="B1342" i="3"/>
  <c r="A1342" i="3"/>
  <c r="H1341" i="3"/>
  <c r="G1341" i="3"/>
  <c r="F1341" i="3"/>
  <c r="E1341" i="3"/>
  <c r="D1341" i="3"/>
  <c r="C1341" i="3"/>
  <c r="B1341" i="3"/>
  <c r="A1341" i="3"/>
  <c r="H1340" i="3"/>
  <c r="G1340" i="3"/>
  <c r="F1340" i="3"/>
  <c r="E1340" i="3"/>
  <c r="D1340" i="3"/>
  <c r="C1340" i="3"/>
  <c r="B1340" i="3"/>
  <c r="A1340" i="3"/>
  <c r="H1339" i="3"/>
  <c r="G1339" i="3"/>
  <c r="F1339" i="3"/>
  <c r="E1339" i="3"/>
  <c r="D1339" i="3"/>
  <c r="C1339" i="3"/>
  <c r="B1339" i="3"/>
  <c r="A1339" i="3"/>
  <c r="H1338" i="3"/>
  <c r="G1338" i="3"/>
  <c r="F1338" i="3"/>
  <c r="E1338" i="3"/>
  <c r="D1338" i="3"/>
  <c r="C1338" i="3"/>
  <c r="B1338" i="3"/>
  <c r="A1338" i="3"/>
  <c r="H1337" i="3"/>
  <c r="G1337" i="3"/>
  <c r="F1337" i="3"/>
  <c r="E1337" i="3"/>
  <c r="D1337" i="3"/>
  <c r="C1337" i="3"/>
  <c r="B1337" i="3"/>
  <c r="A1337" i="3"/>
  <c r="H1336" i="3"/>
  <c r="G1336" i="3"/>
  <c r="F1336" i="3"/>
  <c r="E1336" i="3"/>
  <c r="D1336" i="3"/>
  <c r="C1336" i="3"/>
  <c r="B1336" i="3"/>
  <c r="A1336" i="3"/>
  <c r="H1335" i="3"/>
  <c r="G1335" i="3"/>
  <c r="F1335" i="3"/>
  <c r="E1335" i="3"/>
  <c r="D1335" i="3"/>
  <c r="C1335" i="3"/>
  <c r="B1335" i="3"/>
  <c r="A1335" i="3"/>
  <c r="H1334" i="3"/>
  <c r="G1334" i="3"/>
  <c r="F1334" i="3"/>
  <c r="E1334" i="3"/>
  <c r="D1334" i="3"/>
  <c r="C1334" i="3"/>
  <c r="B1334" i="3"/>
  <c r="A1334" i="3"/>
  <c r="H1333" i="3"/>
  <c r="G1333" i="3"/>
  <c r="F1333" i="3"/>
  <c r="E1333" i="3"/>
  <c r="D1333" i="3"/>
  <c r="C1333" i="3"/>
  <c r="B1333" i="3"/>
  <c r="A1333" i="3"/>
  <c r="H1332" i="3"/>
  <c r="G1332" i="3"/>
  <c r="F1332" i="3"/>
  <c r="E1332" i="3"/>
  <c r="D1332" i="3"/>
  <c r="C1332" i="3"/>
  <c r="B1332" i="3"/>
  <c r="A1332" i="3"/>
  <c r="H1331" i="3"/>
  <c r="G1331" i="3"/>
  <c r="F1331" i="3"/>
  <c r="E1331" i="3"/>
  <c r="D1331" i="3"/>
  <c r="C1331" i="3"/>
  <c r="B1331" i="3"/>
  <c r="A1331" i="3"/>
  <c r="H1330" i="3"/>
  <c r="G1330" i="3"/>
  <c r="F1330" i="3"/>
  <c r="E1330" i="3"/>
  <c r="D1330" i="3"/>
  <c r="C1330" i="3"/>
  <c r="B1330" i="3"/>
  <c r="A1330" i="3"/>
  <c r="H1329" i="3"/>
  <c r="G1329" i="3"/>
  <c r="F1329" i="3"/>
  <c r="E1329" i="3"/>
  <c r="D1329" i="3"/>
  <c r="C1329" i="3"/>
  <c r="B1329" i="3"/>
  <c r="A1329" i="3"/>
  <c r="H1328" i="3"/>
  <c r="G1328" i="3"/>
  <c r="F1328" i="3"/>
  <c r="E1328" i="3"/>
  <c r="D1328" i="3"/>
  <c r="C1328" i="3"/>
  <c r="B1328" i="3"/>
  <c r="A1328" i="3"/>
  <c r="H1327" i="3"/>
  <c r="G1327" i="3"/>
  <c r="F1327" i="3"/>
  <c r="E1327" i="3"/>
  <c r="D1327" i="3"/>
  <c r="C1327" i="3"/>
  <c r="B1327" i="3"/>
  <c r="A1327" i="3"/>
  <c r="H1326" i="3"/>
  <c r="G1326" i="3"/>
  <c r="F1326" i="3"/>
  <c r="E1326" i="3"/>
  <c r="D1326" i="3"/>
  <c r="C1326" i="3"/>
  <c r="B1326" i="3"/>
  <c r="A1326" i="3"/>
  <c r="H1325" i="3"/>
  <c r="G1325" i="3"/>
  <c r="F1325" i="3"/>
  <c r="E1325" i="3"/>
  <c r="D1325" i="3"/>
  <c r="C1325" i="3"/>
  <c r="B1325" i="3"/>
  <c r="A1325" i="3"/>
  <c r="H1324" i="3"/>
  <c r="G1324" i="3"/>
  <c r="F1324" i="3"/>
  <c r="E1324" i="3"/>
  <c r="D1324" i="3"/>
  <c r="C1324" i="3"/>
  <c r="B1324" i="3"/>
  <c r="A1324" i="3"/>
  <c r="H1323" i="3"/>
  <c r="G1323" i="3"/>
  <c r="F1323" i="3"/>
  <c r="E1323" i="3"/>
  <c r="D1323" i="3"/>
  <c r="C1323" i="3"/>
  <c r="B1323" i="3"/>
  <c r="A1323" i="3"/>
  <c r="H1322" i="3"/>
  <c r="G1322" i="3"/>
  <c r="F1322" i="3"/>
  <c r="E1322" i="3"/>
  <c r="D1322" i="3"/>
  <c r="C1322" i="3"/>
  <c r="B1322" i="3"/>
  <c r="A1322" i="3"/>
  <c r="H1321" i="3"/>
  <c r="G1321" i="3"/>
  <c r="F1321" i="3"/>
  <c r="E1321" i="3"/>
  <c r="D1321" i="3"/>
  <c r="C1321" i="3"/>
  <c r="B1321" i="3"/>
  <c r="A1321" i="3"/>
  <c r="H1320" i="3"/>
  <c r="G1320" i="3"/>
  <c r="F1320" i="3"/>
  <c r="E1320" i="3"/>
  <c r="D1320" i="3"/>
  <c r="C1320" i="3"/>
  <c r="B1320" i="3"/>
  <c r="A1320" i="3"/>
  <c r="H1319" i="3"/>
  <c r="G1319" i="3"/>
  <c r="F1319" i="3"/>
  <c r="E1319" i="3"/>
  <c r="D1319" i="3"/>
  <c r="C1319" i="3"/>
  <c r="B1319" i="3"/>
  <c r="A1319" i="3"/>
  <c r="H1318" i="3"/>
  <c r="G1318" i="3"/>
  <c r="F1318" i="3"/>
  <c r="E1318" i="3"/>
  <c r="D1318" i="3"/>
  <c r="C1318" i="3"/>
  <c r="B1318" i="3"/>
  <c r="A1318" i="3"/>
  <c r="H1317" i="3"/>
  <c r="G1317" i="3"/>
  <c r="F1317" i="3"/>
  <c r="E1317" i="3"/>
  <c r="D1317" i="3"/>
  <c r="C1317" i="3"/>
  <c r="B1317" i="3"/>
  <c r="A1317" i="3"/>
  <c r="H1316" i="3"/>
  <c r="G1316" i="3"/>
  <c r="F1316" i="3"/>
  <c r="E1316" i="3"/>
  <c r="D1316" i="3"/>
  <c r="C1316" i="3"/>
  <c r="B1316" i="3"/>
  <c r="A1316" i="3"/>
  <c r="H1315" i="3"/>
  <c r="G1315" i="3"/>
  <c r="F1315" i="3"/>
  <c r="E1315" i="3"/>
  <c r="D1315" i="3"/>
  <c r="C1315" i="3"/>
  <c r="B1315" i="3"/>
  <c r="A1315" i="3"/>
  <c r="H1314" i="3"/>
  <c r="G1314" i="3"/>
  <c r="F1314" i="3"/>
  <c r="E1314" i="3"/>
  <c r="D1314" i="3"/>
  <c r="C1314" i="3"/>
  <c r="B1314" i="3"/>
  <c r="A1314" i="3"/>
  <c r="H1313" i="3"/>
  <c r="G1313" i="3"/>
  <c r="F1313" i="3"/>
  <c r="E1313" i="3"/>
  <c r="D1313" i="3"/>
  <c r="C1313" i="3"/>
  <c r="B1313" i="3"/>
  <c r="A1313" i="3"/>
  <c r="H1312" i="3"/>
  <c r="G1312" i="3"/>
  <c r="F1312" i="3"/>
  <c r="E1312" i="3"/>
  <c r="D1312" i="3"/>
  <c r="C1312" i="3"/>
  <c r="B1312" i="3"/>
  <c r="A1312" i="3"/>
  <c r="H1311" i="3"/>
  <c r="G1311" i="3"/>
  <c r="F1311" i="3"/>
  <c r="E1311" i="3"/>
  <c r="D1311" i="3"/>
  <c r="C1311" i="3"/>
  <c r="B1311" i="3"/>
  <c r="A1311" i="3"/>
  <c r="H1310" i="3"/>
  <c r="G1310" i="3"/>
  <c r="F1310" i="3"/>
  <c r="E1310" i="3"/>
  <c r="D1310" i="3"/>
  <c r="C1310" i="3"/>
  <c r="B1310" i="3"/>
  <c r="A1310" i="3"/>
  <c r="H1309" i="3"/>
  <c r="G1309" i="3"/>
  <c r="F1309" i="3"/>
  <c r="E1309" i="3"/>
  <c r="D1309" i="3"/>
  <c r="C1309" i="3"/>
  <c r="B1309" i="3"/>
  <c r="A1309" i="3"/>
  <c r="H1308" i="3"/>
  <c r="G1308" i="3"/>
  <c r="F1308" i="3"/>
  <c r="E1308" i="3"/>
  <c r="D1308" i="3"/>
  <c r="C1308" i="3"/>
  <c r="B1308" i="3"/>
  <c r="A1308" i="3"/>
  <c r="H1307" i="3"/>
  <c r="G1307" i="3"/>
  <c r="F1307" i="3"/>
  <c r="E1307" i="3"/>
  <c r="D1307" i="3"/>
  <c r="C1307" i="3"/>
  <c r="B1307" i="3"/>
  <c r="A1307" i="3"/>
  <c r="H1306" i="3"/>
  <c r="G1306" i="3"/>
  <c r="F1306" i="3"/>
  <c r="E1306" i="3"/>
  <c r="D1306" i="3"/>
  <c r="C1306" i="3"/>
  <c r="B1306" i="3"/>
  <c r="A1306" i="3"/>
  <c r="H1305" i="3"/>
  <c r="G1305" i="3"/>
  <c r="F1305" i="3"/>
  <c r="E1305" i="3"/>
  <c r="D1305" i="3"/>
  <c r="C1305" i="3"/>
  <c r="B1305" i="3"/>
  <c r="A1305" i="3"/>
  <c r="H1304" i="3"/>
  <c r="G1304" i="3"/>
  <c r="F1304" i="3"/>
  <c r="E1304" i="3"/>
  <c r="D1304" i="3"/>
  <c r="C1304" i="3"/>
  <c r="B1304" i="3"/>
  <c r="A1304" i="3"/>
  <c r="H1303" i="3"/>
  <c r="G1303" i="3"/>
  <c r="F1303" i="3"/>
  <c r="E1303" i="3"/>
  <c r="D1303" i="3"/>
  <c r="C1303" i="3"/>
  <c r="B1303" i="3"/>
  <c r="A1303" i="3"/>
  <c r="H1302" i="3"/>
  <c r="G1302" i="3"/>
  <c r="F1302" i="3"/>
  <c r="E1302" i="3"/>
  <c r="D1302" i="3"/>
  <c r="C1302" i="3"/>
  <c r="B1302" i="3"/>
  <c r="A1302" i="3"/>
  <c r="H1301" i="3"/>
  <c r="G1301" i="3"/>
  <c r="F1301" i="3"/>
  <c r="E1301" i="3"/>
  <c r="D1301" i="3"/>
  <c r="C1301" i="3"/>
  <c r="B1301" i="3"/>
  <c r="A1301" i="3"/>
  <c r="H1300" i="3"/>
  <c r="G1300" i="3"/>
  <c r="F1300" i="3"/>
  <c r="E1300" i="3"/>
  <c r="D1300" i="3"/>
  <c r="C1300" i="3"/>
  <c r="B1300" i="3"/>
  <c r="A1300" i="3"/>
  <c r="H1299" i="3"/>
  <c r="G1299" i="3"/>
  <c r="F1299" i="3"/>
  <c r="E1299" i="3"/>
  <c r="D1299" i="3"/>
  <c r="C1299" i="3"/>
  <c r="B1299" i="3"/>
  <c r="A1299" i="3"/>
  <c r="H1298" i="3"/>
  <c r="G1298" i="3"/>
  <c r="F1298" i="3"/>
  <c r="E1298" i="3"/>
  <c r="D1298" i="3"/>
  <c r="C1298" i="3"/>
  <c r="B1298" i="3"/>
  <c r="A1298" i="3"/>
  <c r="H1297" i="3"/>
  <c r="G1297" i="3"/>
  <c r="F1297" i="3"/>
  <c r="E1297" i="3"/>
  <c r="D1297" i="3"/>
  <c r="C1297" i="3"/>
  <c r="B1297" i="3"/>
  <c r="A1297" i="3"/>
  <c r="H1296" i="3"/>
  <c r="G1296" i="3"/>
  <c r="F1296" i="3"/>
  <c r="E1296" i="3"/>
  <c r="D1296" i="3"/>
  <c r="C1296" i="3"/>
  <c r="B1296" i="3"/>
  <c r="A1296" i="3"/>
  <c r="H1295" i="3"/>
  <c r="G1295" i="3"/>
  <c r="F1295" i="3"/>
  <c r="E1295" i="3"/>
  <c r="D1295" i="3"/>
  <c r="C1295" i="3"/>
  <c r="B1295" i="3"/>
  <c r="A1295" i="3"/>
  <c r="H1294" i="3"/>
  <c r="G1294" i="3"/>
  <c r="F1294" i="3"/>
  <c r="E1294" i="3"/>
  <c r="D1294" i="3"/>
  <c r="C1294" i="3"/>
  <c r="B1294" i="3"/>
  <c r="A1294" i="3"/>
  <c r="H1293" i="3"/>
  <c r="G1293" i="3"/>
  <c r="F1293" i="3"/>
  <c r="E1293" i="3"/>
  <c r="D1293" i="3"/>
  <c r="C1293" i="3"/>
  <c r="B1293" i="3"/>
  <c r="A1293" i="3"/>
  <c r="H1292" i="3"/>
  <c r="G1292" i="3"/>
  <c r="F1292" i="3"/>
  <c r="E1292" i="3"/>
  <c r="D1292" i="3"/>
  <c r="C1292" i="3"/>
  <c r="B1292" i="3"/>
  <c r="A1292" i="3"/>
  <c r="H1291" i="3"/>
  <c r="G1291" i="3"/>
  <c r="F1291" i="3"/>
  <c r="E1291" i="3"/>
  <c r="D1291" i="3"/>
  <c r="C1291" i="3"/>
  <c r="B1291" i="3"/>
  <c r="A1291" i="3"/>
  <c r="H1290" i="3"/>
  <c r="G1290" i="3"/>
  <c r="F1290" i="3"/>
  <c r="E1290" i="3"/>
  <c r="D1290" i="3"/>
  <c r="C1290" i="3"/>
  <c r="B1290" i="3"/>
  <c r="A1290" i="3"/>
  <c r="H1289" i="3"/>
  <c r="G1289" i="3"/>
  <c r="F1289" i="3"/>
  <c r="E1289" i="3"/>
  <c r="D1289" i="3"/>
  <c r="C1289" i="3"/>
  <c r="B1289" i="3"/>
  <c r="A1289" i="3"/>
  <c r="H1288" i="3"/>
  <c r="G1288" i="3"/>
  <c r="F1288" i="3"/>
  <c r="E1288" i="3"/>
  <c r="D1288" i="3"/>
  <c r="C1288" i="3"/>
  <c r="B1288" i="3"/>
  <c r="A1288" i="3"/>
  <c r="H1287" i="3"/>
  <c r="G1287" i="3"/>
  <c r="F1287" i="3"/>
  <c r="E1287" i="3"/>
  <c r="D1287" i="3"/>
  <c r="C1287" i="3"/>
  <c r="B1287" i="3"/>
  <c r="A1287" i="3"/>
  <c r="H1286" i="3"/>
  <c r="G1286" i="3"/>
  <c r="F1286" i="3"/>
  <c r="E1286" i="3"/>
  <c r="D1286" i="3"/>
  <c r="C1286" i="3"/>
  <c r="B1286" i="3"/>
  <c r="A1286" i="3"/>
  <c r="H1285" i="3"/>
  <c r="G1285" i="3"/>
  <c r="F1285" i="3"/>
  <c r="E1285" i="3"/>
  <c r="D1285" i="3"/>
  <c r="C1285" i="3"/>
  <c r="B1285" i="3"/>
  <c r="A1285" i="3"/>
  <c r="H1284" i="3"/>
  <c r="G1284" i="3"/>
  <c r="F1284" i="3"/>
  <c r="E1284" i="3"/>
  <c r="D1284" i="3"/>
  <c r="C1284" i="3"/>
  <c r="B1284" i="3"/>
  <c r="A1284" i="3"/>
  <c r="H1283" i="3"/>
  <c r="G1283" i="3"/>
  <c r="F1283" i="3"/>
  <c r="E1283" i="3"/>
  <c r="D1283" i="3"/>
  <c r="C1283" i="3"/>
  <c r="B1283" i="3"/>
  <c r="A1283" i="3"/>
  <c r="H1282" i="3"/>
  <c r="G1282" i="3"/>
  <c r="F1282" i="3"/>
  <c r="E1282" i="3"/>
  <c r="D1282" i="3"/>
  <c r="C1282" i="3"/>
  <c r="B1282" i="3"/>
  <c r="A1282" i="3"/>
  <c r="H1281" i="3"/>
  <c r="G1281" i="3"/>
  <c r="F1281" i="3"/>
  <c r="E1281" i="3"/>
  <c r="D1281" i="3"/>
  <c r="C1281" i="3"/>
  <c r="B1281" i="3"/>
  <c r="A1281" i="3"/>
  <c r="H1280" i="3"/>
  <c r="G1280" i="3"/>
  <c r="F1280" i="3"/>
  <c r="E1280" i="3"/>
  <c r="D1280" i="3"/>
  <c r="C1280" i="3"/>
  <c r="B1280" i="3"/>
  <c r="A1280" i="3"/>
  <c r="H1279" i="3"/>
  <c r="G1279" i="3"/>
  <c r="F1279" i="3"/>
  <c r="E1279" i="3"/>
  <c r="D1279" i="3"/>
  <c r="C1279" i="3"/>
  <c r="B1279" i="3"/>
  <c r="A1279" i="3"/>
  <c r="H1278" i="3"/>
  <c r="G1278" i="3"/>
  <c r="F1278" i="3"/>
  <c r="E1278" i="3"/>
  <c r="D1278" i="3"/>
  <c r="C1278" i="3"/>
  <c r="B1278" i="3"/>
  <c r="A1278" i="3"/>
  <c r="H1277" i="3"/>
  <c r="G1277" i="3"/>
  <c r="F1277" i="3"/>
  <c r="E1277" i="3"/>
  <c r="D1277" i="3"/>
  <c r="C1277" i="3"/>
  <c r="B1277" i="3"/>
  <c r="A1277" i="3"/>
  <c r="H1276" i="3"/>
  <c r="G1276" i="3"/>
  <c r="F1276" i="3"/>
  <c r="E1276" i="3"/>
  <c r="D1276" i="3"/>
  <c r="C1276" i="3"/>
  <c r="B1276" i="3"/>
  <c r="A1276" i="3"/>
  <c r="H1275" i="3"/>
  <c r="G1275" i="3"/>
  <c r="F1275" i="3"/>
  <c r="E1275" i="3"/>
  <c r="D1275" i="3"/>
  <c r="C1275" i="3"/>
  <c r="B1275" i="3"/>
  <c r="A1275" i="3"/>
  <c r="H1274" i="3"/>
  <c r="G1274" i="3"/>
  <c r="F1274" i="3"/>
  <c r="E1274" i="3"/>
  <c r="D1274" i="3"/>
  <c r="C1274" i="3"/>
  <c r="B1274" i="3"/>
  <c r="A1274" i="3"/>
  <c r="H1273" i="3"/>
  <c r="G1273" i="3"/>
  <c r="F1273" i="3"/>
  <c r="E1273" i="3"/>
  <c r="D1273" i="3"/>
  <c r="C1273" i="3"/>
  <c r="B1273" i="3"/>
  <c r="A1273" i="3"/>
  <c r="H1272" i="3"/>
  <c r="G1272" i="3"/>
  <c r="F1272" i="3"/>
  <c r="E1272" i="3"/>
  <c r="D1272" i="3"/>
  <c r="C1272" i="3"/>
  <c r="B1272" i="3"/>
  <c r="A1272" i="3"/>
  <c r="H1271" i="3"/>
  <c r="G1271" i="3"/>
  <c r="F1271" i="3"/>
  <c r="E1271" i="3"/>
  <c r="D1271" i="3"/>
  <c r="C1271" i="3"/>
  <c r="B1271" i="3"/>
  <c r="A1271" i="3"/>
  <c r="H1270" i="3"/>
  <c r="G1270" i="3"/>
  <c r="F1270" i="3"/>
  <c r="E1270" i="3"/>
  <c r="D1270" i="3"/>
  <c r="C1270" i="3"/>
  <c r="B1270" i="3"/>
  <c r="A1270" i="3"/>
  <c r="H1269" i="3"/>
  <c r="G1269" i="3"/>
  <c r="F1269" i="3"/>
  <c r="E1269" i="3"/>
  <c r="D1269" i="3"/>
  <c r="C1269" i="3"/>
  <c r="B1269" i="3"/>
  <c r="A1269" i="3"/>
  <c r="H1268" i="3"/>
  <c r="G1268" i="3"/>
  <c r="F1268" i="3"/>
  <c r="E1268" i="3"/>
  <c r="D1268" i="3"/>
  <c r="C1268" i="3"/>
  <c r="B1268" i="3"/>
  <c r="A1268" i="3"/>
  <c r="H1267" i="3"/>
  <c r="G1267" i="3"/>
  <c r="F1267" i="3"/>
  <c r="E1267" i="3"/>
  <c r="D1267" i="3"/>
  <c r="C1267" i="3"/>
  <c r="B1267" i="3"/>
  <c r="A1267" i="3"/>
  <c r="H1266" i="3"/>
  <c r="G1266" i="3"/>
  <c r="F1266" i="3"/>
  <c r="E1266" i="3"/>
  <c r="D1266" i="3"/>
  <c r="C1266" i="3"/>
  <c r="B1266" i="3"/>
  <c r="A1266" i="3"/>
  <c r="H1265" i="3"/>
  <c r="G1265" i="3"/>
  <c r="F1265" i="3"/>
  <c r="E1265" i="3"/>
  <c r="D1265" i="3"/>
  <c r="C1265" i="3"/>
  <c r="B1265" i="3"/>
  <c r="A1265" i="3"/>
  <c r="H1264" i="3"/>
  <c r="G1264" i="3"/>
  <c r="F1264" i="3"/>
  <c r="E1264" i="3"/>
  <c r="D1264" i="3"/>
  <c r="C1264" i="3"/>
  <c r="B1264" i="3"/>
  <c r="A1264" i="3"/>
  <c r="H1263" i="3"/>
  <c r="G1263" i="3"/>
  <c r="F1263" i="3"/>
  <c r="E1263" i="3"/>
  <c r="D1263" i="3"/>
  <c r="C1263" i="3"/>
  <c r="B1263" i="3"/>
  <c r="A1263" i="3"/>
  <c r="H1262" i="3"/>
  <c r="G1262" i="3"/>
  <c r="F1262" i="3"/>
  <c r="E1262" i="3"/>
  <c r="D1262" i="3"/>
  <c r="C1262" i="3"/>
  <c r="B1262" i="3"/>
  <c r="A1262" i="3"/>
  <c r="H1261" i="3"/>
  <c r="G1261" i="3"/>
  <c r="F1261" i="3"/>
  <c r="E1261" i="3"/>
  <c r="D1261" i="3"/>
  <c r="C1261" i="3"/>
  <c r="B1261" i="3"/>
  <c r="A1261" i="3"/>
  <c r="H1260" i="3"/>
  <c r="G1260" i="3"/>
  <c r="F1260" i="3"/>
  <c r="E1260" i="3"/>
  <c r="D1260" i="3"/>
  <c r="C1260" i="3"/>
  <c r="B1260" i="3"/>
  <c r="A1260" i="3"/>
  <c r="H1259" i="3"/>
  <c r="G1259" i="3"/>
  <c r="F1259" i="3"/>
  <c r="E1259" i="3"/>
  <c r="D1259" i="3"/>
  <c r="C1259" i="3"/>
  <c r="B1259" i="3"/>
  <c r="A1259" i="3"/>
  <c r="H1258" i="3"/>
  <c r="G1258" i="3"/>
  <c r="F1258" i="3"/>
  <c r="E1258" i="3"/>
  <c r="D1258" i="3"/>
  <c r="C1258" i="3"/>
  <c r="B1258" i="3"/>
  <c r="A1258" i="3"/>
  <c r="H1257" i="3"/>
  <c r="G1257" i="3"/>
  <c r="F1257" i="3"/>
  <c r="E1257" i="3"/>
  <c r="D1257" i="3"/>
  <c r="C1257" i="3"/>
  <c r="B1257" i="3"/>
  <c r="A1257" i="3"/>
  <c r="H1256" i="3"/>
  <c r="G1256" i="3"/>
  <c r="F1256" i="3"/>
  <c r="E1256" i="3"/>
  <c r="D1256" i="3"/>
  <c r="C1256" i="3"/>
  <c r="B1256" i="3"/>
  <c r="A1256" i="3"/>
  <c r="H1255" i="3"/>
  <c r="G1255" i="3"/>
  <c r="F1255" i="3"/>
  <c r="E1255" i="3"/>
  <c r="D1255" i="3"/>
  <c r="C1255" i="3"/>
  <c r="B1255" i="3"/>
  <c r="A1255" i="3"/>
  <c r="H1254" i="3"/>
  <c r="G1254" i="3"/>
  <c r="F1254" i="3"/>
  <c r="E1254" i="3"/>
  <c r="D1254" i="3"/>
  <c r="C1254" i="3"/>
  <c r="B1254" i="3"/>
  <c r="A1254" i="3"/>
  <c r="H1253" i="3"/>
  <c r="G1253" i="3"/>
  <c r="F1253" i="3"/>
  <c r="E1253" i="3"/>
  <c r="D1253" i="3"/>
  <c r="C1253" i="3"/>
  <c r="B1253" i="3"/>
  <c r="A1253" i="3"/>
  <c r="H1252" i="3"/>
  <c r="G1252" i="3"/>
  <c r="F1252" i="3"/>
  <c r="E1252" i="3"/>
  <c r="D1252" i="3"/>
  <c r="C1252" i="3"/>
  <c r="B1252" i="3"/>
  <c r="A1252" i="3"/>
  <c r="H1251" i="3"/>
  <c r="G1251" i="3"/>
  <c r="F1251" i="3"/>
  <c r="E1251" i="3"/>
  <c r="D1251" i="3"/>
  <c r="C1251" i="3"/>
  <c r="B1251" i="3"/>
  <c r="A1251" i="3"/>
  <c r="H1250" i="3"/>
  <c r="G1250" i="3"/>
  <c r="F1250" i="3"/>
  <c r="E1250" i="3"/>
  <c r="D1250" i="3"/>
  <c r="C1250" i="3"/>
  <c r="B1250" i="3"/>
  <c r="A1250" i="3"/>
  <c r="H1249" i="3"/>
  <c r="G1249" i="3"/>
  <c r="F1249" i="3"/>
  <c r="E1249" i="3"/>
  <c r="D1249" i="3"/>
  <c r="C1249" i="3"/>
  <c r="B1249" i="3"/>
  <c r="A1249" i="3"/>
  <c r="H1248" i="3"/>
  <c r="G1248" i="3"/>
  <c r="F1248" i="3"/>
  <c r="E1248" i="3"/>
  <c r="D1248" i="3"/>
  <c r="C1248" i="3"/>
  <c r="B1248" i="3"/>
  <c r="A1248" i="3"/>
  <c r="H1247" i="3"/>
  <c r="G1247" i="3"/>
  <c r="F1247" i="3"/>
  <c r="E1247" i="3"/>
  <c r="D1247" i="3"/>
  <c r="C1247" i="3"/>
  <c r="B1247" i="3"/>
  <c r="A1247" i="3"/>
  <c r="H1246" i="3"/>
  <c r="G1246" i="3"/>
  <c r="F1246" i="3"/>
  <c r="E1246" i="3"/>
  <c r="D1246" i="3"/>
  <c r="C1246" i="3"/>
  <c r="B1246" i="3"/>
  <c r="A1246" i="3"/>
  <c r="H1245" i="3"/>
  <c r="G1245" i="3"/>
  <c r="F1245" i="3"/>
  <c r="E1245" i="3"/>
  <c r="D1245" i="3"/>
  <c r="C1245" i="3"/>
  <c r="B1245" i="3"/>
  <c r="A1245" i="3"/>
  <c r="H1244" i="3"/>
  <c r="G1244" i="3"/>
  <c r="F1244" i="3"/>
  <c r="E1244" i="3"/>
  <c r="D1244" i="3"/>
  <c r="C1244" i="3"/>
  <c r="B1244" i="3"/>
  <c r="A1244" i="3"/>
  <c r="H1243" i="3"/>
  <c r="G1243" i="3"/>
  <c r="F1243" i="3"/>
  <c r="E1243" i="3"/>
  <c r="D1243" i="3"/>
  <c r="C1243" i="3"/>
  <c r="B1243" i="3"/>
  <c r="A1243" i="3"/>
  <c r="H1242" i="3"/>
  <c r="G1242" i="3"/>
  <c r="F1242" i="3"/>
  <c r="E1242" i="3"/>
  <c r="D1242" i="3"/>
  <c r="C1242" i="3"/>
  <c r="B1242" i="3"/>
  <c r="A1242" i="3"/>
  <c r="H1241" i="3"/>
  <c r="G1241" i="3"/>
  <c r="F1241" i="3"/>
  <c r="E1241" i="3"/>
  <c r="D1241" i="3"/>
  <c r="C1241" i="3"/>
  <c r="B1241" i="3"/>
  <c r="A1241" i="3"/>
  <c r="H1240" i="3"/>
  <c r="G1240" i="3"/>
  <c r="F1240" i="3"/>
  <c r="E1240" i="3"/>
  <c r="D1240" i="3"/>
  <c r="C1240" i="3"/>
  <c r="B1240" i="3"/>
  <c r="A1240" i="3"/>
  <c r="H1239" i="3"/>
  <c r="G1239" i="3"/>
  <c r="F1239" i="3"/>
  <c r="E1239" i="3"/>
  <c r="D1239" i="3"/>
  <c r="C1239" i="3"/>
  <c r="B1239" i="3"/>
  <c r="A1239" i="3"/>
  <c r="H1238" i="3"/>
  <c r="G1238" i="3"/>
  <c r="F1238" i="3"/>
  <c r="E1238" i="3"/>
  <c r="D1238" i="3"/>
  <c r="C1238" i="3"/>
  <c r="B1238" i="3"/>
  <c r="A1238" i="3"/>
  <c r="H1237" i="3"/>
  <c r="G1237" i="3"/>
  <c r="F1237" i="3"/>
  <c r="E1237" i="3"/>
  <c r="D1237" i="3"/>
  <c r="C1237" i="3"/>
  <c r="B1237" i="3"/>
  <c r="A1237" i="3"/>
  <c r="H1236" i="3"/>
  <c r="G1236" i="3"/>
  <c r="F1236" i="3"/>
  <c r="E1236" i="3"/>
  <c r="D1236" i="3"/>
  <c r="C1236" i="3"/>
  <c r="B1236" i="3"/>
  <c r="A1236" i="3"/>
  <c r="H1235" i="3"/>
  <c r="G1235" i="3"/>
  <c r="F1235" i="3"/>
  <c r="E1235" i="3"/>
  <c r="D1235" i="3"/>
  <c r="C1235" i="3"/>
  <c r="B1235" i="3"/>
  <c r="A1235" i="3"/>
  <c r="H1234" i="3"/>
  <c r="G1234" i="3"/>
  <c r="F1234" i="3"/>
  <c r="E1234" i="3"/>
  <c r="D1234" i="3"/>
  <c r="C1234" i="3"/>
  <c r="B1234" i="3"/>
  <c r="A1234" i="3"/>
  <c r="H1233" i="3"/>
  <c r="G1233" i="3"/>
  <c r="F1233" i="3"/>
  <c r="E1233" i="3"/>
  <c r="D1233" i="3"/>
  <c r="C1233" i="3"/>
  <c r="B1233" i="3"/>
  <c r="A1233" i="3"/>
  <c r="H1232" i="3"/>
  <c r="G1232" i="3"/>
  <c r="F1232" i="3"/>
  <c r="E1232" i="3"/>
  <c r="D1232" i="3"/>
  <c r="C1232" i="3"/>
  <c r="B1232" i="3"/>
  <c r="A1232" i="3"/>
  <c r="H1231" i="3"/>
  <c r="G1231" i="3"/>
  <c r="F1231" i="3"/>
  <c r="E1231" i="3"/>
  <c r="D1231" i="3"/>
  <c r="C1231" i="3"/>
  <c r="B1231" i="3"/>
  <c r="A1231" i="3"/>
  <c r="H1230" i="3"/>
  <c r="G1230" i="3"/>
  <c r="F1230" i="3"/>
  <c r="E1230" i="3"/>
  <c r="D1230" i="3"/>
  <c r="C1230" i="3"/>
  <c r="B1230" i="3"/>
  <c r="A1230" i="3"/>
  <c r="H1229" i="3"/>
  <c r="G1229" i="3"/>
  <c r="F1229" i="3"/>
  <c r="E1229" i="3"/>
  <c r="D1229" i="3"/>
  <c r="C1229" i="3"/>
  <c r="B1229" i="3"/>
  <c r="A1229" i="3"/>
  <c r="H1228" i="3"/>
  <c r="G1228" i="3"/>
  <c r="F1228" i="3"/>
  <c r="E1228" i="3"/>
  <c r="D1228" i="3"/>
  <c r="C1228" i="3"/>
  <c r="B1228" i="3"/>
  <c r="A1228" i="3"/>
  <c r="H1227" i="3"/>
  <c r="G1227" i="3"/>
  <c r="F1227" i="3"/>
  <c r="E1227" i="3"/>
  <c r="D1227" i="3"/>
  <c r="C1227" i="3"/>
  <c r="B1227" i="3"/>
  <c r="A1227" i="3"/>
  <c r="H1226" i="3"/>
  <c r="G1226" i="3"/>
  <c r="F1226" i="3"/>
  <c r="E1226" i="3"/>
  <c r="D1226" i="3"/>
  <c r="C1226" i="3"/>
  <c r="B1226" i="3"/>
  <c r="A1226" i="3"/>
  <c r="H1225" i="3"/>
  <c r="G1225" i="3"/>
  <c r="F1225" i="3"/>
  <c r="E1225" i="3"/>
  <c r="D1225" i="3"/>
  <c r="C1225" i="3"/>
  <c r="B1225" i="3"/>
  <c r="A1225" i="3"/>
  <c r="H1224" i="3"/>
  <c r="G1224" i="3"/>
  <c r="F1224" i="3"/>
  <c r="E1224" i="3"/>
  <c r="D1224" i="3"/>
  <c r="C1224" i="3"/>
  <c r="B1224" i="3"/>
  <c r="A1224" i="3"/>
  <c r="H1223" i="3"/>
  <c r="G1223" i="3"/>
  <c r="F1223" i="3"/>
  <c r="E1223" i="3"/>
  <c r="D1223" i="3"/>
  <c r="C1223" i="3"/>
  <c r="B1223" i="3"/>
  <c r="A1223" i="3"/>
  <c r="H1222" i="3"/>
  <c r="G1222" i="3"/>
  <c r="F1222" i="3"/>
  <c r="E1222" i="3"/>
  <c r="D1222" i="3"/>
  <c r="C1222" i="3"/>
  <c r="B1222" i="3"/>
  <c r="A1222" i="3"/>
  <c r="H1221" i="3"/>
  <c r="G1221" i="3"/>
  <c r="F1221" i="3"/>
  <c r="E1221" i="3"/>
  <c r="D1221" i="3"/>
  <c r="C1221" i="3"/>
  <c r="B1221" i="3"/>
  <c r="A1221" i="3"/>
  <c r="H1220" i="3"/>
  <c r="G1220" i="3"/>
  <c r="F1220" i="3"/>
  <c r="E1220" i="3"/>
  <c r="D1220" i="3"/>
  <c r="C1220" i="3"/>
  <c r="B1220" i="3"/>
  <c r="A1220" i="3"/>
  <c r="H1219" i="3"/>
  <c r="G1219" i="3"/>
  <c r="F1219" i="3"/>
  <c r="E1219" i="3"/>
  <c r="D1219" i="3"/>
  <c r="C1219" i="3"/>
  <c r="B1219" i="3"/>
  <c r="A1219" i="3"/>
  <c r="H1218" i="3"/>
  <c r="G1218" i="3"/>
  <c r="F1218" i="3"/>
  <c r="E1218" i="3"/>
  <c r="D1218" i="3"/>
  <c r="C1218" i="3"/>
  <c r="B1218" i="3"/>
  <c r="A1218" i="3"/>
  <c r="H1217" i="3"/>
  <c r="G1217" i="3"/>
  <c r="F1217" i="3"/>
  <c r="E1217" i="3"/>
  <c r="D1217" i="3"/>
  <c r="C1217" i="3"/>
  <c r="B1217" i="3"/>
  <c r="A1217" i="3"/>
  <c r="H1216" i="3"/>
  <c r="G1216" i="3"/>
  <c r="F1216" i="3"/>
  <c r="E1216" i="3"/>
  <c r="D1216" i="3"/>
  <c r="C1216" i="3"/>
  <c r="B1216" i="3"/>
  <c r="A1216" i="3"/>
  <c r="H1215" i="3"/>
  <c r="G1215" i="3"/>
  <c r="F1215" i="3"/>
  <c r="E1215" i="3"/>
  <c r="D1215" i="3"/>
  <c r="C1215" i="3"/>
  <c r="B1215" i="3"/>
  <c r="A1215" i="3"/>
  <c r="H1214" i="3"/>
  <c r="G1214" i="3"/>
  <c r="F1214" i="3"/>
  <c r="E1214" i="3"/>
  <c r="D1214" i="3"/>
  <c r="C1214" i="3"/>
  <c r="B1214" i="3"/>
  <c r="A1214" i="3"/>
  <c r="H1213" i="3"/>
  <c r="G1213" i="3"/>
  <c r="F1213" i="3"/>
  <c r="E1213" i="3"/>
  <c r="D1213" i="3"/>
  <c r="C1213" i="3"/>
  <c r="B1213" i="3"/>
  <c r="A1213" i="3"/>
  <c r="H1212" i="3"/>
  <c r="G1212" i="3"/>
  <c r="F1212" i="3"/>
  <c r="E1212" i="3"/>
  <c r="D1212" i="3"/>
  <c r="C1212" i="3"/>
  <c r="B1212" i="3"/>
  <c r="A1212" i="3"/>
  <c r="H1211" i="3"/>
  <c r="G1211" i="3"/>
  <c r="F1211" i="3"/>
  <c r="E1211" i="3"/>
  <c r="D1211" i="3"/>
  <c r="C1211" i="3"/>
  <c r="B1211" i="3"/>
  <c r="A1211" i="3"/>
  <c r="H1210" i="3"/>
  <c r="G1210" i="3"/>
  <c r="F1210" i="3"/>
  <c r="E1210" i="3"/>
  <c r="D1210" i="3"/>
  <c r="C1210" i="3"/>
  <c r="B1210" i="3"/>
  <c r="A1210" i="3"/>
  <c r="H1209" i="3"/>
  <c r="G1209" i="3"/>
  <c r="F1209" i="3"/>
  <c r="E1209" i="3"/>
  <c r="D1209" i="3"/>
  <c r="C1209" i="3"/>
  <c r="B1209" i="3"/>
  <c r="A1209" i="3"/>
  <c r="H1208" i="3"/>
  <c r="G1208" i="3"/>
  <c r="F1208" i="3"/>
  <c r="E1208" i="3"/>
  <c r="D1208" i="3"/>
  <c r="C1208" i="3"/>
  <c r="B1208" i="3"/>
  <c r="A1208" i="3"/>
  <c r="H1207" i="3"/>
  <c r="G1207" i="3"/>
  <c r="F1207" i="3"/>
  <c r="E1207" i="3"/>
  <c r="D1207" i="3"/>
  <c r="C1207" i="3"/>
  <c r="B1207" i="3"/>
  <c r="A1207" i="3"/>
  <c r="H1206" i="3"/>
  <c r="G1206" i="3"/>
  <c r="F1206" i="3"/>
  <c r="E1206" i="3"/>
  <c r="D1206" i="3"/>
  <c r="C1206" i="3"/>
  <c r="B1206" i="3"/>
  <c r="A1206" i="3"/>
  <c r="H1205" i="3"/>
  <c r="G1205" i="3"/>
  <c r="F1205" i="3"/>
  <c r="E1205" i="3"/>
  <c r="D1205" i="3"/>
  <c r="C1205" i="3"/>
  <c r="B1205" i="3"/>
  <c r="A1205" i="3"/>
  <c r="H1204" i="3"/>
  <c r="G1204" i="3"/>
  <c r="F1204" i="3"/>
  <c r="E1204" i="3"/>
  <c r="D1204" i="3"/>
  <c r="C1204" i="3"/>
  <c r="B1204" i="3"/>
  <c r="A1204" i="3"/>
  <c r="H1203" i="3"/>
  <c r="G1203" i="3"/>
  <c r="F1203" i="3"/>
  <c r="E1203" i="3"/>
  <c r="D1203" i="3"/>
  <c r="C1203" i="3"/>
  <c r="B1203" i="3"/>
  <c r="A1203" i="3"/>
  <c r="H1202" i="3"/>
  <c r="G1202" i="3"/>
  <c r="F1202" i="3"/>
  <c r="E1202" i="3"/>
  <c r="D1202" i="3"/>
  <c r="C1202" i="3"/>
  <c r="B1202" i="3"/>
  <c r="A1202" i="3"/>
  <c r="H1201" i="3"/>
  <c r="G1201" i="3"/>
  <c r="F1201" i="3"/>
  <c r="E1201" i="3"/>
  <c r="D1201" i="3"/>
  <c r="C1201" i="3"/>
  <c r="B1201" i="3"/>
  <c r="A1201" i="3"/>
  <c r="H1200" i="3"/>
  <c r="G1200" i="3"/>
  <c r="F1200" i="3"/>
  <c r="E1200" i="3"/>
  <c r="D1200" i="3"/>
  <c r="C1200" i="3"/>
  <c r="B1200" i="3"/>
  <c r="A1200" i="3"/>
  <c r="H1199" i="3"/>
  <c r="G1199" i="3"/>
  <c r="F1199" i="3"/>
  <c r="E1199" i="3"/>
  <c r="D1199" i="3"/>
  <c r="C1199" i="3"/>
  <c r="B1199" i="3"/>
  <c r="A1199" i="3"/>
  <c r="H1198" i="3"/>
  <c r="G1198" i="3"/>
  <c r="F1198" i="3"/>
  <c r="E1198" i="3"/>
  <c r="D1198" i="3"/>
  <c r="C1198" i="3"/>
  <c r="B1198" i="3"/>
  <c r="A1198" i="3"/>
  <c r="H1197" i="3"/>
  <c r="G1197" i="3"/>
  <c r="F1197" i="3"/>
  <c r="E1197" i="3"/>
  <c r="D1197" i="3"/>
  <c r="C1197" i="3"/>
  <c r="B1197" i="3"/>
  <c r="A1197" i="3"/>
  <c r="H1196" i="3"/>
  <c r="G1196" i="3"/>
  <c r="F1196" i="3"/>
  <c r="E1196" i="3"/>
  <c r="D1196" i="3"/>
  <c r="C1196" i="3"/>
  <c r="B1196" i="3"/>
  <c r="A1196" i="3"/>
  <c r="H1195" i="3"/>
  <c r="G1195" i="3"/>
  <c r="F1195" i="3"/>
  <c r="E1195" i="3"/>
  <c r="D1195" i="3"/>
  <c r="C1195" i="3"/>
  <c r="B1195" i="3"/>
  <c r="A1195" i="3"/>
  <c r="H1194" i="3"/>
  <c r="G1194" i="3"/>
  <c r="F1194" i="3"/>
  <c r="E1194" i="3"/>
  <c r="D1194" i="3"/>
  <c r="C1194" i="3"/>
  <c r="B1194" i="3"/>
  <c r="A1194" i="3"/>
  <c r="H1193" i="3"/>
  <c r="G1193" i="3"/>
  <c r="F1193" i="3"/>
  <c r="E1193" i="3"/>
  <c r="D1193" i="3"/>
  <c r="C1193" i="3"/>
  <c r="B1193" i="3"/>
  <c r="A1193" i="3"/>
  <c r="H1192" i="3"/>
  <c r="G1192" i="3"/>
  <c r="F1192" i="3"/>
  <c r="E1192" i="3"/>
  <c r="D1192" i="3"/>
  <c r="C1192" i="3"/>
  <c r="B1192" i="3"/>
  <c r="A1192" i="3"/>
  <c r="H1191" i="3"/>
  <c r="G1191" i="3"/>
  <c r="F1191" i="3"/>
  <c r="E1191" i="3"/>
  <c r="D1191" i="3"/>
  <c r="C1191" i="3"/>
  <c r="B1191" i="3"/>
  <c r="A1191" i="3"/>
  <c r="H1190" i="3"/>
  <c r="G1190" i="3"/>
  <c r="F1190" i="3"/>
  <c r="E1190" i="3"/>
  <c r="D1190" i="3"/>
  <c r="C1190" i="3"/>
  <c r="B1190" i="3"/>
  <c r="A1190" i="3"/>
  <c r="H1189" i="3"/>
  <c r="G1189" i="3"/>
  <c r="F1189" i="3"/>
  <c r="E1189" i="3"/>
  <c r="D1189" i="3"/>
  <c r="C1189" i="3"/>
  <c r="B1189" i="3"/>
  <c r="A1189" i="3"/>
  <c r="H1188" i="3"/>
  <c r="G1188" i="3"/>
  <c r="F1188" i="3"/>
  <c r="E1188" i="3"/>
  <c r="D1188" i="3"/>
  <c r="C1188" i="3"/>
  <c r="B1188" i="3"/>
  <c r="A1188" i="3"/>
  <c r="H1187" i="3"/>
  <c r="G1187" i="3"/>
  <c r="F1187" i="3"/>
  <c r="E1187" i="3"/>
  <c r="D1187" i="3"/>
  <c r="C1187" i="3"/>
  <c r="B1187" i="3"/>
  <c r="A1187" i="3"/>
  <c r="H1186" i="3"/>
  <c r="G1186" i="3"/>
  <c r="F1186" i="3"/>
  <c r="E1186" i="3"/>
  <c r="D1186" i="3"/>
  <c r="C1186" i="3"/>
  <c r="B1186" i="3"/>
  <c r="A1186" i="3"/>
  <c r="H1185" i="3"/>
  <c r="G1185" i="3"/>
  <c r="F1185" i="3"/>
  <c r="E1185" i="3"/>
  <c r="D1185" i="3"/>
  <c r="C1185" i="3"/>
  <c r="B1185" i="3"/>
  <c r="A1185" i="3"/>
  <c r="H1184" i="3"/>
  <c r="G1184" i="3"/>
  <c r="F1184" i="3"/>
  <c r="E1184" i="3"/>
  <c r="D1184" i="3"/>
  <c r="C1184" i="3"/>
  <c r="B1184" i="3"/>
  <c r="A1184" i="3"/>
  <c r="H1183" i="3"/>
  <c r="G1183" i="3"/>
  <c r="F1183" i="3"/>
  <c r="E1183" i="3"/>
  <c r="D1183" i="3"/>
  <c r="C1183" i="3"/>
  <c r="B1183" i="3"/>
  <c r="A1183" i="3"/>
  <c r="H1182" i="3"/>
  <c r="G1182" i="3"/>
  <c r="F1182" i="3"/>
  <c r="E1182" i="3"/>
  <c r="D1182" i="3"/>
  <c r="C1182" i="3"/>
  <c r="B1182" i="3"/>
  <c r="A1182" i="3"/>
  <c r="H1181" i="3"/>
  <c r="G1181" i="3"/>
  <c r="F1181" i="3"/>
  <c r="E1181" i="3"/>
  <c r="D1181" i="3"/>
  <c r="C1181" i="3"/>
  <c r="B1181" i="3"/>
  <c r="A1181" i="3"/>
  <c r="H1180" i="3"/>
  <c r="G1180" i="3"/>
  <c r="F1180" i="3"/>
  <c r="E1180" i="3"/>
  <c r="D1180" i="3"/>
  <c r="C1180" i="3"/>
  <c r="B1180" i="3"/>
  <c r="A1180" i="3"/>
  <c r="H1179" i="3"/>
  <c r="G1179" i="3"/>
  <c r="F1179" i="3"/>
  <c r="E1179" i="3"/>
  <c r="D1179" i="3"/>
  <c r="C1179" i="3"/>
  <c r="B1179" i="3"/>
  <c r="A1179" i="3"/>
  <c r="H1178" i="3"/>
  <c r="G1178" i="3"/>
  <c r="F1178" i="3"/>
  <c r="E1178" i="3"/>
  <c r="D1178" i="3"/>
  <c r="C1178" i="3"/>
  <c r="B1178" i="3"/>
  <c r="A1178" i="3"/>
  <c r="H1177" i="3"/>
  <c r="G1177" i="3"/>
  <c r="F1177" i="3"/>
  <c r="E1177" i="3"/>
  <c r="D1177" i="3"/>
  <c r="C1177" i="3"/>
  <c r="B1177" i="3"/>
  <c r="A1177" i="3"/>
  <c r="H1176" i="3"/>
  <c r="G1176" i="3"/>
  <c r="F1176" i="3"/>
  <c r="E1176" i="3"/>
  <c r="D1176" i="3"/>
  <c r="C1176" i="3"/>
  <c r="B1176" i="3"/>
  <c r="A1176" i="3"/>
  <c r="H1175" i="3"/>
  <c r="G1175" i="3"/>
  <c r="F1175" i="3"/>
  <c r="E1175" i="3"/>
  <c r="D1175" i="3"/>
  <c r="C1175" i="3"/>
  <c r="B1175" i="3"/>
  <c r="A1175" i="3"/>
  <c r="H1174" i="3"/>
  <c r="G1174" i="3"/>
  <c r="F1174" i="3"/>
  <c r="E1174" i="3"/>
  <c r="D1174" i="3"/>
  <c r="C1174" i="3"/>
  <c r="B1174" i="3"/>
  <c r="A1174" i="3"/>
  <c r="H1173" i="3"/>
  <c r="G1173" i="3"/>
  <c r="F1173" i="3"/>
  <c r="E1173" i="3"/>
  <c r="D1173" i="3"/>
  <c r="C1173" i="3"/>
  <c r="B1173" i="3"/>
  <c r="A1173" i="3"/>
  <c r="H1172" i="3"/>
  <c r="G1172" i="3"/>
  <c r="F1172" i="3"/>
  <c r="E1172" i="3"/>
  <c r="D1172" i="3"/>
  <c r="C1172" i="3"/>
  <c r="B1172" i="3"/>
  <c r="A1172" i="3"/>
  <c r="H1171" i="3"/>
  <c r="G1171" i="3"/>
  <c r="F1171" i="3"/>
  <c r="E1171" i="3"/>
  <c r="D1171" i="3"/>
  <c r="C1171" i="3"/>
  <c r="B1171" i="3"/>
  <c r="A1171" i="3"/>
  <c r="H1170" i="3"/>
  <c r="G1170" i="3"/>
  <c r="F1170" i="3"/>
  <c r="E1170" i="3"/>
  <c r="D1170" i="3"/>
  <c r="C1170" i="3"/>
  <c r="B1170" i="3"/>
  <c r="A1170" i="3"/>
  <c r="H1169" i="3"/>
  <c r="G1169" i="3"/>
  <c r="F1169" i="3"/>
  <c r="E1169" i="3"/>
  <c r="D1169" i="3"/>
  <c r="C1169" i="3"/>
  <c r="B1169" i="3"/>
  <c r="A1169" i="3"/>
  <c r="H1168" i="3"/>
  <c r="G1168" i="3"/>
  <c r="F1168" i="3"/>
  <c r="E1168" i="3"/>
  <c r="D1168" i="3"/>
  <c r="C1168" i="3"/>
  <c r="B1168" i="3"/>
  <c r="A1168" i="3"/>
  <c r="H1167" i="3"/>
  <c r="G1167" i="3"/>
  <c r="F1167" i="3"/>
  <c r="E1167" i="3"/>
  <c r="D1167" i="3"/>
  <c r="C1167" i="3"/>
  <c r="B1167" i="3"/>
  <c r="A1167" i="3"/>
  <c r="H1166" i="3"/>
  <c r="G1166" i="3"/>
  <c r="F1166" i="3"/>
  <c r="E1166" i="3"/>
  <c r="D1166" i="3"/>
  <c r="C1166" i="3"/>
  <c r="B1166" i="3"/>
  <c r="A1166" i="3"/>
  <c r="H1165" i="3"/>
  <c r="G1165" i="3"/>
  <c r="F1165" i="3"/>
  <c r="E1165" i="3"/>
  <c r="D1165" i="3"/>
  <c r="C1165" i="3"/>
  <c r="B1165" i="3"/>
  <c r="A1165" i="3"/>
  <c r="H1164" i="3"/>
  <c r="G1164" i="3"/>
  <c r="F1164" i="3"/>
  <c r="E1164" i="3"/>
  <c r="D1164" i="3"/>
  <c r="C1164" i="3"/>
  <c r="B1164" i="3"/>
  <c r="A1164" i="3"/>
  <c r="H1163" i="3"/>
  <c r="G1163" i="3"/>
  <c r="F1163" i="3"/>
  <c r="E1163" i="3"/>
  <c r="D1163" i="3"/>
  <c r="C1163" i="3"/>
  <c r="B1163" i="3"/>
  <c r="A1163" i="3"/>
  <c r="H1162" i="3"/>
  <c r="G1162" i="3"/>
  <c r="F1162" i="3"/>
  <c r="E1162" i="3"/>
  <c r="D1162" i="3"/>
  <c r="C1162" i="3"/>
  <c r="B1162" i="3"/>
  <c r="A1162" i="3"/>
  <c r="H1161" i="3"/>
  <c r="G1161" i="3"/>
  <c r="F1161" i="3"/>
  <c r="E1161" i="3"/>
  <c r="D1161" i="3"/>
  <c r="C1161" i="3"/>
  <c r="B1161" i="3"/>
  <c r="A1161" i="3"/>
  <c r="H1160" i="3"/>
  <c r="G1160" i="3"/>
  <c r="F1160" i="3"/>
  <c r="E1160" i="3"/>
  <c r="D1160" i="3"/>
  <c r="C1160" i="3"/>
  <c r="B1160" i="3"/>
  <c r="A1160" i="3"/>
  <c r="H1159" i="3"/>
  <c r="G1159" i="3"/>
  <c r="F1159" i="3"/>
  <c r="E1159" i="3"/>
  <c r="D1159" i="3"/>
  <c r="C1159" i="3"/>
  <c r="B1159" i="3"/>
  <c r="A1159" i="3"/>
  <c r="H1158" i="3"/>
  <c r="G1158" i="3"/>
  <c r="F1158" i="3"/>
  <c r="E1158" i="3"/>
  <c r="D1158" i="3"/>
  <c r="C1158" i="3"/>
  <c r="B1158" i="3"/>
  <c r="A1158" i="3"/>
  <c r="H1157" i="3"/>
  <c r="G1157" i="3"/>
  <c r="F1157" i="3"/>
  <c r="E1157" i="3"/>
  <c r="D1157" i="3"/>
  <c r="C1157" i="3"/>
  <c r="B1157" i="3"/>
  <c r="A1157" i="3"/>
  <c r="H1156" i="3"/>
  <c r="G1156" i="3"/>
  <c r="F1156" i="3"/>
  <c r="E1156" i="3"/>
  <c r="D1156" i="3"/>
  <c r="C1156" i="3"/>
  <c r="B1156" i="3"/>
  <c r="A1156" i="3"/>
  <c r="H1155" i="3"/>
  <c r="G1155" i="3"/>
  <c r="F1155" i="3"/>
  <c r="E1155" i="3"/>
  <c r="D1155" i="3"/>
  <c r="C1155" i="3"/>
  <c r="B1155" i="3"/>
  <c r="A1155" i="3"/>
  <c r="H1154" i="3"/>
  <c r="G1154" i="3"/>
  <c r="F1154" i="3"/>
  <c r="E1154" i="3"/>
  <c r="D1154" i="3"/>
  <c r="C1154" i="3"/>
  <c r="B1154" i="3"/>
  <c r="A1154" i="3"/>
  <c r="H1153" i="3"/>
  <c r="G1153" i="3"/>
  <c r="F1153" i="3"/>
  <c r="E1153" i="3"/>
  <c r="D1153" i="3"/>
  <c r="C1153" i="3"/>
  <c r="B1153" i="3"/>
  <c r="A1153" i="3"/>
  <c r="H1152" i="3"/>
  <c r="G1152" i="3"/>
  <c r="F1152" i="3"/>
  <c r="E1152" i="3"/>
  <c r="D1152" i="3"/>
  <c r="C1152" i="3"/>
  <c r="B1152" i="3"/>
  <c r="A1152" i="3"/>
  <c r="H1151" i="3"/>
  <c r="G1151" i="3"/>
  <c r="F1151" i="3"/>
  <c r="E1151" i="3"/>
  <c r="D1151" i="3"/>
  <c r="C1151" i="3"/>
  <c r="B1151" i="3"/>
  <c r="A1151" i="3"/>
  <c r="H1150" i="3"/>
  <c r="G1150" i="3"/>
  <c r="F1150" i="3"/>
  <c r="E1150" i="3"/>
  <c r="D1150" i="3"/>
  <c r="C1150" i="3"/>
  <c r="B1150" i="3"/>
  <c r="A1150" i="3"/>
  <c r="H1149" i="3"/>
  <c r="G1149" i="3"/>
  <c r="F1149" i="3"/>
  <c r="E1149" i="3"/>
  <c r="D1149" i="3"/>
  <c r="C1149" i="3"/>
  <c r="B1149" i="3"/>
  <c r="A1149" i="3"/>
  <c r="H1148" i="3"/>
  <c r="G1148" i="3"/>
  <c r="F1148" i="3"/>
  <c r="E1148" i="3"/>
  <c r="D1148" i="3"/>
  <c r="C1148" i="3"/>
  <c r="B1148" i="3"/>
  <c r="A1148" i="3"/>
  <c r="H1147" i="3"/>
  <c r="G1147" i="3"/>
  <c r="F1147" i="3"/>
  <c r="E1147" i="3"/>
  <c r="D1147" i="3"/>
  <c r="C1147" i="3"/>
  <c r="B1147" i="3"/>
  <c r="A1147" i="3"/>
  <c r="H1146" i="3"/>
  <c r="G1146" i="3"/>
  <c r="F1146" i="3"/>
  <c r="E1146" i="3"/>
  <c r="D1146" i="3"/>
  <c r="C1146" i="3"/>
  <c r="B1146" i="3"/>
  <c r="A1146" i="3"/>
  <c r="H1145" i="3"/>
  <c r="G1145" i="3"/>
  <c r="F1145" i="3"/>
  <c r="E1145" i="3"/>
  <c r="D1145" i="3"/>
  <c r="C1145" i="3"/>
  <c r="B1145" i="3"/>
  <c r="A1145" i="3"/>
  <c r="H1144" i="3"/>
  <c r="G1144" i="3"/>
  <c r="F1144" i="3"/>
  <c r="E1144" i="3"/>
  <c r="D1144" i="3"/>
  <c r="C1144" i="3"/>
  <c r="B1144" i="3"/>
  <c r="A1144" i="3"/>
  <c r="H1143" i="3"/>
  <c r="G1143" i="3"/>
  <c r="F1143" i="3"/>
  <c r="E1143" i="3"/>
  <c r="D1143" i="3"/>
  <c r="C1143" i="3"/>
  <c r="B1143" i="3"/>
  <c r="A1143" i="3"/>
  <c r="H1142" i="3"/>
  <c r="G1142" i="3"/>
  <c r="F1142" i="3"/>
  <c r="E1142" i="3"/>
  <c r="D1142" i="3"/>
  <c r="C1142" i="3"/>
  <c r="B1142" i="3"/>
  <c r="A1142" i="3"/>
  <c r="H1141" i="3"/>
  <c r="G1141" i="3"/>
  <c r="F1141" i="3"/>
  <c r="E1141" i="3"/>
  <c r="D1141" i="3"/>
  <c r="C1141" i="3"/>
  <c r="B1141" i="3"/>
  <c r="A1141" i="3"/>
  <c r="H1140" i="3"/>
  <c r="G1140" i="3"/>
  <c r="F1140" i="3"/>
  <c r="E1140" i="3"/>
  <c r="D1140" i="3"/>
  <c r="C1140" i="3"/>
  <c r="B1140" i="3"/>
  <c r="A1140" i="3"/>
  <c r="H1139" i="3"/>
  <c r="G1139" i="3"/>
  <c r="F1139" i="3"/>
  <c r="E1139" i="3"/>
  <c r="D1139" i="3"/>
  <c r="C1139" i="3"/>
  <c r="B1139" i="3"/>
  <c r="A1139" i="3"/>
  <c r="H1138" i="3"/>
  <c r="G1138" i="3"/>
  <c r="F1138" i="3"/>
  <c r="E1138" i="3"/>
  <c r="D1138" i="3"/>
  <c r="C1138" i="3"/>
  <c r="B1138" i="3"/>
  <c r="A1138" i="3"/>
  <c r="H1137" i="3"/>
  <c r="G1137" i="3"/>
  <c r="F1137" i="3"/>
  <c r="E1137" i="3"/>
  <c r="D1137" i="3"/>
  <c r="C1137" i="3"/>
  <c r="B1137" i="3"/>
  <c r="A1137" i="3"/>
  <c r="H1136" i="3"/>
  <c r="G1136" i="3"/>
  <c r="F1136" i="3"/>
  <c r="E1136" i="3"/>
  <c r="D1136" i="3"/>
  <c r="C1136" i="3"/>
  <c r="B1136" i="3"/>
  <c r="A1136" i="3"/>
  <c r="H1135" i="3"/>
  <c r="G1135" i="3"/>
  <c r="F1135" i="3"/>
  <c r="E1135" i="3"/>
  <c r="D1135" i="3"/>
  <c r="C1135" i="3"/>
  <c r="B1135" i="3"/>
  <c r="A1135" i="3"/>
  <c r="H1134" i="3"/>
  <c r="G1134" i="3"/>
  <c r="F1134" i="3"/>
  <c r="E1134" i="3"/>
  <c r="D1134" i="3"/>
  <c r="C1134" i="3"/>
  <c r="B1134" i="3"/>
  <c r="A1134" i="3"/>
  <c r="H1133" i="3"/>
  <c r="G1133" i="3"/>
  <c r="F1133" i="3"/>
  <c r="E1133" i="3"/>
  <c r="D1133" i="3"/>
  <c r="C1133" i="3"/>
  <c r="B1133" i="3"/>
  <c r="A1133" i="3"/>
  <c r="H1132" i="3"/>
  <c r="G1132" i="3"/>
  <c r="F1132" i="3"/>
  <c r="E1132" i="3"/>
  <c r="D1132" i="3"/>
  <c r="C1132" i="3"/>
  <c r="B1132" i="3"/>
  <c r="A1132" i="3"/>
  <c r="H1131" i="3"/>
  <c r="G1131" i="3"/>
  <c r="F1131" i="3"/>
  <c r="E1131" i="3"/>
  <c r="D1131" i="3"/>
  <c r="C1131" i="3"/>
  <c r="B1131" i="3"/>
  <c r="A1131" i="3"/>
  <c r="H1130" i="3"/>
  <c r="G1130" i="3"/>
  <c r="F1130" i="3"/>
  <c r="E1130" i="3"/>
  <c r="D1130" i="3"/>
  <c r="C1130" i="3"/>
  <c r="B1130" i="3"/>
  <c r="A1130" i="3"/>
  <c r="H1129" i="3"/>
  <c r="G1129" i="3"/>
  <c r="F1129" i="3"/>
  <c r="E1129" i="3"/>
  <c r="D1129" i="3"/>
  <c r="C1129" i="3"/>
  <c r="B1129" i="3"/>
  <c r="A1129" i="3"/>
  <c r="H1128" i="3"/>
  <c r="G1128" i="3"/>
  <c r="F1128" i="3"/>
  <c r="E1128" i="3"/>
  <c r="D1128" i="3"/>
  <c r="C1128" i="3"/>
  <c r="B1128" i="3"/>
  <c r="A1128" i="3"/>
  <c r="H1127" i="3"/>
  <c r="G1127" i="3"/>
  <c r="F1127" i="3"/>
  <c r="E1127" i="3"/>
  <c r="D1127" i="3"/>
  <c r="C1127" i="3"/>
  <c r="B1127" i="3"/>
  <c r="A1127" i="3"/>
  <c r="H1126" i="3"/>
  <c r="G1126" i="3"/>
  <c r="F1126" i="3"/>
  <c r="E1126" i="3"/>
  <c r="D1126" i="3"/>
  <c r="C1126" i="3"/>
  <c r="B1126" i="3"/>
  <c r="A1126" i="3"/>
  <c r="H1125" i="3"/>
  <c r="G1125" i="3"/>
  <c r="F1125" i="3"/>
  <c r="E1125" i="3"/>
  <c r="D1125" i="3"/>
  <c r="C1125" i="3"/>
  <c r="B1125" i="3"/>
  <c r="A1125" i="3"/>
  <c r="H1124" i="3"/>
  <c r="G1124" i="3"/>
  <c r="F1124" i="3"/>
  <c r="E1124" i="3"/>
  <c r="D1124" i="3"/>
  <c r="C1124" i="3"/>
  <c r="B1124" i="3"/>
  <c r="A1124" i="3"/>
  <c r="H1123" i="3"/>
  <c r="G1123" i="3"/>
  <c r="F1123" i="3"/>
  <c r="E1123" i="3"/>
  <c r="D1123" i="3"/>
  <c r="C1123" i="3"/>
  <c r="B1123" i="3"/>
  <c r="A1123" i="3"/>
  <c r="H1122" i="3"/>
  <c r="G1122" i="3"/>
  <c r="F1122" i="3"/>
  <c r="E1122" i="3"/>
  <c r="D1122" i="3"/>
  <c r="C1122" i="3"/>
  <c r="B1122" i="3"/>
  <c r="A1122" i="3"/>
  <c r="H1121" i="3"/>
  <c r="G1121" i="3"/>
  <c r="F1121" i="3"/>
  <c r="E1121" i="3"/>
  <c r="D1121" i="3"/>
  <c r="C1121" i="3"/>
  <c r="B1121" i="3"/>
  <c r="A1121" i="3"/>
  <c r="H1120" i="3"/>
  <c r="G1120" i="3"/>
  <c r="F1120" i="3"/>
  <c r="E1120" i="3"/>
  <c r="D1120" i="3"/>
  <c r="C1120" i="3"/>
  <c r="B1120" i="3"/>
  <c r="A1120" i="3"/>
  <c r="H1119" i="3"/>
  <c r="G1119" i="3"/>
  <c r="F1119" i="3"/>
  <c r="E1119" i="3"/>
  <c r="D1119" i="3"/>
  <c r="C1119" i="3"/>
  <c r="B1119" i="3"/>
  <c r="A1119" i="3"/>
  <c r="H1118" i="3"/>
  <c r="G1118" i="3"/>
  <c r="F1118" i="3"/>
  <c r="E1118" i="3"/>
  <c r="D1118" i="3"/>
  <c r="C1118" i="3"/>
  <c r="B1118" i="3"/>
  <c r="A1118" i="3"/>
  <c r="H1117" i="3"/>
  <c r="G1117" i="3"/>
  <c r="F1117" i="3"/>
  <c r="E1117" i="3"/>
  <c r="D1117" i="3"/>
  <c r="C1117" i="3"/>
  <c r="B1117" i="3"/>
  <c r="A1117" i="3"/>
  <c r="H1116" i="3"/>
  <c r="G1116" i="3"/>
  <c r="F1116" i="3"/>
  <c r="E1116" i="3"/>
  <c r="D1116" i="3"/>
  <c r="C1116" i="3"/>
  <c r="B1116" i="3"/>
  <c r="A1116" i="3"/>
  <c r="H1115" i="3"/>
  <c r="G1115" i="3"/>
  <c r="F1115" i="3"/>
  <c r="E1115" i="3"/>
  <c r="D1115" i="3"/>
  <c r="C1115" i="3"/>
  <c r="B1115" i="3"/>
  <c r="A1115" i="3"/>
  <c r="H1114" i="3"/>
  <c r="G1114" i="3"/>
  <c r="F1114" i="3"/>
  <c r="E1114" i="3"/>
  <c r="D1114" i="3"/>
  <c r="C1114" i="3"/>
  <c r="B1114" i="3"/>
  <c r="A1114" i="3"/>
  <c r="H1113" i="3"/>
  <c r="G1113" i="3"/>
  <c r="F1113" i="3"/>
  <c r="E1113" i="3"/>
  <c r="D1113" i="3"/>
  <c r="C1113" i="3"/>
  <c r="B1113" i="3"/>
  <c r="A1113" i="3"/>
  <c r="H1112" i="3"/>
  <c r="G1112" i="3"/>
  <c r="F1112" i="3"/>
  <c r="E1112" i="3"/>
  <c r="D1112" i="3"/>
  <c r="C1112" i="3"/>
  <c r="B1112" i="3"/>
  <c r="A1112" i="3"/>
  <c r="H1111" i="3"/>
  <c r="G1111" i="3"/>
  <c r="F1111" i="3"/>
  <c r="E1111" i="3"/>
  <c r="D1111" i="3"/>
  <c r="C1111" i="3"/>
  <c r="B1111" i="3"/>
  <c r="A1111" i="3"/>
  <c r="H1110" i="3"/>
  <c r="G1110" i="3"/>
  <c r="F1110" i="3"/>
  <c r="E1110" i="3"/>
  <c r="D1110" i="3"/>
  <c r="C1110" i="3"/>
  <c r="B1110" i="3"/>
  <c r="A1110" i="3"/>
  <c r="H1109" i="3"/>
  <c r="G1109" i="3"/>
  <c r="F1109" i="3"/>
  <c r="E1109" i="3"/>
  <c r="D1109" i="3"/>
  <c r="C1109" i="3"/>
  <c r="B1109" i="3"/>
  <c r="A1109" i="3"/>
  <c r="H1108" i="3"/>
  <c r="G1108" i="3"/>
  <c r="F1108" i="3"/>
  <c r="E1108" i="3"/>
  <c r="D1108" i="3"/>
  <c r="C1108" i="3"/>
  <c r="B1108" i="3"/>
  <c r="A1108" i="3"/>
  <c r="H1107" i="3"/>
  <c r="G1107" i="3"/>
  <c r="F1107" i="3"/>
  <c r="E1107" i="3"/>
  <c r="D1107" i="3"/>
  <c r="C1107" i="3"/>
  <c r="B1107" i="3"/>
  <c r="A1107" i="3"/>
  <c r="H1106" i="3"/>
  <c r="G1106" i="3"/>
  <c r="F1106" i="3"/>
  <c r="E1106" i="3"/>
  <c r="D1106" i="3"/>
  <c r="C1106" i="3"/>
  <c r="B1106" i="3"/>
  <c r="A1106" i="3"/>
  <c r="H1105" i="3"/>
  <c r="G1105" i="3"/>
  <c r="F1105" i="3"/>
  <c r="E1105" i="3"/>
  <c r="D1105" i="3"/>
  <c r="C1105" i="3"/>
  <c r="B1105" i="3"/>
  <c r="A1105" i="3"/>
  <c r="H1104" i="3"/>
  <c r="G1104" i="3"/>
  <c r="F1104" i="3"/>
  <c r="E1104" i="3"/>
  <c r="D1104" i="3"/>
  <c r="C1104" i="3"/>
  <c r="B1104" i="3"/>
  <c r="A1104" i="3"/>
  <c r="H1103" i="3"/>
  <c r="G1103" i="3"/>
  <c r="F1103" i="3"/>
  <c r="E1103" i="3"/>
  <c r="D1103" i="3"/>
  <c r="C1103" i="3"/>
  <c r="B1103" i="3"/>
  <c r="A1103" i="3"/>
  <c r="H1102" i="3"/>
  <c r="G1102" i="3"/>
  <c r="F1102" i="3"/>
  <c r="E1102" i="3"/>
  <c r="D1102" i="3"/>
  <c r="C1102" i="3"/>
  <c r="B1102" i="3"/>
  <c r="A1102" i="3"/>
  <c r="H1101" i="3"/>
  <c r="G1101" i="3"/>
  <c r="F1101" i="3"/>
  <c r="E1101" i="3"/>
  <c r="D1101" i="3"/>
  <c r="C1101" i="3"/>
  <c r="B1101" i="3"/>
  <c r="A1101" i="3"/>
  <c r="H1100" i="3"/>
  <c r="G1100" i="3"/>
  <c r="F1100" i="3"/>
  <c r="E1100" i="3"/>
  <c r="D1100" i="3"/>
  <c r="C1100" i="3"/>
  <c r="B1100" i="3"/>
  <c r="A1100" i="3"/>
  <c r="H1099" i="3"/>
  <c r="G1099" i="3"/>
  <c r="F1099" i="3"/>
  <c r="E1099" i="3"/>
  <c r="D1099" i="3"/>
  <c r="C1099" i="3"/>
  <c r="B1099" i="3"/>
  <c r="A1099" i="3"/>
  <c r="H1098" i="3"/>
  <c r="G1098" i="3"/>
  <c r="F1098" i="3"/>
  <c r="E1098" i="3"/>
  <c r="D1098" i="3"/>
  <c r="C1098" i="3"/>
  <c r="B1098" i="3"/>
  <c r="A1098" i="3"/>
  <c r="H1097" i="3"/>
  <c r="G1097" i="3"/>
  <c r="F1097" i="3"/>
  <c r="E1097" i="3"/>
  <c r="D1097" i="3"/>
  <c r="C1097" i="3"/>
  <c r="B1097" i="3"/>
  <c r="A1097" i="3"/>
  <c r="H1096" i="3"/>
  <c r="G1096" i="3"/>
  <c r="F1096" i="3"/>
  <c r="E1096" i="3"/>
  <c r="D1096" i="3"/>
  <c r="C1096" i="3"/>
  <c r="B1096" i="3"/>
  <c r="A1096" i="3"/>
  <c r="H1095" i="3"/>
  <c r="G1095" i="3"/>
  <c r="F1095" i="3"/>
  <c r="E1095" i="3"/>
  <c r="D1095" i="3"/>
  <c r="C1095" i="3"/>
  <c r="B1095" i="3"/>
  <c r="A1095" i="3"/>
  <c r="H1094" i="3"/>
  <c r="G1094" i="3"/>
  <c r="F1094" i="3"/>
  <c r="E1094" i="3"/>
  <c r="D1094" i="3"/>
  <c r="C1094" i="3"/>
  <c r="B1094" i="3"/>
  <c r="A1094" i="3"/>
  <c r="H1093" i="3"/>
  <c r="G1093" i="3"/>
  <c r="F1093" i="3"/>
  <c r="E1093" i="3"/>
  <c r="D1093" i="3"/>
  <c r="C1093" i="3"/>
  <c r="B1093" i="3"/>
  <c r="A1093" i="3"/>
  <c r="H1092" i="3"/>
  <c r="G1092" i="3"/>
  <c r="F1092" i="3"/>
  <c r="E1092" i="3"/>
  <c r="D1092" i="3"/>
  <c r="C1092" i="3"/>
  <c r="B1092" i="3"/>
  <c r="A1092" i="3"/>
  <c r="H1091" i="3"/>
  <c r="G1091" i="3"/>
  <c r="F1091" i="3"/>
  <c r="E1091" i="3"/>
  <c r="D1091" i="3"/>
  <c r="C1091" i="3"/>
  <c r="B1091" i="3"/>
  <c r="A1091" i="3"/>
  <c r="H1090" i="3"/>
  <c r="G1090" i="3"/>
  <c r="F1090" i="3"/>
  <c r="E1090" i="3"/>
  <c r="D1090" i="3"/>
  <c r="C1090" i="3"/>
  <c r="B1090" i="3"/>
  <c r="A1090" i="3"/>
  <c r="H1089" i="3"/>
  <c r="G1089" i="3"/>
  <c r="F1089" i="3"/>
  <c r="E1089" i="3"/>
  <c r="D1089" i="3"/>
  <c r="C1089" i="3"/>
  <c r="B1089" i="3"/>
  <c r="A1089" i="3"/>
  <c r="H1088" i="3"/>
  <c r="G1088" i="3"/>
  <c r="F1088" i="3"/>
  <c r="E1088" i="3"/>
  <c r="D1088" i="3"/>
  <c r="C1088" i="3"/>
  <c r="B1088" i="3"/>
  <c r="A1088" i="3"/>
  <c r="H1087" i="3"/>
  <c r="G1087" i="3"/>
  <c r="F1087" i="3"/>
  <c r="E1087" i="3"/>
  <c r="D1087" i="3"/>
  <c r="C1087" i="3"/>
  <c r="B1087" i="3"/>
  <c r="A1087" i="3"/>
  <c r="H1086" i="3"/>
  <c r="G1086" i="3"/>
  <c r="F1086" i="3"/>
  <c r="E1086" i="3"/>
  <c r="D1086" i="3"/>
  <c r="C1086" i="3"/>
  <c r="B1086" i="3"/>
  <c r="A1086" i="3"/>
  <c r="H1085" i="3"/>
  <c r="G1085" i="3"/>
  <c r="F1085" i="3"/>
  <c r="E1085" i="3"/>
  <c r="D1085" i="3"/>
  <c r="C1085" i="3"/>
  <c r="B1085" i="3"/>
  <c r="A1085" i="3"/>
  <c r="H1084" i="3"/>
  <c r="G1084" i="3"/>
  <c r="F1084" i="3"/>
  <c r="E1084" i="3"/>
  <c r="D1084" i="3"/>
  <c r="C1084" i="3"/>
  <c r="B1084" i="3"/>
  <c r="A1084" i="3"/>
  <c r="H1083" i="3"/>
  <c r="G1083" i="3"/>
  <c r="F1083" i="3"/>
  <c r="E1083" i="3"/>
  <c r="D1083" i="3"/>
  <c r="C1083" i="3"/>
  <c r="B1083" i="3"/>
  <c r="A1083" i="3"/>
  <c r="H1082" i="3"/>
  <c r="G1082" i="3"/>
  <c r="F1082" i="3"/>
  <c r="E1082" i="3"/>
  <c r="D1082" i="3"/>
  <c r="C1082" i="3"/>
  <c r="B1082" i="3"/>
  <c r="A1082" i="3"/>
  <c r="H1081" i="3"/>
  <c r="G1081" i="3"/>
  <c r="F1081" i="3"/>
  <c r="E1081" i="3"/>
  <c r="D1081" i="3"/>
  <c r="C1081" i="3"/>
  <c r="B1081" i="3"/>
  <c r="A1081" i="3"/>
  <c r="H1080" i="3"/>
  <c r="G1080" i="3"/>
  <c r="F1080" i="3"/>
  <c r="E1080" i="3"/>
  <c r="D1080" i="3"/>
  <c r="C1080" i="3"/>
  <c r="B1080" i="3"/>
  <c r="A1080" i="3"/>
  <c r="H1079" i="3"/>
  <c r="G1079" i="3"/>
  <c r="F1079" i="3"/>
  <c r="E1079" i="3"/>
  <c r="D1079" i="3"/>
  <c r="C1079" i="3"/>
  <c r="B1079" i="3"/>
  <c r="A1079" i="3"/>
  <c r="H1078" i="3"/>
  <c r="G1078" i="3"/>
  <c r="F1078" i="3"/>
  <c r="E1078" i="3"/>
  <c r="D1078" i="3"/>
  <c r="C1078" i="3"/>
  <c r="B1078" i="3"/>
  <c r="A1078" i="3"/>
  <c r="H1077" i="3"/>
  <c r="G1077" i="3"/>
  <c r="F1077" i="3"/>
  <c r="E1077" i="3"/>
  <c r="D1077" i="3"/>
  <c r="C1077" i="3"/>
  <c r="B1077" i="3"/>
  <c r="A1077" i="3"/>
  <c r="H1076" i="3"/>
  <c r="G1076" i="3"/>
  <c r="F1076" i="3"/>
  <c r="E1076" i="3"/>
  <c r="D1076" i="3"/>
  <c r="C1076" i="3"/>
  <c r="B1076" i="3"/>
  <c r="A1076" i="3"/>
  <c r="H1075" i="3"/>
  <c r="G1075" i="3"/>
  <c r="F1075" i="3"/>
  <c r="E1075" i="3"/>
  <c r="D1075" i="3"/>
  <c r="C1075" i="3"/>
  <c r="B1075" i="3"/>
  <c r="A1075" i="3"/>
  <c r="H1074" i="3"/>
  <c r="G1074" i="3"/>
  <c r="F1074" i="3"/>
  <c r="E1074" i="3"/>
  <c r="D1074" i="3"/>
  <c r="C1074" i="3"/>
  <c r="B1074" i="3"/>
  <c r="A1074" i="3"/>
  <c r="H1073" i="3"/>
  <c r="G1073" i="3"/>
  <c r="F1073" i="3"/>
  <c r="E1073" i="3"/>
  <c r="D1073" i="3"/>
  <c r="C1073" i="3"/>
  <c r="B1073" i="3"/>
  <c r="A1073" i="3"/>
  <c r="H1072" i="3"/>
  <c r="G1072" i="3"/>
  <c r="F1072" i="3"/>
  <c r="E1072" i="3"/>
  <c r="D1072" i="3"/>
  <c r="C1072" i="3"/>
  <c r="B1072" i="3"/>
  <c r="A1072" i="3"/>
  <c r="H1071" i="3"/>
  <c r="G1071" i="3"/>
  <c r="F1071" i="3"/>
  <c r="E1071" i="3"/>
  <c r="D1071" i="3"/>
  <c r="C1071" i="3"/>
  <c r="B1071" i="3"/>
  <c r="A1071" i="3"/>
  <c r="H1070" i="3"/>
  <c r="G1070" i="3"/>
  <c r="F1070" i="3"/>
  <c r="E1070" i="3"/>
  <c r="D1070" i="3"/>
  <c r="C1070" i="3"/>
  <c r="B1070" i="3"/>
  <c r="A1070" i="3"/>
  <c r="H1069" i="3"/>
  <c r="G1069" i="3"/>
  <c r="F1069" i="3"/>
  <c r="E1069" i="3"/>
  <c r="D1069" i="3"/>
  <c r="C1069" i="3"/>
  <c r="B1069" i="3"/>
  <c r="A1069" i="3"/>
  <c r="H1068" i="3"/>
  <c r="G1068" i="3"/>
  <c r="F1068" i="3"/>
  <c r="E1068" i="3"/>
  <c r="D1068" i="3"/>
  <c r="C1068" i="3"/>
  <c r="B1068" i="3"/>
  <c r="A1068" i="3"/>
  <c r="H1067" i="3"/>
  <c r="G1067" i="3"/>
  <c r="F1067" i="3"/>
  <c r="E1067" i="3"/>
  <c r="D1067" i="3"/>
  <c r="C1067" i="3"/>
  <c r="B1067" i="3"/>
  <c r="A1067" i="3"/>
  <c r="H1066" i="3"/>
  <c r="G1066" i="3"/>
  <c r="F1066" i="3"/>
  <c r="E1066" i="3"/>
  <c r="D1066" i="3"/>
  <c r="C1066" i="3"/>
  <c r="B1066" i="3"/>
  <c r="A1066" i="3"/>
  <c r="H1065" i="3"/>
  <c r="G1065" i="3"/>
  <c r="F1065" i="3"/>
  <c r="E1065" i="3"/>
  <c r="D1065" i="3"/>
  <c r="C1065" i="3"/>
  <c r="B1065" i="3"/>
  <c r="A1065" i="3"/>
  <c r="H1064" i="3"/>
  <c r="G1064" i="3"/>
  <c r="F1064" i="3"/>
  <c r="E1064" i="3"/>
  <c r="D1064" i="3"/>
  <c r="C1064" i="3"/>
  <c r="B1064" i="3"/>
  <c r="A1064" i="3"/>
  <c r="H1063" i="3"/>
  <c r="G1063" i="3"/>
  <c r="F1063" i="3"/>
  <c r="E1063" i="3"/>
  <c r="D1063" i="3"/>
  <c r="C1063" i="3"/>
  <c r="B1063" i="3"/>
  <c r="A1063" i="3"/>
  <c r="H1062" i="3"/>
  <c r="G1062" i="3"/>
  <c r="F1062" i="3"/>
  <c r="E1062" i="3"/>
  <c r="D1062" i="3"/>
  <c r="C1062" i="3"/>
  <c r="B1062" i="3"/>
  <c r="A1062" i="3"/>
  <c r="H1061" i="3"/>
  <c r="G1061" i="3"/>
  <c r="F1061" i="3"/>
  <c r="E1061" i="3"/>
  <c r="D1061" i="3"/>
  <c r="C1061" i="3"/>
  <c r="B1061" i="3"/>
  <c r="A1061" i="3"/>
  <c r="H1060" i="3"/>
  <c r="G1060" i="3"/>
  <c r="F1060" i="3"/>
  <c r="E1060" i="3"/>
  <c r="D1060" i="3"/>
  <c r="C1060" i="3"/>
  <c r="B1060" i="3"/>
  <c r="A1060" i="3"/>
  <c r="H1059" i="3"/>
  <c r="G1059" i="3"/>
  <c r="F1059" i="3"/>
  <c r="E1059" i="3"/>
  <c r="D1059" i="3"/>
  <c r="C1059" i="3"/>
  <c r="B1059" i="3"/>
  <c r="A1059" i="3"/>
  <c r="H1058" i="3"/>
  <c r="G1058" i="3"/>
  <c r="F1058" i="3"/>
  <c r="E1058" i="3"/>
  <c r="D1058" i="3"/>
  <c r="C1058" i="3"/>
  <c r="B1058" i="3"/>
  <c r="A1058" i="3"/>
  <c r="H1057" i="3"/>
  <c r="G1057" i="3"/>
  <c r="F1057" i="3"/>
  <c r="E1057" i="3"/>
  <c r="D1057" i="3"/>
  <c r="C1057" i="3"/>
  <c r="B1057" i="3"/>
  <c r="A1057" i="3"/>
  <c r="H1056" i="3"/>
  <c r="G1056" i="3"/>
  <c r="F1056" i="3"/>
  <c r="E1056" i="3"/>
  <c r="D1056" i="3"/>
  <c r="C1056" i="3"/>
  <c r="B1056" i="3"/>
  <c r="A1056" i="3"/>
  <c r="H1055" i="3"/>
  <c r="G1055" i="3"/>
  <c r="F1055" i="3"/>
  <c r="E1055" i="3"/>
  <c r="D1055" i="3"/>
  <c r="C1055" i="3"/>
  <c r="B1055" i="3"/>
  <c r="A1055" i="3"/>
  <c r="H1054" i="3"/>
  <c r="G1054" i="3"/>
  <c r="F1054" i="3"/>
  <c r="E1054" i="3"/>
  <c r="D1054" i="3"/>
  <c r="C1054" i="3"/>
  <c r="B1054" i="3"/>
  <c r="A1054" i="3"/>
  <c r="H1053" i="3"/>
  <c r="G1053" i="3"/>
  <c r="F1053" i="3"/>
  <c r="E1053" i="3"/>
  <c r="D1053" i="3"/>
  <c r="C1053" i="3"/>
  <c r="B1053" i="3"/>
  <c r="A1053" i="3"/>
  <c r="H1052" i="3"/>
  <c r="G1052" i="3"/>
  <c r="F1052" i="3"/>
  <c r="E1052" i="3"/>
  <c r="D1052" i="3"/>
  <c r="C1052" i="3"/>
  <c r="B1052" i="3"/>
  <c r="A1052" i="3"/>
  <c r="H1051" i="3"/>
  <c r="G1051" i="3"/>
  <c r="F1051" i="3"/>
  <c r="E1051" i="3"/>
  <c r="D1051" i="3"/>
  <c r="C1051" i="3"/>
  <c r="B1051" i="3"/>
  <c r="A1051" i="3"/>
  <c r="H1050" i="3"/>
  <c r="G1050" i="3"/>
  <c r="F1050" i="3"/>
  <c r="E1050" i="3"/>
  <c r="D1050" i="3"/>
  <c r="C1050" i="3"/>
  <c r="B1050" i="3"/>
  <c r="A1050" i="3"/>
  <c r="H1049" i="3"/>
  <c r="G1049" i="3"/>
  <c r="F1049" i="3"/>
  <c r="E1049" i="3"/>
  <c r="D1049" i="3"/>
  <c r="C1049" i="3"/>
  <c r="B1049" i="3"/>
  <c r="A1049" i="3"/>
  <c r="H1048" i="3"/>
  <c r="G1048" i="3"/>
  <c r="F1048" i="3"/>
  <c r="E1048" i="3"/>
  <c r="D1048" i="3"/>
  <c r="C1048" i="3"/>
  <c r="B1048" i="3"/>
  <c r="A1048" i="3"/>
  <c r="H1047" i="3"/>
  <c r="G1047" i="3"/>
  <c r="F1047" i="3"/>
  <c r="E1047" i="3"/>
  <c r="D1047" i="3"/>
  <c r="C1047" i="3"/>
  <c r="B1047" i="3"/>
  <c r="A1047" i="3"/>
  <c r="H1046" i="3"/>
  <c r="G1046" i="3"/>
  <c r="F1046" i="3"/>
  <c r="E1046" i="3"/>
  <c r="D1046" i="3"/>
  <c r="C1046" i="3"/>
  <c r="B1046" i="3"/>
  <c r="A1046" i="3"/>
  <c r="H1045" i="3"/>
  <c r="G1045" i="3"/>
  <c r="F1045" i="3"/>
  <c r="E1045" i="3"/>
  <c r="D1045" i="3"/>
  <c r="C1045" i="3"/>
  <c r="B1045" i="3"/>
  <c r="A1045" i="3"/>
  <c r="H1044" i="3"/>
  <c r="G1044" i="3"/>
  <c r="F1044" i="3"/>
  <c r="E1044" i="3"/>
  <c r="D1044" i="3"/>
  <c r="C1044" i="3"/>
  <c r="B1044" i="3"/>
  <c r="A1044" i="3"/>
  <c r="H1043" i="3"/>
  <c r="G1043" i="3"/>
  <c r="F1043" i="3"/>
  <c r="E1043" i="3"/>
  <c r="D1043" i="3"/>
  <c r="C1043" i="3"/>
  <c r="B1043" i="3"/>
  <c r="A1043" i="3"/>
  <c r="H1042" i="3"/>
  <c r="G1042" i="3"/>
  <c r="F1042" i="3"/>
  <c r="E1042" i="3"/>
  <c r="D1042" i="3"/>
  <c r="C1042" i="3"/>
  <c r="B1042" i="3"/>
  <c r="A1042" i="3"/>
  <c r="H1041" i="3"/>
  <c r="G1041" i="3"/>
  <c r="F1041" i="3"/>
  <c r="E1041" i="3"/>
  <c r="D1041" i="3"/>
  <c r="C1041" i="3"/>
  <c r="B1041" i="3"/>
  <c r="A1041" i="3"/>
  <c r="H1040" i="3"/>
  <c r="G1040" i="3"/>
  <c r="F1040" i="3"/>
  <c r="E1040" i="3"/>
  <c r="D1040" i="3"/>
  <c r="C1040" i="3"/>
  <c r="B1040" i="3"/>
  <c r="A1040" i="3"/>
  <c r="H1039" i="3"/>
  <c r="G1039" i="3"/>
  <c r="F1039" i="3"/>
  <c r="E1039" i="3"/>
  <c r="D1039" i="3"/>
  <c r="C1039" i="3"/>
  <c r="B1039" i="3"/>
  <c r="A1039" i="3"/>
  <c r="H1038" i="3"/>
  <c r="G1038" i="3"/>
  <c r="F1038" i="3"/>
  <c r="E1038" i="3"/>
  <c r="D1038" i="3"/>
  <c r="C1038" i="3"/>
  <c r="B1038" i="3"/>
  <c r="A1038" i="3"/>
  <c r="H1037" i="3"/>
  <c r="G1037" i="3"/>
  <c r="F1037" i="3"/>
  <c r="E1037" i="3"/>
  <c r="D1037" i="3"/>
  <c r="C1037" i="3"/>
  <c r="B1037" i="3"/>
  <c r="A1037" i="3"/>
  <c r="H1036" i="3"/>
  <c r="G1036" i="3"/>
  <c r="F1036" i="3"/>
  <c r="E1036" i="3"/>
  <c r="D1036" i="3"/>
  <c r="C1036" i="3"/>
  <c r="B1036" i="3"/>
  <c r="A1036" i="3"/>
  <c r="H1035" i="3"/>
  <c r="G1035" i="3"/>
  <c r="F1035" i="3"/>
  <c r="E1035" i="3"/>
  <c r="D1035" i="3"/>
  <c r="C1035" i="3"/>
  <c r="B1035" i="3"/>
  <c r="A1035" i="3"/>
  <c r="H1034" i="3"/>
  <c r="G1034" i="3"/>
  <c r="F1034" i="3"/>
  <c r="E1034" i="3"/>
  <c r="D1034" i="3"/>
  <c r="C1034" i="3"/>
  <c r="B1034" i="3"/>
  <c r="A1034" i="3"/>
  <c r="H1033" i="3"/>
  <c r="G1033" i="3"/>
  <c r="F1033" i="3"/>
  <c r="E1033" i="3"/>
  <c r="D1033" i="3"/>
  <c r="C1033" i="3"/>
  <c r="B1033" i="3"/>
  <c r="A1033" i="3"/>
  <c r="H1032" i="3"/>
  <c r="G1032" i="3"/>
  <c r="F1032" i="3"/>
  <c r="E1032" i="3"/>
  <c r="D1032" i="3"/>
  <c r="C1032" i="3"/>
  <c r="B1032" i="3"/>
  <c r="A1032" i="3"/>
  <c r="H1031" i="3"/>
  <c r="G1031" i="3"/>
  <c r="F1031" i="3"/>
  <c r="E1031" i="3"/>
  <c r="D1031" i="3"/>
  <c r="C1031" i="3"/>
  <c r="B1031" i="3"/>
  <c r="A1031" i="3"/>
  <c r="H1030" i="3"/>
  <c r="G1030" i="3"/>
  <c r="F1030" i="3"/>
  <c r="E1030" i="3"/>
  <c r="D1030" i="3"/>
  <c r="C1030" i="3"/>
  <c r="B1030" i="3"/>
  <c r="A1030" i="3"/>
  <c r="H1029" i="3"/>
  <c r="G1029" i="3"/>
  <c r="F1029" i="3"/>
  <c r="E1029" i="3"/>
  <c r="D1029" i="3"/>
  <c r="C1029" i="3"/>
  <c r="B1029" i="3"/>
  <c r="A1029" i="3"/>
  <c r="H1028" i="3"/>
  <c r="G1028" i="3"/>
  <c r="F1028" i="3"/>
  <c r="E1028" i="3"/>
  <c r="D1028" i="3"/>
  <c r="C1028" i="3"/>
  <c r="B1028" i="3"/>
  <c r="A1028" i="3"/>
  <c r="H1027" i="3"/>
  <c r="G1027" i="3"/>
  <c r="F1027" i="3"/>
  <c r="E1027" i="3"/>
  <c r="D1027" i="3"/>
  <c r="C1027" i="3"/>
  <c r="B1027" i="3"/>
  <c r="A1027" i="3"/>
  <c r="H1026" i="3"/>
  <c r="G1026" i="3"/>
  <c r="F1026" i="3"/>
  <c r="E1026" i="3"/>
  <c r="D1026" i="3"/>
  <c r="C1026" i="3"/>
  <c r="B1026" i="3"/>
  <c r="A1026" i="3"/>
  <c r="H1025" i="3"/>
  <c r="G1025" i="3"/>
  <c r="F1025" i="3"/>
  <c r="E1025" i="3"/>
  <c r="D1025" i="3"/>
  <c r="C1025" i="3"/>
  <c r="B1025" i="3"/>
  <c r="A1025" i="3"/>
  <c r="H1024" i="3"/>
  <c r="G1024" i="3"/>
  <c r="F1024" i="3"/>
  <c r="E1024" i="3"/>
  <c r="D1024" i="3"/>
  <c r="C1024" i="3"/>
  <c r="B1024" i="3"/>
  <c r="A1024" i="3"/>
  <c r="H1023" i="3"/>
  <c r="G1023" i="3"/>
  <c r="F1023" i="3"/>
  <c r="E1023" i="3"/>
  <c r="D1023" i="3"/>
  <c r="C1023" i="3"/>
  <c r="B1023" i="3"/>
  <c r="A1023" i="3"/>
  <c r="H1022" i="3"/>
  <c r="G1022" i="3"/>
  <c r="F1022" i="3"/>
  <c r="E1022" i="3"/>
  <c r="D1022" i="3"/>
  <c r="C1022" i="3"/>
  <c r="B1022" i="3"/>
  <c r="A1022" i="3"/>
  <c r="H1021" i="3"/>
  <c r="G1021" i="3"/>
  <c r="F1021" i="3"/>
  <c r="E1021" i="3"/>
  <c r="D1021" i="3"/>
  <c r="C1021" i="3"/>
  <c r="B1021" i="3"/>
  <c r="A1021" i="3"/>
  <c r="H1020" i="3"/>
  <c r="G1020" i="3"/>
  <c r="F1020" i="3"/>
  <c r="E1020" i="3"/>
  <c r="D1020" i="3"/>
  <c r="C1020" i="3"/>
  <c r="B1020" i="3"/>
  <c r="A1020" i="3"/>
  <c r="H1019" i="3"/>
  <c r="G1019" i="3"/>
  <c r="F1019" i="3"/>
  <c r="E1019" i="3"/>
  <c r="D1019" i="3"/>
  <c r="C1019" i="3"/>
  <c r="B1019" i="3"/>
  <c r="A1019" i="3"/>
  <c r="H1018" i="3"/>
  <c r="G1018" i="3"/>
  <c r="F1018" i="3"/>
  <c r="E1018" i="3"/>
  <c r="D1018" i="3"/>
  <c r="C1018" i="3"/>
  <c r="B1018" i="3"/>
  <c r="A1018" i="3"/>
  <c r="H1017" i="3"/>
  <c r="G1017" i="3"/>
  <c r="F1017" i="3"/>
  <c r="E1017" i="3"/>
  <c r="D1017" i="3"/>
  <c r="C1017" i="3"/>
  <c r="B1017" i="3"/>
  <c r="A1017" i="3"/>
  <c r="H1016" i="3"/>
  <c r="G1016" i="3"/>
  <c r="F1016" i="3"/>
  <c r="E1016" i="3"/>
  <c r="D1016" i="3"/>
  <c r="C1016" i="3"/>
  <c r="B1016" i="3"/>
  <c r="A1016" i="3"/>
  <c r="H1015" i="3"/>
  <c r="G1015" i="3"/>
  <c r="F1015" i="3"/>
  <c r="E1015" i="3"/>
  <c r="D1015" i="3"/>
  <c r="C1015" i="3"/>
  <c r="B1015" i="3"/>
  <c r="A1015" i="3"/>
  <c r="H1014" i="3"/>
  <c r="G1014" i="3"/>
  <c r="F1014" i="3"/>
  <c r="E1014" i="3"/>
  <c r="D1014" i="3"/>
  <c r="C1014" i="3"/>
  <c r="B1014" i="3"/>
  <c r="A1014" i="3"/>
  <c r="H1013" i="3"/>
  <c r="G1013" i="3"/>
  <c r="F1013" i="3"/>
  <c r="E1013" i="3"/>
  <c r="D1013" i="3"/>
  <c r="C1013" i="3"/>
  <c r="B1013" i="3"/>
  <c r="A1013" i="3"/>
  <c r="H1012" i="3"/>
  <c r="G1012" i="3"/>
  <c r="F1012" i="3"/>
  <c r="E1012" i="3"/>
  <c r="D1012" i="3"/>
  <c r="C1012" i="3"/>
  <c r="B1012" i="3"/>
  <c r="A1012" i="3"/>
  <c r="H1011" i="3"/>
  <c r="G1011" i="3"/>
  <c r="F1011" i="3"/>
  <c r="E1011" i="3"/>
  <c r="D1011" i="3"/>
  <c r="C1011" i="3"/>
  <c r="B1011" i="3"/>
  <c r="A1011" i="3"/>
  <c r="H1010" i="3"/>
  <c r="G1010" i="3"/>
  <c r="F1010" i="3"/>
  <c r="E1010" i="3"/>
  <c r="D1010" i="3"/>
  <c r="C1010" i="3"/>
  <c r="B1010" i="3"/>
  <c r="A1010" i="3"/>
  <c r="H1009" i="3"/>
  <c r="G1009" i="3"/>
  <c r="F1009" i="3"/>
  <c r="E1009" i="3"/>
  <c r="D1009" i="3"/>
  <c r="C1009" i="3"/>
  <c r="B1009" i="3"/>
  <c r="A1009" i="3"/>
  <c r="H1008" i="3"/>
  <c r="G1008" i="3"/>
  <c r="F1008" i="3"/>
  <c r="E1008" i="3"/>
  <c r="D1008" i="3"/>
  <c r="C1008" i="3"/>
  <c r="B1008" i="3"/>
  <c r="A1008" i="3"/>
  <c r="H1007" i="3"/>
  <c r="G1007" i="3"/>
  <c r="F1007" i="3"/>
  <c r="E1007" i="3"/>
  <c r="D1007" i="3"/>
  <c r="C1007" i="3"/>
  <c r="B1007" i="3"/>
  <c r="A1007" i="3"/>
  <c r="H1006" i="3"/>
  <c r="G1006" i="3"/>
  <c r="F1006" i="3"/>
  <c r="E1006" i="3"/>
  <c r="D1006" i="3"/>
  <c r="C1006" i="3"/>
  <c r="B1006" i="3"/>
  <c r="A1006" i="3"/>
  <c r="H1005" i="3"/>
  <c r="G1005" i="3"/>
  <c r="F1005" i="3"/>
  <c r="E1005" i="3"/>
  <c r="D1005" i="3"/>
  <c r="C1005" i="3"/>
  <c r="B1005" i="3"/>
  <c r="A1005" i="3"/>
  <c r="H1004" i="3"/>
  <c r="G1004" i="3"/>
  <c r="F1004" i="3"/>
  <c r="E1004" i="3"/>
  <c r="D1004" i="3"/>
  <c r="C1004" i="3"/>
  <c r="B1004" i="3"/>
  <c r="A1004" i="3"/>
  <c r="H1003" i="3"/>
  <c r="G1003" i="3"/>
  <c r="F1003" i="3"/>
  <c r="E1003" i="3"/>
  <c r="D1003" i="3"/>
  <c r="C1003" i="3"/>
  <c r="B1003" i="3"/>
  <c r="A1003" i="3"/>
  <c r="H1002" i="3"/>
  <c r="G1002" i="3"/>
  <c r="F1002" i="3"/>
  <c r="E1002" i="3"/>
  <c r="D1002" i="3"/>
  <c r="C1002" i="3"/>
  <c r="B1002" i="3"/>
  <c r="A1002" i="3"/>
  <c r="H1001" i="3"/>
  <c r="G1001" i="3"/>
  <c r="F1001" i="3"/>
  <c r="E1001" i="3"/>
  <c r="D1001" i="3"/>
  <c r="C1001" i="3"/>
  <c r="B1001" i="3"/>
  <c r="A1001" i="3"/>
  <c r="H1000" i="3"/>
  <c r="G1000" i="3"/>
  <c r="F1000" i="3"/>
  <c r="E1000" i="3"/>
  <c r="D1000" i="3"/>
  <c r="C1000" i="3"/>
  <c r="B1000" i="3"/>
  <c r="A1000" i="3"/>
  <c r="H999" i="3"/>
  <c r="G999" i="3"/>
  <c r="F999" i="3"/>
  <c r="E999" i="3"/>
  <c r="D999" i="3"/>
  <c r="C999" i="3"/>
  <c r="B999" i="3"/>
  <c r="A999" i="3"/>
  <c r="H998" i="3"/>
  <c r="G998" i="3"/>
  <c r="F998" i="3"/>
  <c r="E998" i="3"/>
  <c r="D998" i="3"/>
  <c r="C998" i="3"/>
  <c r="B998" i="3"/>
  <c r="A998" i="3"/>
  <c r="H997" i="3"/>
  <c r="G997" i="3"/>
  <c r="F997" i="3"/>
  <c r="E997" i="3"/>
  <c r="D997" i="3"/>
  <c r="C997" i="3"/>
  <c r="B997" i="3"/>
  <c r="A997" i="3"/>
  <c r="H996" i="3"/>
  <c r="G996" i="3"/>
  <c r="F996" i="3"/>
  <c r="E996" i="3"/>
  <c r="D996" i="3"/>
  <c r="C996" i="3"/>
  <c r="B996" i="3"/>
  <c r="A996" i="3"/>
  <c r="H995" i="3"/>
  <c r="G995" i="3"/>
  <c r="F995" i="3"/>
  <c r="E995" i="3"/>
  <c r="D995" i="3"/>
  <c r="C995" i="3"/>
  <c r="B995" i="3"/>
  <c r="A995" i="3"/>
  <c r="H994" i="3"/>
  <c r="G994" i="3"/>
  <c r="F994" i="3"/>
  <c r="E994" i="3"/>
  <c r="D994" i="3"/>
  <c r="C994" i="3"/>
  <c r="B994" i="3"/>
  <c r="A994" i="3"/>
  <c r="H993" i="3"/>
  <c r="G993" i="3"/>
  <c r="F993" i="3"/>
  <c r="E993" i="3"/>
  <c r="D993" i="3"/>
  <c r="C993" i="3"/>
  <c r="B993" i="3"/>
  <c r="A993" i="3"/>
  <c r="H992" i="3"/>
  <c r="G992" i="3"/>
  <c r="F992" i="3"/>
  <c r="E992" i="3"/>
  <c r="D992" i="3"/>
  <c r="C992" i="3"/>
  <c r="B992" i="3"/>
  <c r="A992" i="3"/>
  <c r="H991" i="3"/>
  <c r="G991" i="3"/>
  <c r="F991" i="3"/>
  <c r="E991" i="3"/>
  <c r="D991" i="3"/>
  <c r="C991" i="3"/>
  <c r="B991" i="3"/>
  <c r="A991" i="3"/>
  <c r="H990" i="3"/>
  <c r="G990" i="3"/>
  <c r="F990" i="3"/>
  <c r="E990" i="3"/>
  <c r="D990" i="3"/>
  <c r="C990" i="3"/>
  <c r="B990" i="3"/>
  <c r="A990" i="3"/>
  <c r="H989" i="3"/>
  <c r="G989" i="3"/>
  <c r="F989" i="3"/>
  <c r="E989" i="3"/>
  <c r="D989" i="3"/>
  <c r="C989" i="3"/>
  <c r="B989" i="3"/>
  <c r="A989" i="3"/>
  <c r="H988" i="3"/>
  <c r="G988" i="3"/>
  <c r="F988" i="3"/>
  <c r="E988" i="3"/>
  <c r="D988" i="3"/>
  <c r="C988" i="3"/>
  <c r="B988" i="3"/>
  <c r="A988" i="3"/>
  <c r="H987" i="3"/>
  <c r="G987" i="3"/>
  <c r="F987" i="3"/>
  <c r="E987" i="3"/>
  <c r="D987" i="3"/>
  <c r="C987" i="3"/>
  <c r="B987" i="3"/>
  <c r="A987" i="3"/>
  <c r="H986" i="3"/>
  <c r="G986" i="3"/>
  <c r="F986" i="3"/>
  <c r="E986" i="3"/>
  <c r="D986" i="3"/>
  <c r="C986" i="3"/>
  <c r="B986" i="3"/>
  <c r="A986" i="3"/>
  <c r="H985" i="3"/>
  <c r="G985" i="3"/>
  <c r="F985" i="3"/>
  <c r="E985" i="3"/>
  <c r="D985" i="3"/>
  <c r="C985" i="3"/>
  <c r="B985" i="3"/>
  <c r="A985" i="3"/>
  <c r="H984" i="3"/>
  <c r="G984" i="3"/>
  <c r="F984" i="3"/>
  <c r="E984" i="3"/>
  <c r="D984" i="3"/>
  <c r="C984" i="3"/>
  <c r="B984" i="3"/>
  <c r="A984" i="3"/>
  <c r="H983" i="3"/>
  <c r="G983" i="3"/>
  <c r="F983" i="3"/>
  <c r="E983" i="3"/>
  <c r="D983" i="3"/>
  <c r="C983" i="3"/>
  <c r="B983" i="3"/>
  <c r="A983" i="3"/>
  <c r="H982" i="3"/>
  <c r="G982" i="3"/>
  <c r="F982" i="3"/>
  <c r="E982" i="3"/>
  <c r="D982" i="3"/>
  <c r="C982" i="3"/>
  <c r="B982" i="3"/>
  <c r="A982" i="3"/>
  <c r="H981" i="3"/>
  <c r="G981" i="3"/>
  <c r="F981" i="3"/>
  <c r="E981" i="3"/>
  <c r="D981" i="3"/>
  <c r="C981" i="3"/>
  <c r="B981" i="3"/>
  <c r="A981" i="3"/>
  <c r="H980" i="3"/>
  <c r="G980" i="3"/>
  <c r="F980" i="3"/>
  <c r="E980" i="3"/>
  <c r="D980" i="3"/>
  <c r="C980" i="3"/>
  <c r="B980" i="3"/>
  <c r="A980" i="3"/>
  <c r="H979" i="3"/>
  <c r="G979" i="3"/>
  <c r="F979" i="3"/>
  <c r="E979" i="3"/>
  <c r="D979" i="3"/>
  <c r="C979" i="3"/>
  <c r="B979" i="3"/>
  <c r="A979" i="3"/>
  <c r="H978" i="3"/>
  <c r="G978" i="3"/>
  <c r="F978" i="3"/>
  <c r="E978" i="3"/>
  <c r="D978" i="3"/>
  <c r="C978" i="3"/>
  <c r="B978" i="3"/>
  <c r="A978" i="3"/>
  <c r="H977" i="3"/>
  <c r="G977" i="3"/>
  <c r="F977" i="3"/>
  <c r="E977" i="3"/>
  <c r="D977" i="3"/>
  <c r="C977" i="3"/>
  <c r="B977" i="3"/>
  <c r="A977" i="3"/>
  <c r="H976" i="3"/>
  <c r="G976" i="3"/>
  <c r="F976" i="3"/>
  <c r="E976" i="3"/>
  <c r="D976" i="3"/>
  <c r="C976" i="3"/>
  <c r="B976" i="3"/>
  <c r="A976" i="3"/>
  <c r="H975" i="3"/>
  <c r="G975" i="3"/>
  <c r="F975" i="3"/>
  <c r="E975" i="3"/>
  <c r="D975" i="3"/>
  <c r="C975" i="3"/>
  <c r="B975" i="3"/>
  <c r="A975" i="3"/>
  <c r="H974" i="3"/>
  <c r="G974" i="3"/>
  <c r="F974" i="3"/>
  <c r="E974" i="3"/>
  <c r="D974" i="3"/>
  <c r="C974" i="3"/>
  <c r="B974" i="3"/>
  <c r="A974" i="3"/>
  <c r="H973" i="3"/>
  <c r="G973" i="3"/>
  <c r="F973" i="3"/>
  <c r="E973" i="3"/>
  <c r="D973" i="3"/>
  <c r="C973" i="3"/>
  <c r="B973" i="3"/>
  <c r="A973" i="3"/>
  <c r="H972" i="3"/>
  <c r="G972" i="3"/>
  <c r="F972" i="3"/>
  <c r="E972" i="3"/>
  <c r="D972" i="3"/>
  <c r="C972" i="3"/>
  <c r="B972" i="3"/>
  <c r="A972" i="3"/>
  <c r="H971" i="3"/>
  <c r="G971" i="3"/>
  <c r="F971" i="3"/>
  <c r="E971" i="3"/>
  <c r="D971" i="3"/>
  <c r="C971" i="3"/>
  <c r="B971" i="3"/>
  <c r="A971" i="3"/>
  <c r="H970" i="3"/>
  <c r="G970" i="3"/>
  <c r="F970" i="3"/>
  <c r="E970" i="3"/>
  <c r="D970" i="3"/>
  <c r="C970" i="3"/>
  <c r="B970" i="3"/>
  <c r="A970" i="3"/>
  <c r="H969" i="3"/>
  <c r="G969" i="3"/>
  <c r="F969" i="3"/>
  <c r="E969" i="3"/>
  <c r="D969" i="3"/>
  <c r="C969" i="3"/>
  <c r="B969" i="3"/>
  <c r="A969" i="3"/>
  <c r="H968" i="3"/>
  <c r="G968" i="3"/>
  <c r="F968" i="3"/>
  <c r="E968" i="3"/>
  <c r="D968" i="3"/>
  <c r="C968" i="3"/>
  <c r="B968" i="3"/>
  <c r="A968" i="3"/>
  <c r="H967" i="3"/>
  <c r="G967" i="3"/>
  <c r="F967" i="3"/>
  <c r="E967" i="3"/>
  <c r="D967" i="3"/>
  <c r="C967" i="3"/>
  <c r="B967" i="3"/>
  <c r="A967" i="3"/>
  <c r="H966" i="3"/>
  <c r="G966" i="3"/>
  <c r="F966" i="3"/>
  <c r="E966" i="3"/>
  <c r="D966" i="3"/>
  <c r="C966" i="3"/>
  <c r="B966" i="3"/>
  <c r="A966" i="3"/>
  <c r="H965" i="3"/>
  <c r="G965" i="3"/>
  <c r="F965" i="3"/>
  <c r="E965" i="3"/>
  <c r="D965" i="3"/>
  <c r="C965" i="3"/>
  <c r="B965" i="3"/>
  <c r="A965" i="3"/>
  <c r="H964" i="3"/>
  <c r="G964" i="3"/>
  <c r="F964" i="3"/>
  <c r="E964" i="3"/>
  <c r="D964" i="3"/>
  <c r="C964" i="3"/>
  <c r="B964" i="3"/>
  <c r="A964" i="3"/>
  <c r="H963" i="3"/>
  <c r="G963" i="3"/>
  <c r="F963" i="3"/>
  <c r="E963" i="3"/>
  <c r="D963" i="3"/>
  <c r="C963" i="3"/>
  <c r="B963" i="3"/>
  <c r="A963" i="3"/>
  <c r="H962" i="3"/>
  <c r="G962" i="3"/>
  <c r="F962" i="3"/>
  <c r="E962" i="3"/>
  <c r="D962" i="3"/>
  <c r="C962" i="3"/>
  <c r="B962" i="3"/>
  <c r="A962" i="3"/>
  <c r="H961" i="3"/>
  <c r="G961" i="3"/>
  <c r="F961" i="3"/>
  <c r="E961" i="3"/>
  <c r="D961" i="3"/>
  <c r="C961" i="3"/>
  <c r="B961" i="3"/>
  <c r="A961" i="3"/>
  <c r="H960" i="3"/>
  <c r="G960" i="3"/>
  <c r="F960" i="3"/>
  <c r="E960" i="3"/>
  <c r="D960" i="3"/>
  <c r="C960" i="3"/>
  <c r="B960" i="3"/>
  <c r="A960" i="3"/>
  <c r="H959" i="3"/>
  <c r="G959" i="3"/>
  <c r="F959" i="3"/>
  <c r="E959" i="3"/>
  <c r="D959" i="3"/>
  <c r="C959" i="3"/>
  <c r="B959" i="3"/>
  <c r="A959" i="3"/>
  <c r="H958" i="3"/>
  <c r="G958" i="3"/>
  <c r="F958" i="3"/>
  <c r="E958" i="3"/>
  <c r="D958" i="3"/>
  <c r="C958" i="3"/>
  <c r="B958" i="3"/>
  <c r="A958" i="3"/>
  <c r="H957" i="3"/>
  <c r="G957" i="3"/>
  <c r="F957" i="3"/>
  <c r="E957" i="3"/>
  <c r="D957" i="3"/>
  <c r="C957" i="3"/>
  <c r="B957" i="3"/>
  <c r="A957" i="3"/>
  <c r="H956" i="3"/>
  <c r="G956" i="3"/>
  <c r="F956" i="3"/>
  <c r="E956" i="3"/>
  <c r="D956" i="3"/>
  <c r="C956" i="3"/>
  <c r="B956" i="3"/>
  <c r="A956" i="3"/>
  <c r="H955" i="3"/>
  <c r="G955" i="3"/>
  <c r="F955" i="3"/>
  <c r="E955" i="3"/>
  <c r="D955" i="3"/>
  <c r="C955" i="3"/>
  <c r="B955" i="3"/>
  <c r="A955" i="3"/>
  <c r="H954" i="3"/>
  <c r="G954" i="3"/>
  <c r="F954" i="3"/>
  <c r="E954" i="3"/>
  <c r="D954" i="3"/>
  <c r="C954" i="3"/>
  <c r="B954" i="3"/>
  <c r="A954" i="3"/>
  <c r="H953" i="3"/>
  <c r="G953" i="3"/>
  <c r="F953" i="3"/>
  <c r="E953" i="3"/>
  <c r="D953" i="3"/>
  <c r="C953" i="3"/>
  <c r="B953" i="3"/>
  <c r="A953" i="3"/>
  <c r="H952" i="3"/>
  <c r="G952" i="3"/>
  <c r="F952" i="3"/>
  <c r="E952" i="3"/>
  <c r="D952" i="3"/>
  <c r="C952" i="3"/>
  <c r="B952" i="3"/>
  <c r="A952" i="3"/>
  <c r="H951" i="3"/>
  <c r="G951" i="3"/>
  <c r="F951" i="3"/>
  <c r="E951" i="3"/>
  <c r="D951" i="3"/>
  <c r="C951" i="3"/>
  <c r="B951" i="3"/>
  <c r="A951" i="3"/>
  <c r="H950" i="3"/>
  <c r="G950" i="3"/>
  <c r="F950" i="3"/>
  <c r="E950" i="3"/>
  <c r="D950" i="3"/>
  <c r="C950" i="3"/>
  <c r="B950" i="3"/>
  <c r="A950" i="3"/>
  <c r="H949" i="3"/>
  <c r="G949" i="3"/>
  <c r="F949" i="3"/>
  <c r="E949" i="3"/>
  <c r="D949" i="3"/>
  <c r="C949" i="3"/>
  <c r="B949" i="3"/>
  <c r="A949" i="3"/>
  <c r="H948" i="3"/>
  <c r="G948" i="3"/>
  <c r="F948" i="3"/>
  <c r="E948" i="3"/>
  <c r="D948" i="3"/>
  <c r="C948" i="3"/>
  <c r="B948" i="3"/>
  <c r="A948" i="3"/>
  <c r="H947" i="3"/>
  <c r="G947" i="3"/>
  <c r="F947" i="3"/>
  <c r="E947" i="3"/>
  <c r="D947" i="3"/>
  <c r="C947" i="3"/>
  <c r="B947" i="3"/>
  <c r="A947" i="3"/>
  <c r="H946" i="3"/>
  <c r="G946" i="3"/>
  <c r="F946" i="3"/>
  <c r="E946" i="3"/>
  <c r="D946" i="3"/>
  <c r="C946" i="3"/>
  <c r="B946" i="3"/>
  <c r="A946" i="3"/>
  <c r="H945" i="3"/>
  <c r="G945" i="3"/>
  <c r="F945" i="3"/>
  <c r="E945" i="3"/>
  <c r="D945" i="3"/>
  <c r="C945" i="3"/>
  <c r="B945" i="3"/>
  <c r="A945" i="3"/>
  <c r="H944" i="3"/>
  <c r="G944" i="3"/>
  <c r="F944" i="3"/>
  <c r="E944" i="3"/>
  <c r="D944" i="3"/>
  <c r="C944" i="3"/>
  <c r="B944" i="3"/>
  <c r="A944" i="3"/>
  <c r="H943" i="3"/>
  <c r="G943" i="3"/>
  <c r="F943" i="3"/>
  <c r="E943" i="3"/>
  <c r="D943" i="3"/>
  <c r="C943" i="3"/>
  <c r="B943" i="3"/>
  <c r="A943" i="3"/>
  <c r="H942" i="3"/>
  <c r="G942" i="3"/>
  <c r="F942" i="3"/>
  <c r="E942" i="3"/>
  <c r="D942" i="3"/>
  <c r="C942" i="3"/>
  <c r="B942" i="3"/>
  <c r="A942" i="3"/>
  <c r="H941" i="3"/>
  <c r="G941" i="3"/>
  <c r="F941" i="3"/>
  <c r="E941" i="3"/>
  <c r="D941" i="3"/>
  <c r="C941" i="3"/>
  <c r="B941" i="3"/>
  <c r="A941" i="3"/>
  <c r="H940" i="3"/>
  <c r="G940" i="3"/>
  <c r="F940" i="3"/>
  <c r="E940" i="3"/>
  <c r="D940" i="3"/>
  <c r="C940" i="3"/>
  <c r="B940" i="3"/>
  <c r="A940" i="3"/>
  <c r="H939" i="3"/>
  <c r="G939" i="3"/>
  <c r="F939" i="3"/>
  <c r="E939" i="3"/>
  <c r="D939" i="3"/>
  <c r="C939" i="3"/>
  <c r="B939" i="3"/>
  <c r="A939" i="3"/>
  <c r="H938" i="3"/>
  <c r="G938" i="3"/>
  <c r="F938" i="3"/>
  <c r="E938" i="3"/>
  <c r="D938" i="3"/>
  <c r="C938" i="3"/>
  <c r="B938" i="3"/>
  <c r="A938" i="3"/>
  <c r="H937" i="3"/>
  <c r="G937" i="3"/>
  <c r="F937" i="3"/>
  <c r="E937" i="3"/>
  <c r="D937" i="3"/>
  <c r="C937" i="3"/>
  <c r="B937" i="3"/>
  <c r="A937" i="3"/>
  <c r="H936" i="3"/>
  <c r="G936" i="3"/>
  <c r="F936" i="3"/>
  <c r="E936" i="3"/>
  <c r="D936" i="3"/>
  <c r="C936" i="3"/>
  <c r="B936" i="3"/>
  <c r="A936" i="3"/>
  <c r="H935" i="3"/>
  <c r="G935" i="3"/>
  <c r="F935" i="3"/>
  <c r="E935" i="3"/>
  <c r="D935" i="3"/>
  <c r="C935" i="3"/>
  <c r="B935" i="3"/>
  <c r="A935" i="3"/>
  <c r="H934" i="3"/>
  <c r="G934" i="3"/>
  <c r="F934" i="3"/>
  <c r="E934" i="3"/>
  <c r="D934" i="3"/>
  <c r="C934" i="3"/>
  <c r="B934" i="3"/>
  <c r="A934" i="3"/>
  <c r="H933" i="3"/>
  <c r="G933" i="3"/>
  <c r="F933" i="3"/>
  <c r="E933" i="3"/>
  <c r="D933" i="3"/>
  <c r="C933" i="3"/>
  <c r="B933" i="3"/>
  <c r="A933" i="3"/>
  <c r="H932" i="3"/>
  <c r="G932" i="3"/>
  <c r="F932" i="3"/>
  <c r="E932" i="3"/>
  <c r="D932" i="3"/>
  <c r="C932" i="3"/>
  <c r="B932" i="3"/>
  <c r="A932" i="3"/>
  <c r="H931" i="3"/>
  <c r="G931" i="3"/>
  <c r="F931" i="3"/>
  <c r="E931" i="3"/>
  <c r="D931" i="3"/>
  <c r="C931" i="3"/>
  <c r="B931" i="3"/>
  <c r="A931" i="3"/>
  <c r="H930" i="3"/>
  <c r="G930" i="3"/>
  <c r="F930" i="3"/>
  <c r="E930" i="3"/>
  <c r="D930" i="3"/>
  <c r="C930" i="3"/>
  <c r="B930" i="3"/>
  <c r="A930" i="3"/>
  <c r="H929" i="3"/>
  <c r="G929" i="3"/>
  <c r="F929" i="3"/>
  <c r="E929" i="3"/>
  <c r="D929" i="3"/>
  <c r="C929" i="3"/>
  <c r="B929" i="3"/>
  <c r="A929" i="3"/>
  <c r="H928" i="3"/>
  <c r="G928" i="3"/>
  <c r="F928" i="3"/>
  <c r="E928" i="3"/>
  <c r="D928" i="3"/>
  <c r="C928" i="3"/>
  <c r="B928" i="3"/>
  <c r="A928" i="3"/>
  <c r="H927" i="3"/>
  <c r="G927" i="3"/>
  <c r="F927" i="3"/>
  <c r="E927" i="3"/>
  <c r="D927" i="3"/>
  <c r="C927" i="3"/>
  <c r="B927" i="3"/>
  <c r="A927" i="3"/>
  <c r="H926" i="3"/>
  <c r="G926" i="3"/>
  <c r="F926" i="3"/>
  <c r="E926" i="3"/>
  <c r="D926" i="3"/>
  <c r="C926" i="3"/>
  <c r="B926" i="3"/>
  <c r="A926" i="3"/>
  <c r="H925" i="3"/>
  <c r="G925" i="3"/>
  <c r="F925" i="3"/>
  <c r="E925" i="3"/>
  <c r="D925" i="3"/>
  <c r="C925" i="3"/>
  <c r="B925" i="3"/>
  <c r="A925" i="3"/>
  <c r="H924" i="3"/>
  <c r="G924" i="3"/>
  <c r="F924" i="3"/>
  <c r="E924" i="3"/>
  <c r="D924" i="3"/>
  <c r="C924" i="3"/>
  <c r="B924" i="3"/>
  <c r="A924" i="3"/>
  <c r="H923" i="3"/>
  <c r="G923" i="3"/>
  <c r="F923" i="3"/>
  <c r="E923" i="3"/>
  <c r="D923" i="3"/>
  <c r="C923" i="3"/>
  <c r="B923" i="3"/>
  <c r="A923" i="3"/>
  <c r="H922" i="3"/>
  <c r="G922" i="3"/>
  <c r="F922" i="3"/>
  <c r="E922" i="3"/>
  <c r="D922" i="3"/>
  <c r="C922" i="3"/>
  <c r="B922" i="3"/>
  <c r="A922" i="3"/>
  <c r="H921" i="3"/>
  <c r="G921" i="3"/>
  <c r="F921" i="3"/>
  <c r="E921" i="3"/>
  <c r="D921" i="3"/>
  <c r="C921" i="3"/>
  <c r="B921" i="3"/>
  <c r="A921" i="3"/>
  <c r="H920" i="3"/>
  <c r="G920" i="3"/>
  <c r="F920" i="3"/>
  <c r="E920" i="3"/>
  <c r="D920" i="3"/>
  <c r="C920" i="3"/>
  <c r="B920" i="3"/>
  <c r="A920" i="3"/>
  <c r="H919" i="3"/>
  <c r="G919" i="3"/>
  <c r="F919" i="3"/>
  <c r="E919" i="3"/>
  <c r="D919" i="3"/>
  <c r="C919" i="3"/>
  <c r="B919" i="3"/>
  <c r="A919" i="3"/>
  <c r="H918" i="3"/>
  <c r="G918" i="3"/>
  <c r="F918" i="3"/>
  <c r="E918" i="3"/>
  <c r="D918" i="3"/>
  <c r="C918" i="3"/>
  <c r="B918" i="3"/>
  <c r="A918" i="3"/>
  <c r="H917" i="3"/>
  <c r="G917" i="3"/>
  <c r="F917" i="3"/>
  <c r="E917" i="3"/>
  <c r="D917" i="3"/>
  <c r="C917" i="3"/>
  <c r="B917" i="3"/>
  <c r="A917" i="3"/>
  <c r="H916" i="3"/>
  <c r="G916" i="3"/>
  <c r="F916" i="3"/>
  <c r="E916" i="3"/>
  <c r="D916" i="3"/>
  <c r="C916" i="3"/>
  <c r="B916" i="3"/>
  <c r="A916" i="3"/>
  <c r="H915" i="3"/>
  <c r="G915" i="3"/>
  <c r="F915" i="3"/>
  <c r="E915" i="3"/>
  <c r="D915" i="3"/>
  <c r="C915" i="3"/>
  <c r="B915" i="3"/>
  <c r="A915" i="3"/>
  <c r="H914" i="3"/>
  <c r="G914" i="3"/>
  <c r="F914" i="3"/>
  <c r="E914" i="3"/>
  <c r="D914" i="3"/>
  <c r="C914" i="3"/>
  <c r="B914" i="3"/>
  <c r="A914" i="3"/>
  <c r="H913" i="3"/>
  <c r="G913" i="3"/>
  <c r="F913" i="3"/>
  <c r="E913" i="3"/>
  <c r="D913" i="3"/>
  <c r="C913" i="3"/>
  <c r="B913" i="3"/>
  <c r="A913" i="3"/>
  <c r="H912" i="3"/>
  <c r="G912" i="3"/>
  <c r="F912" i="3"/>
  <c r="E912" i="3"/>
  <c r="D912" i="3"/>
  <c r="C912" i="3"/>
  <c r="B912" i="3"/>
  <c r="A912" i="3"/>
  <c r="H911" i="3"/>
  <c r="G911" i="3"/>
  <c r="F911" i="3"/>
  <c r="E911" i="3"/>
  <c r="D911" i="3"/>
  <c r="C911" i="3"/>
  <c r="B911" i="3"/>
  <c r="A911" i="3"/>
  <c r="H910" i="3"/>
  <c r="G910" i="3"/>
  <c r="F910" i="3"/>
  <c r="E910" i="3"/>
  <c r="D910" i="3"/>
  <c r="C910" i="3"/>
  <c r="B910" i="3"/>
  <c r="A910" i="3"/>
  <c r="H909" i="3"/>
  <c r="G909" i="3"/>
  <c r="F909" i="3"/>
  <c r="E909" i="3"/>
  <c r="D909" i="3"/>
  <c r="C909" i="3"/>
  <c r="B909" i="3"/>
  <c r="A909" i="3"/>
  <c r="H908" i="3"/>
  <c r="G908" i="3"/>
  <c r="F908" i="3"/>
  <c r="E908" i="3"/>
  <c r="D908" i="3"/>
  <c r="C908" i="3"/>
  <c r="B908" i="3"/>
  <c r="A908" i="3"/>
  <c r="H907" i="3"/>
  <c r="G907" i="3"/>
  <c r="F907" i="3"/>
  <c r="E907" i="3"/>
  <c r="D907" i="3"/>
  <c r="C907" i="3"/>
  <c r="B907" i="3"/>
  <c r="A907" i="3"/>
  <c r="H906" i="3"/>
  <c r="G906" i="3"/>
  <c r="F906" i="3"/>
  <c r="E906" i="3"/>
  <c r="D906" i="3"/>
  <c r="C906" i="3"/>
  <c r="B906" i="3"/>
  <c r="A906" i="3"/>
  <c r="H905" i="3"/>
  <c r="G905" i="3"/>
  <c r="F905" i="3"/>
  <c r="E905" i="3"/>
  <c r="D905" i="3"/>
  <c r="C905" i="3"/>
  <c r="B905" i="3"/>
  <c r="A905" i="3"/>
  <c r="H904" i="3"/>
  <c r="G904" i="3"/>
  <c r="F904" i="3"/>
  <c r="E904" i="3"/>
  <c r="D904" i="3"/>
  <c r="C904" i="3"/>
  <c r="B904" i="3"/>
  <c r="A904" i="3"/>
  <c r="H903" i="3"/>
  <c r="G903" i="3"/>
  <c r="F903" i="3"/>
  <c r="E903" i="3"/>
  <c r="D903" i="3"/>
  <c r="C903" i="3"/>
  <c r="B903" i="3"/>
  <c r="A903" i="3"/>
  <c r="H902" i="3"/>
  <c r="G902" i="3"/>
  <c r="F902" i="3"/>
  <c r="E902" i="3"/>
  <c r="D902" i="3"/>
  <c r="C902" i="3"/>
  <c r="B902" i="3"/>
  <c r="A902" i="3"/>
  <c r="H901" i="3"/>
  <c r="G901" i="3"/>
  <c r="F901" i="3"/>
  <c r="E901" i="3"/>
  <c r="D901" i="3"/>
  <c r="C901" i="3"/>
  <c r="B901" i="3"/>
  <c r="A901" i="3"/>
  <c r="H900" i="3"/>
  <c r="G900" i="3"/>
  <c r="F900" i="3"/>
  <c r="E900" i="3"/>
  <c r="D900" i="3"/>
  <c r="C900" i="3"/>
  <c r="B900" i="3"/>
  <c r="A900" i="3"/>
  <c r="H899" i="3"/>
  <c r="G899" i="3"/>
  <c r="F899" i="3"/>
  <c r="E899" i="3"/>
  <c r="D899" i="3"/>
  <c r="C899" i="3"/>
  <c r="B899" i="3"/>
  <c r="A899" i="3"/>
  <c r="H898" i="3"/>
  <c r="G898" i="3"/>
  <c r="F898" i="3"/>
  <c r="E898" i="3"/>
  <c r="D898" i="3"/>
  <c r="C898" i="3"/>
  <c r="B898" i="3"/>
  <c r="A898" i="3"/>
  <c r="H897" i="3"/>
  <c r="G897" i="3"/>
  <c r="F897" i="3"/>
  <c r="E897" i="3"/>
  <c r="D897" i="3"/>
  <c r="C897" i="3"/>
  <c r="B897" i="3"/>
  <c r="A897" i="3"/>
  <c r="H896" i="3"/>
  <c r="G896" i="3"/>
  <c r="F896" i="3"/>
  <c r="E896" i="3"/>
  <c r="D896" i="3"/>
  <c r="C896" i="3"/>
  <c r="B896" i="3"/>
  <c r="A896" i="3"/>
  <c r="H895" i="3"/>
  <c r="G895" i="3"/>
  <c r="F895" i="3"/>
  <c r="E895" i="3"/>
  <c r="D895" i="3"/>
  <c r="C895" i="3"/>
  <c r="B895" i="3"/>
  <c r="A895" i="3"/>
  <c r="H894" i="3"/>
  <c r="G894" i="3"/>
  <c r="F894" i="3"/>
  <c r="E894" i="3"/>
  <c r="D894" i="3"/>
  <c r="C894" i="3"/>
  <c r="B894" i="3"/>
  <c r="A894" i="3"/>
  <c r="H893" i="3"/>
  <c r="G893" i="3"/>
  <c r="F893" i="3"/>
  <c r="E893" i="3"/>
  <c r="D893" i="3"/>
  <c r="C893" i="3"/>
  <c r="B893" i="3"/>
  <c r="A893" i="3"/>
  <c r="H892" i="3"/>
  <c r="G892" i="3"/>
  <c r="F892" i="3"/>
  <c r="E892" i="3"/>
  <c r="D892" i="3"/>
  <c r="C892" i="3"/>
  <c r="B892" i="3"/>
  <c r="A892" i="3"/>
  <c r="H891" i="3"/>
  <c r="G891" i="3"/>
  <c r="F891" i="3"/>
  <c r="E891" i="3"/>
  <c r="D891" i="3"/>
  <c r="C891" i="3"/>
  <c r="B891" i="3"/>
  <c r="A891" i="3"/>
  <c r="H890" i="3"/>
  <c r="G890" i="3"/>
  <c r="F890" i="3"/>
  <c r="E890" i="3"/>
  <c r="D890" i="3"/>
  <c r="C890" i="3"/>
  <c r="B890" i="3"/>
  <c r="A890" i="3"/>
  <c r="H889" i="3"/>
  <c r="G889" i="3"/>
  <c r="F889" i="3"/>
  <c r="E889" i="3"/>
  <c r="D889" i="3"/>
  <c r="C889" i="3"/>
  <c r="B889" i="3"/>
  <c r="A889" i="3"/>
  <c r="H888" i="3"/>
  <c r="G888" i="3"/>
  <c r="F888" i="3"/>
  <c r="E888" i="3"/>
  <c r="D888" i="3"/>
  <c r="C888" i="3"/>
  <c r="B888" i="3"/>
  <c r="A888" i="3"/>
  <c r="H887" i="3"/>
  <c r="G887" i="3"/>
  <c r="F887" i="3"/>
  <c r="E887" i="3"/>
  <c r="D887" i="3"/>
  <c r="C887" i="3"/>
  <c r="B887" i="3"/>
  <c r="A887" i="3"/>
  <c r="H886" i="3"/>
  <c r="G886" i="3"/>
  <c r="F886" i="3"/>
  <c r="E886" i="3"/>
  <c r="D886" i="3"/>
  <c r="C886" i="3"/>
  <c r="B886" i="3"/>
  <c r="A886" i="3"/>
  <c r="H885" i="3"/>
  <c r="G885" i="3"/>
  <c r="F885" i="3"/>
  <c r="E885" i="3"/>
  <c r="D885" i="3"/>
  <c r="C885" i="3"/>
  <c r="B885" i="3"/>
  <c r="A885" i="3"/>
  <c r="H884" i="3"/>
  <c r="G884" i="3"/>
  <c r="F884" i="3"/>
  <c r="E884" i="3"/>
  <c r="D884" i="3"/>
  <c r="C884" i="3"/>
  <c r="B884" i="3"/>
  <c r="A884" i="3"/>
  <c r="H883" i="3"/>
  <c r="G883" i="3"/>
  <c r="F883" i="3"/>
  <c r="E883" i="3"/>
  <c r="D883" i="3"/>
  <c r="C883" i="3"/>
  <c r="B883" i="3"/>
  <c r="A883" i="3"/>
  <c r="H882" i="3"/>
  <c r="G882" i="3"/>
  <c r="F882" i="3"/>
  <c r="E882" i="3"/>
  <c r="D882" i="3"/>
  <c r="C882" i="3"/>
  <c r="B882" i="3"/>
  <c r="A882" i="3"/>
  <c r="H881" i="3"/>
  <c r="G881" i="3"/>
  <c r="F881" i="3"/>
  <c r="E881" i="3"/>
  <c r="D881" i="3"/>
  <c r="C881" i="3"/>
  <c r="B881" i="3"/>
  <c r="A881" i="3"/>
  <c r="H880" i="3"/>
  <c r="G880" i="3"/>
  <c r="F880" i="3"/>
  <c r="E880" i="3"/>
  <c r="D880" i="3"/>
  <c r="C880" i="3"/>
  <c r="B880" i="3"/>
  <c r="A880" i="3"/>
  <c r="H879" i="3"/>
  <c r="G879" i="3"/>
  <c r="F879" i="3"/>
  <c r="E879" i="3"/>
  <c r="D879" i="3"/>
  <c r="C879" i="3"/>
  <c r="B879" i="3"/>
  <c r="A879" i="3"/>
  <c r="H878" i="3"/>
  <c r="G878" i="3"/>
  <c r="F878" i="3"/>
  <c r="E878" i="3"/>
  <c r="D878" i="3"/>
  <c r="C878" i="3"/>
  <c r="B878" i="3"/>
  <c r="A878" i="3"/>
  <c r="H877" i="3"/>
  <c r="G877" i="3"/>
  <c r="F877" i="3"/>
  <c r="E877" i="3"/>
  <c r="D877" i="3"/>
  <c r="C877" i="3"/>
  <c r="B877" i="3"/>
  <c r="A877" i="3"/>
  <c r="H876" i="3"/>
  <c r="G876" i="3"/>
  <c r="F876" i="3"/>
  <c r="E876" i="3"/>
  <c r="D876" i="3"/>
  <c r="C876" i="3"/>
  <c r="B876" i="3"/>
  <c r="A876" i="3"/>
  <c r="H875" i="3"/>
  <c r="G875" i="3"/>
  <c r="F875" i="3"/>
  <c r="E875" i="3"/>
  <c r="D875" i="3"/>
  <c r="C875" i="3"/>
  <c r="B875" i="3"/>
  <c r="A875" i="3"/>
  <c r="H874" i="3"/>
  <c r="G874" i="3"/>
  <c r="F874" i="3"/>
  <c r="E874" i="3"/>
  <c r="D874" i="3"/>
  <c r="C874" i="3"/>
  <c r="B874" i="3"/>
  <c r="A874" i="3"/>
  <c r="H873" i="3"/>
  <c r="G873" i="3"/>
  <c r="F873" i="3"/>
  <c r="E873" i="3"/>
  <c r="D873" i="3"/>
  <c r="C873" i="3"/>
  <c r="B873" i="3"/>
  <c r="A873" i="3"/>
  <c r="H872" i="3"/>
  <c r="G872" i="3"/>
  <c r="F872" i="3"/>
  <c r="E872" i="3"/>
  <c r="D872" i="3"/>
  <c r="C872" i="3"/>
  <c r="B872" i="3"/>
  <c r="A872" i="3"/>
  <c r="H871" i="3"/>
  <c r="G871" i="3"/>
  <c r="F871" i="3"/>
  <c r="E871" i="3"/>
  <c r="D871" i="3"/>
  <c r="C871" i="3"/>
  <c r="B871" i="3"/>
  <c r="A871" i="3"/>
  <c r="H870" i="3"/>
  <c r="G870" i="3"/>
  <c r="F870" i="3"/>
  <c r="E870" i="3"/>
  <c r="D870" i="3"/>
  <c r="C870" i="3"/>
  <c r="B870" i="3"/>
  <c r="A870" i="3"/>
  <c r="H869" i="3"/>
  <c r="G869" i="3"/>
  <c r="F869" i="3"/>
  <c r="E869" i="3"/>
  <c r="D869" i="3"/>
  <c r="C869" i="3"/>
  <c r="B869" i="3"/>
  <c r="A869" i="3"/>
  <c r="H868" i="3"/>
  <c r="G868" i="3"/>
  <c r="F868" i="3"/>
  <c r="E868" i="3"/>
  <c r="D868" i="3"/>
  <c r="C868" i="3"/>
  <c r="B868" i="3"/>
  <c r="A868" i="3"/>
  <c r="H867" i="3"/>
  <c r="G867" i="3"/>
  <c r="F867" i="3"/>
  <c r="E867" i="3"/>
  <c r="D867" i="3"/>
  <c r="C867" i="3"/>
  <c r="B867" i="3"/>
  <c r="A867" i="3"/>
  <c r="H866" i="3"/>
  <c r="G866" i="3"/>
  <c r="F866" i="3"/>
  <c r="E866" i="3"/>
  <c r="D866" i="3"/>
  <c r="C866" i="3"/>
  <c r="B866" i="3"/>
  <c r="A866" i="3"/>
  <c r="H865" i="3"/>
  <c r="G865" i="3"/>
  <c r="F865" i="3"/>
  <c r="E865" i="3"/>
  <c r="D865" i="3"/>
  <c r="C865" i="3"/>
  <c r="B865" i="3"/>
  <c r="A865" i="3"/>
  <c r="H864" i="3"/>
  <c r="G864" i="3"/>
  <c r="F864" i="3"/>
  <c r="E864" i="3"/>
  <c r="D864" i="3"/>
  <c r="C864" i="3"/>
  <c r="B864" i="3"/>
  <c r="A864" i="3"/>
  <c r="H863" i="3"/>
  <c r="G863" i="3"/>
  <c r="F863" i="3"/>
  <c r="E863" i="3"/>
  <c r="D863" i="3"/>
  <c r="C863" i="3"/>
  <c r="B863" i="3"/>
  <c r="A863" i="3"/>
  <c r="H862" i="3"/>
  <c r="G862" i="3"/>
  <c r="F862" i="3"/>
  <c r="E862" i="3"/>
  <c r="D862" i="3"/>
  <c r="C862" i="3"/>
  <c r="B862" i="3"/>
  <c r="A862" i="3"/>
  <c r="H861" i="3"/>
  <c r="G861" i="3"/>
  <c r="F861" i="3"/>
  <c r="E861" i="3"/>
  <c r="D861" i="3"/>
  <c r="C861" i="3"/>
  <c r="B861" i="3"/>
  <c r="A861" i="3"/>
  <c r="H860" i="3"/>
  <c r="G860" i="3"/>
  <c r="F860" i="3"/>
  <c r="E860" i="3"/>
  <c r="D860" i="3"/>
  <c r="C860" i="3"/>
  <c r="B860" i="3"/>
  <c r="A860" i="3"/>
  <c r="H859" i="3"/>
  <c r="G859" i="3"/>
  <c r="F859" i="3"/>
  <c r="E859" i="3"/>
  <c r="D859" i="3"/>
  <c r="C859" i="3"/>
  <c r="B859" i="3"/>
  <c r="A859" i="3"/>
  <c r="H858" i="3"/>
  <c r="G858" i="3"/>
  <c r="F858" i="3"/>
  <c r="E858" i="3"/>
  <c r="D858" i="3"/>
  <c r="C858" i="3"/>
  <c r="B858" i="3"/>
  <c r="A858" i="3"/>
  <c r="H857" i="3"/>
  <c r="G857" i="3"/>
  <c r="F857" i="3"/>
  <c r="E857" i="3"/>
  <c r="D857" i="3"/>
  <c r="C857" i="3"/>
  <c r="B857" i="3"/>
  <c r="A857" i="3"/>
  <c r="H856" i="3"/>
  <c r="G856" i="3"/>
  <c r="F856" i="3"/>
  <c r="E856" i="3"/>
  <c r="D856" i="3"/>
  <c r="C856" i="3"/>
  <c r="B856" i="3"/>
  <c r="A856" i="3"/>
  <c r="H855" i="3"/>
  <c r="G855" i="3"/>
  <c r="F855" i="3"/>
  <c r="E855" i="3"/>
  <c r="D855" i="3"/>
  <c r="C855" i="3"/>
  <c r="B855" i="3"/>
  <c r="A855" i="3"/>
  <c r="H854" i="3"/>
  <c r="G854" i="3"/>
  <c r="F854" i="3"/>
  <c r="E854" i="3"/>
  <c r="D854" i="3"/>
  <c r="C854" i="3"/>
  <c r="B854" i="3"/>
  <c r="A854" i="3"/>
  <c r="H853" i="3"/>
  <c r="G853" i="3"/>
  <c r="F853" i="3"/>
  <c r="E853" i="3"/>
  <c r="D853" i="3"/>
  <c r="C853" i="3"/>
  <c r="B853" i="3"/>
  <c r="A853" i="3"/>
  <c r="H852" i="3"/>
  <c r="G852" i="3"/>
  <c r="F852" i="3"/>
  <c r="E852" i="3"/>
  <c r="D852" i="3"/>
  <c r="C852" i="3"/>
  <c r="B852" i="3"/>
  <c r="A852" i="3"/>
  <c r="H851" i="3"/>
  <c r="G851" i="3"/>
  <c r="F851" i="3"/>
  <c r="E851" i="3"/>
  <c r="D851" i="3"/>
  <c r="C851" i="3"/>
  <c r="B851" i="3"/>
  <c r="A851" i="3"/>
  <c r="H850" i="3"/>
  <c r="G850" i="3"/>
  <c r="F850" i="3"/>
  <c r="E850" i="3"/>
  <c r="D850" i="3"/>
  <c r="C850" i="3"/>
  <c r="B850" i="3"/>
  <c r="A850" i="3"/>
  <c r="H849" i="3"/>
  <c r="G849" i="3"/>
  <c r="F849" i="3"/>
  <c r="E849" i="3"/>
  <c r="D849" i="3"/>
  <c r="C849" i="3"/>
  <c r="B849" i="3"/>
  <c r="A849" i="3"/>
  <c r="H848" i="3"/>
  <c r="G848" i="3"/>
  <c r="F848" i="3"/>
  <c r="E848" i="3"/>
  <c r="D848" i="3"/>
  <c r="C848" i="3"/>
  <c r="B848" i="3"/>
  <c r="A848" i="3"/>
  <c r="H847" i="3"/>
  <c r="G847" i="3"/>
  <c r="F847" i="3"/>
  <c r="E847" i="3"/>
  <c r="D847" i="3"/>
  <c r="C847" i="3"/>
  <c r="B847" i="3"/>
  <c r="A847" i="3"/>
  <c r="H846" i="3"/>
  <c r="G846" i="3"/>
  <c r="F846" i="3"/>
  <c r="E846" i="3"/>
  <c r="D846" i="3"/>
  <c r="C846" i="3"/>
  <c r="B846" i="3"/>
  <c r="A846" i="3"/>
  <c r="H845" i="3"/>
  <c r="G845" i="3"/>
  <c r="F845" i="3"/>
  <c r="E845" i="3"/>
  <c r="D845" i="3"/>
  <c r="C845" i="3"/>
  <c r="B845" i="3"/>
  <c r="A845" i="3"/>
  <c r="H844" i="3"/>
  <c r="G844" i="3"/>
  <c r="F844" i="3"/>
  <c r="E844" i="3"/>
  <c r="D844" i="3"/>
  <c r="C844" i="3"/>
  <c r="B844" i="3"/>
  <c r="A844" i="3"/>
  <c r="H843" i="3"/>
  <c r="G843" i="3"/>
  <c r="F843" i="3"/>
  <c r="E843" i="3"/>
  <c r="D843" i="3"/>
  <c r="C843" i="3"/>
  <c r="B843" i="3"/>
  <c r="A843" i="3"/>
  <c r="H842" i="3"/>
  <c r="G842" i="3"/>
  <c r="F842" i="3"/>
  <c r="E842" i="3"/>
  <c r="D842" i="3"/>
  <c r="C842" i="3"/>
  <c r="B842" i="3"/>
  <c r="A842" i="3"/>
  <c r="H841" i="3"/>
  <c r="G841" i="3"/>
  <c r="F841" i="3"/>
  <c r="E841" i="3"/>
  <c r="D841" i="3"/>
  <c r="C841" i="3"/>
  <c r="B841" i="3"/>
  <c r="A841" i="3"/>
  <c r="H840" i="3"/>
  <c r="G840" i="3"/>
  <c r="F840" i="3"/>
  <c r="E840" i="3"/>
  <c r="D840" i="3"/>
  <c r="C840" i="3"/>
  <c r="B840" i="3"/>
  <c r="A840" i="3"/>
  <c r="H839" i="3"/>
  <c r="G839" i="3"/>
  <c r="F839" i="3"/>
  <c r="E839" i="3"/>
  <c r="D839" i="3"/>
  <c r="C839" i="3"/>
  <c r="B839" i="3"/>
  <c r="A839" i="3"/>
  <c r="H838" i="3"/>
  <c r="G838" i="3"/>
  <c r="F838" i="3"/>
  <c r="E838" i="3"/>
  <c r="D838" i="3"/>
  <c r="C838" i="3"/>
  <c r="B838" i="3"/>
  <c r="A838" i="3"/>
  <c r="H837" i="3"/>
  <c r="G837" i="3"/>
  <c r="F837" i="3"/>
  <c r="E837" i="3"/>
  <c r="D837" i="3"/>
  <c r="C837" i="3"/>
  <c r="B837" i="3"/>
  <c r="A837" i="3"/>
  <c r="H836" i="3"/>
  <c r="G836" i="3"/>
  <c r="F836" i="3"/>
  <c r="E836" i="3"/>
  <c r="D836" i="3"/>
  <c r="C836" i="3"/>
  <c r="B836" i="3"/>
  <c r="A836" i="3"/>
  <c r="H835" i="3"/>
  <c r="G835" i="3"/>
  <c r="F835" i="3"/>
  <c r="E835" i="3"/>
  <c r="D835" i="3"/>
  <c r="C835" i="3"/>
  <c r="B835" i="3"/>
  <c r="A835" i="3"/>
  <c r="H834" i="3"/>
  <c r="G834" i="3"/>
  <c r="F834" i="3"/>
  <c r="E834" i="3"/>
  <c r="D834" i="3"/>
  <c r="C834" i="3"/>
  <c r="B834" i="3"/>
  <c r="A834" i="3"/>
  <c r="H833" i="3"/>
  <c r="G833" i="3"/>
  <c r="F833" i="3"/>
  <c r="E833" i="3"/>
  <c r="D833" i="3"/>
  <c r="C833" i="3"/>
  <c r="B833" i="3"/>
  <c r="A833" i="3"/>
  <c r="H832" i="3"/>
  <c r="G832" i="3"/>
  <c r="F832" i="3"/>
  <c r="E832" i="3"/>
  <c r="D832" i="3"/>
  <c r="C832" i="3"/>
  <c r="B832" i="3"/>
  <c r="A832" i="3"/>
  <c r="H831" i="3"/>
  <c r="G831" i="3"/>
  <c r="F831" i="3"/>
  <c r="E831" i="3"/>
  <c r="D831" i="3"/>
  <c r="C831" i="3"/>
  <c r="B831" i="3"/>
  <c r="A831" i="3"/>
  <c r="H830" i="3"/>
  <c r="G830" i="3"/>
  <c r="F830" i="3"/>
  <c r="E830" i="3"/>
  <c r="D830" i="3"/>
  <c r="C830" i="3"/>
  <c r="B830" i="3"/>
  <c r="A830" i="3"/>
  <c r="H829" i="3"/>
  <c r="G829" i="3"/>
  <c r="F829" i="3"/>
  <c r="E829" i="3"/>
  <c r="D829" i="3"/>
  <c r="C829" i="3"/>
  <c r="B829" i="3"/>
  <c r="A829" i="3"/>
  <c r="H828" i="3"/>
  <c r="G828" i="3"/>
  <c r="F828" i="3"/>
  <c r="E828" i="3"/>
  <c r="D828" i="3"/>
  <c r="C828" i="3"/>
  <c r="B828" i="3"/>
  <c r="A828" i="3"/>
  <c r="H827" i="3"/>
  <c r="G827" i="3"/>
  <c r="F827" i="3"/>
  <c r="E827" i="3"/>
  <c r="D827" i="3"/>
  <c r="C827" i="3"/>
  <c r="B827" i="3"/>
  <c r="A827" i="3"/>
  <c r="H826" i="3"/>
  <c r="G826" i="3"/>
  <c r="F826" i="3"/>
  <c r="E826" i="3"/>
  <c r="D826" i="3"/>
  <c r="C826" i="3"/>
  <c r="B826" i="3"/>
  <c r="A826" i="3"/>
  <c r="H825" i="3"/>
  <c r="G825" i="3"/>
  <c r="F825" i="3"/>
  <c r="E825" i="3"/>
  <c r="D825" i="3"/>
  <c r="C825" i="3"/>
  <c r="B825" i="3"/>
  <c r="A825" i="3"/>
  <c r="H824" i="3"/>
  <c r="G824" i="3"/>
  <c r="F824" i="3"/>
  <c r="E824" i="3"/>
  <c r="D824" i="3"/>
  <c r="C824" i="3"/>
  <c r="B824" i="3"/>
  <c r="A824" i="3"/>
  <c r="H823" i="3"/>
  <c r="G823" i="3"/>
  <c r="F823" i="3"/>
  <c r="E823" i="3"/>
  <c r="D823" i="3"/>
  <c r="C823" i="3"/>
  <c r="B823" i="3"/>
  <c r="A823" i="3"/>
  <c r="H822" i="3"/>
  <c r="G822" i="3"/>
  <c r="F822" i="3"/>
  <c r="E822" i="3"/>
  <c r="D822" i="3"/>
  <c r="C822" i="3"/>
  <c r="B822" i="3"/>
  <c r="A822" i="3"/>
  <c r="H821" i="3"/>
  <c r="G821" i="3"/>
  <c r="F821" i="3"/>
  <c r="E821" i="3"/>
  <c r="D821" i="3"/>
  <c r="C821" i="3"/>
  <c r="B821" i="3"/>
  <c r="A821" i="3"/>
  <c r="H820" i="3"/>
  <c r="G820" i="3"/>
  <c r="F820" i="3"/>
  <c r="E820" i="3"/>
  <c r="D820" i="3"/>
  <c r="C820" i="3"/>
  <c r="B820" i="3"/>
  <c r="A820" i="3"/>
  <c r="H819" i="3"/>
  <c r="G819" i="3"/>
  <c r="F819" i="3"/>
  <c r="E819" i="3"/>
  <c r="D819" i="3"/>
  <c r="C819" i="3"/>
  <c r="B819" i="3"/>
  <c r="A819" i="3"/>
  <c r="H818" i="3"/>
  <c r="G818" i="3"/>
  <c r="F818" i="3"/>
  <c r="E818" i="3"/>
  <c r="D818" i="3"/>
  <c r="C818" i="3"/>
  <c r="B818" i="3"/>
  <c r="A818" i="3"/>
  <c r="H817" i="3"/>
  <c r="G817" i="3"/>
  <c r="F817" i="3"/>
  <c r="E817" i="3"/>
  <c r="D817" i="3"/>
  <c r="C817" i="3"/>
  <c r="B817" i="3"/>
  <c r="A817" i="3"/>
  <c r="H816" i="3"/>
  <c r="G816" i="3"/>
  <c r="F816" i="3"/>
  <c r="E816" i="3"/>
  <c r="D816" i="3"/>
  <c r="C816" i="3"/>
  <c r="B816" i="3"/>
  <c r="A816" i="3"/>
  <c r="H815" i="3"/>
  <c r="G815" i="3"/>
  <c r="F815" i="3"/>
  <c r="E815" i="3"/>
  <c r="D815" i="3"/>
  <c r="C815" i="3"/>
  <c r="B815" i="3"/>
  <c r="A815" i="3"/>
  <c r="H814" i="3"/>
  <c r="G814" i="3"/>
  <c r="F814" i="3"/>
  <c r="E814" i="3"/>
  <c r="D814" i="3"/>
  <c r="C814" i="3"/>
  <c r="B814" i="3"/>
  <c r="A814" i="3"/>
  <c r="H813" i="3"/>
  <c r="G813" i="3"/>
  <c r="F813" i="3"/>
  <c r="E813" i="3"/>
  <c r="D813" i="3"/>
  <c r="C813" i="3"/>
  <c r="B813" i="3"/>
  <c r="A813" i="3"/>
  <c r="H812" i="3"/>
  <c r="G812" i="3"/>
  <c r="F812" i="3"/>
  <c r="E812" i="3"/>
  <c r="D812" i="3"/>
  <c r="C812" i="3"/>
  <c r="B812" i="3"/>
  <c r="A812" i="3"/>
  <c r="H811" i="3"/>
  <c r="G811" i="3"/>
  <c r="F811" i="3"/>
  <c r="E811" i="3"/>
  <c r="D811" i="3"/>
  <c r="C811" i="3"/>
  <c r="B811" i="3"/>
  <c r="A811" i="3"/>
  <c r="H810" i="3"/>
  <c r="G810" i="3"/>
  <c r="F810" i="3"/>
  <c r="E810" i="3"/>
  <c r="D810" i="3"/>
  <c r="C810" i="3"/>
  <c r="B810" i="3"/>
  <c r="A810" i="3"/>
  <c r="H809" i="3"/>
  <c r="G809" i="3"/>
  <c r="F809" i="3"/>
  <c r="E809" i="3"/>
  <c r="D809" i="3"/>
  <c r="C809" i="3"/>
  <c r="B809" i="3"/>
  <c r="A809" i="3"/>
  <c r="H808" i="3"/>
  <c r="G808" i="3"/>
  <c r="F808" i="3"/>
  <c r="E808" i="3"/>
  <c r="D808" i="3"/>
  <c r="C808" i="3"/>
  <c r="B808" i="3"/>
  <c r="A808" i="3"/>
  <c r="H807" i="3"/>
  <c r="G807" i="3"/>
  <c r="F807" i="3"/>
  <c r="E807" i="3"/>
  <c r="D807" i="3"/>
  <c r="C807" i="3"/>
  <c r="B807" i="3"/>
  <c r="A807" i="3"/>
  <c r="H806" i="3"/>
  <c r="G806" i="3"/>
  <c r="F806" i="3"/>
  <c r="E806" i="3"/>
  <c r="D806" i="3"/>
  <c r="C806" i="3"/>
  <c r="B806" i="3"/>
  <c r="A806" i="3"/>
  <c r="H805" i="3"/>
  <c r="G805" i="3"/>
  <c r="F805" i="3"/>
  <c r="E805" i="3"/>
  <c r="D805" i="3"/>
  <c r="C805" i="3"/>
  <c r="B805" i="3"/>
  <c r="A805" i="3"/>
  <c r="H804" i="3"/>
  <c r="G804" i="3"/>
  <c r="F804" i="3"/>
  <c r="E804" i="3"/>
  <c r="D804" i="3"/>
  <c r="C804" i="3"/>
  <c r="B804" i="3"/>
  <c r="A804" i="3"/>
  <c r="H803" i="3"/>
  <c r="G803" i="3"/>
  <c r="F803" i="3"/>
  <c r="E803" i="3"/>
  <c r="D803" i="3"/>
  <c r="C803" i="3"/>
  <c r="B803" i="3"/>
  <c r="A803" i="3"/>
  <c r="H802" i="3"/>
  <c r="G802" i="3"/>
  <c r="F802" i="3"/>
  <c r="E802" i="3"/>
  <c r="D802" i="3"/>
  <c r="C802" i="3"/>
  <c r="B802" i="3"/>
  <c r="A802" i="3"/>
  <c r="H801" i="3"/>
  <c r="G801" i="3"/>
  <c r="F801" i="3"/>
  <c r="E801" i="3"/>
  <c r="D801" i="3"/>
  <c r="C801" i="3"/>
  <c r="B801" i="3"/>
  <c r="A801" i="3"/>
  <c r="H800" i="3"/>
  <c r="G800" i="3"/>
  <c r="F800" i="3"/>
  <c r="E800" i="3"/>
  <c r="D800" i="3"/>
  <c r="C800" i="3"/>
  <c r="B800" i="3"/>
  <c r="A800" i="3"/>
  <c r="H799" i="3"/>
  <c r="G799" i="3"/>
  <c r="F799" i="3"/>
  <c r="E799" i="3"/>
  <c r="D799" i="3"/>
  <c r="C799" i="3"/>
  <c r="B799" i="3"/>
  <c r="A799" i="3"/>
  <c r="H798" i="3"/>
  <c r="G798" i="3"/>
  <c r="F798" i="3"/>
  <c r="E798" i="3"/>
  <c r="D798" i="3"/>
  <c r="C798" i="3"/>
  <c r="B798" i="3"/>
  <c r="A798" i="3"/>
  <c r="H797" i="3"/>
  <c r="G797" i="3"/>
  <c r="F797" i="3"/>
  <c r="E797" i="3"/>
  <c r="D797" i="3"/>
  <c r="C797" i="3"/>
  <c r="B797" i="3"/>
  <c r="A797" i="3"/>
  <c r="H796" i="3"/>
  <c r="G796" i="3"/>
  <c r="F796" i="3"/>
  <c r="E796" i="3"/>
  <c r="D796" i="3"/>
  <c r="C796" i="3"/>
  <c r="B796" i="3"/>
  <c r="A796" i="3"/>
  <c r="H795" i="3"/>
  <c r="G795" i="3"/>
  <c r="F795" i="3"/>
  <c r="E795" i="3"/>
  <c r="D795" i="3"/>
  <c r="C795" i="3"/>
  <c r="B795" i="3"/>
  <c r="A795" i="3"/>
  <c r="H794" i="3"/>
  <c r="G794" i="3"/>
  <c r="F794" i="3"/>
  <c r="E794" i="3"/>
  <c r="D794" i="3"/>
  <c r="C794" i="3"/>
  <c r="B794" i="3"/>
  <c r="A794" i="3"/>
  <c r="H793" i="3"/>
  <c r="G793" i="3"/>
  <c r="F793" i="3"/>
  <c r="E793" i="3"/>
  <c r="D793" i="3"/>
  <c r="C793" i="3"/>
  <c r="B793" i="3"/>
  <c r="A793" i="3"/>
  <c r="H792" i="3"/>
  <c r="G792" i="3"/>
  <c r="F792" i="3"/>
  <c r="E792" i="3"/>
  <c r="D792" i="3"/>
  <c r="C792" i="3"/>
  <c r="B792" i="3"/>
  <c r="A792" i="3"/>
  <c r="H791" i="3"/>
  <c r="G791" i="3"/>
  <c r="F791" i="3"/>
  <c r="E791" i="3"/>
  <c r="D791" i="3"/>
  <c r="C791" i="3"/>
  <c r="B791" i="3"/>
  <c r="A791" i="3"/>
  <c r="H790" i="3"/>
  <c r="G790" i="3"/>
  <c r="F790" i="3"/>
  <c r="E790" i="3"/>
  <c r="D790" i="3"/>
  <c r="C790" i="3"/>
  <c r="B790" i="3"/>
  <c r="A790" i="3"/>
  <c r="H789" i="3"/>
  <c r="G789" i="3"/>
  <c r="F789" i="3"/>
  <c r="E789" i="3"/>
  <c r="D789" i="3"/>
  <c r="C789" i="3"/>
  <c r="B789" i="3"/>
  <c r="A789" i="3"/>
  <c r="H788" i="3"/>
  <c r="G788" i="3"/>
  <c r="F788" i="3"/>
  <c r="E788" i="3"/>
  <c r="D788" i="3"/>
  <c r="C788" i="3"/>
  <c r="B788" i="3"/>
  <c r="A788" i="3"/>
  <c r="H787" i="3"/>
  <c r="G787" i="3"/>
  <c r="F787" i="3"/>
  <c r="E787" i="3"/>
  <c r="D787" i="3"/>
  <c r="C787" i="3"/>
  <c r="B787" i="3"/>
  <c r="A787" i="3"/>
  <c r="H786" i="3"/>
  <c r="G786" i="3"/>
  <c r="F786" i="3"/>
  <c r="E786" i="3"/>
  <c r="D786" i="3"/>
  <c r="C786" i="3"/>
  <c r="B786" i="3"/>
  <c r="A786" i="3"/>
  <c r="H785" i="3"/>
  <c r="G785" i="3"/>
  <c r="F785" i="3"/>
  <c r="E785" i="3"/>
  <c r="D785" i="3"/>
  <c r="C785" i="3"/>
  <c r="B785" i="3"/>
  <c r="A785" i="3"/>
  <c r="H784" i="3"/>
  <c r="G784" i="3"/>
  <c r="F784" i="3"/>
  <c r="E784" i="3"/>
  <c r="D784" i="3"/>
  <c r="C784" i="3"/>
  <c r="B784" i="3"/>
  <c r="A784" i="3"/>
  <c r="H783" i="3"/>
  <c r="G783" i="3"/>
  <c r="F783" i="3"/>
  <c r="E783" i="3"/>
  <c r="D783" i="3"/>
  <c r="C783" i="3"/>
  <c r="B783" i="3"/>
  <c r="A783" i="3"/>
  <c r="H782" i="3"/>
  <c r="G782" i="3"/>
  <c r="F782" i="3"/>
  <c r="E782" i="3"/>
  <c r="D782" i="3"/>
  <c r="C782" i="3"/>
  <c r="B782" i="3"/>
  <c r="A782" i="3"/>
  <c r="H781" i="3"/>
  <c r="G781" i="3"/>
  <c r="F781" i="3"/>
  <c r="E781" i="3"/>
  <c r="D781" i="3"/>
  <c r="C781" i="3"/>
  <c r="B781" i="3"/>
  <c r="A781" i="3"/>
  <c r="H780" i="3"/>
  <c r="G780" i="3"/>
  <c r="F780" i="3"/>
  <c r="E780" i="3"/>
  <c r="D780" i="3"/>
  <c r="C780" i="3"/>
  <c r="B780" i="3"/>
  <c r="A780" i="3"/>
  <c r="H779" i="3"/>
  <c r="G779" i="3"/>
  <c r="F779" i="3"/>
  <c r="E779" i="3"/>
  <c r="D779" i="3"/>
  <c r="C779" i="3"/>
  <c r="B779" i="3"/>
  <c r="A779" i="3"/>
  <c r="H778" i="3"/>
  <c r="G778" i="3"/>
  <c r="F778" i="3"/>
  <c r="E778" i="3"/>
  <c r="D778" i="3"/>
  <c r="C778" i="3"/>
  <c r="B778" i="3"/>
  <c r="A778" i="3"/>
  <c r="H777" i="3"/>
  <c r="G777" i="3"/>
  <c r="F777" i="3"/>
  <c r="E777" i="3"/>
  <c r="D777" i="3"/>
  <c r="C777" i="3"/>
  <c r="B777" i="3"/>
  <c r="A777" i="3"/>
  <c r="H776" i="3"/>
  <c r="G776" i="3"/>
  <c r="F776" i="3"/>
  <c r="E776" i="3"/>
  <c r="D776" i="3"/>
  <c r="C776" i="3"/>
  <c r="B776" i="3"/>
  <c r="A776" i="3"/>
  <c r="H775" i="3"/>
  <c r="G775" i="3"/>
  <c r="F775" i="3"/>
  <c r="E775" i="3"/>
  <c r="D775" i="3"/>
  <c r="C775" i="3"/>
  <c r="B775" i="3"/>
  <c r="A775" i="3"/>
  <c r="H774" i="3"/>
  <c r="G774" i="3"/>
  <c r="F774" i="3"/>
  <c r="E774" i="3"/>
  <c r="D774" i="3"/>
  <c r="C774" i="3"/>
  <c r="B774" i="3"/>
  <c r="A774" i="3"/>
  <c r="H773" i="3"/>
  <c r="G773" i="3"/>
  <c r="F773" i="3"/>
  <c r="E773" i="3"/>
  <c r="D773" i="3"/>
  <c r="C773" i="3"/>
  <c r="B773" i="3"/>
  <c r="A773" i="3"/>
  <c r="H772" i="3"/>
  <c r="G772" i="3"/>
  <c r="F772" i="3"/>
  <c r="E772" i="3"/>
  <c r="D772" i="3"/>
  <c r="C772" i="3"/>
  <c r="B772" i="3"/>
  <c r="A772" i="3"/>
  <c r="H771" i="3"/>
  <c r="G771" i="3"/>
  <c r="F771" i="3"/>
  <c r="E771" i="3"/>
  <c r="D771" i="3"/>
  <c r="C771" i="3"/>
  <c r="B771" i="3"/>
  <c r="A771" i="3"/>
  <c r="H770" i="3"/>
  <c r="G770" i="3"/>
  <c r="F770" i="3"/>
  <c r="E770" i="3"/>
  <c r="D770" i="3"/>
  <c r="C770" i="3"/>
  <c r="B770" i="3"/>
  <c r="A770" i="3"/>
  <c r="H769" i="3"/>
  <c r="G769" i="3"/>
  <c r="F769" i="3"/>
  <c r="E769" i="3"/>
  <c r="D769" i="3"/>
  <c r="C769" i="3"/>
  <c r="B769" i="3"/>
  <c r="A769" i="3"/>
  <c r="H768" i="3"/>
  <c r="G768" i="3"/>
  <c r="F768" i="3"/>
  <c r="E768" i="3"/>
  <c r="D768" i="3"/>
  <c r="C768" i="3"/>
  <c r="B768" i="3"/>
  <c r="A768" i="3"/>
  <c r="H767" i="3"/>
  <c r="G767" i="3"/>
  <c r="F767" i="3"/>
  <c r="E767" i="3"/>
  <c r="D767" i="3"/>
  <c r="C767" i="3"/>
  <c r="B767" i="3"/>
  <c r="A767" i="3"/>
  <c r="H766" i="3"/>
  <c r="G766" i="3"/>
  <c r="F766" i="3"/>
  <c r="E766" i="3"/>
  <c r="D766" i="3"/>
  <c r="C766" i="3"/>
  <c r="B766" i="3"/>
  <c r="A766" i="3"/>
  <c r="H765" i="3"/>
  <c r="G765" i="3"/>
  <c r="F765" i="3"/>
  <c r="E765" i="3"/>
  <c r="D765" i="3"/>
  <c r="C765" i="3"/>
  <c r="B765" i="3"/>
  <c r="A765" i="3"/>
  <c r="H764" i="3"/>
  <c r="G764" i="3"/>
  <c r="F764" i="3"/>
  <c r="E764" i="3"/>
  <c r="D764" i="3"/>
  <c r="C764" i="3"/>
  <c r="B764" i="3"/>
  <c r="A764" i="3"/>
  <c r="H763" i="3"/>
  <c r="G763" i="3"/>
  <c r="F763" i="3"/>
  <c r="E763" i="3"/>
  <c r="D763" i="3"/>
  <c r="C763" i="3"/>
  <c r="B763" i="3"/>
  <c r="A763" i="3"/>
  <c r="H762" i="3"/>
  <c r="G762" i="3"/>
  <c r="F762" i="3"/>
  <c r="E762" i="3"/>
  <c r="D762" i="3"/>
  <c r="C762" i="3"/>
  <c r="B762" i="3"/>
  <c r="A762" i="3"/>
  <c r="H761" i="3"/>
  <c r="G761" i="3"/>
  <c r="F761" i="3"/>
  <c r="E761" i="3"/>
  <c r="D761" i="3"/>
  <c r="C761" i="3"/>
  <c r="B761" i="3"/>
  <c r="A761" i="3"/>
  <c r="H760" i="3"/>
  <c r="G760" i="3"/>
  <c r="F760" i="3"/>
  <c r="E760" i="3"/>
  <c r="D760" i="3"/>
  <c r="C760" i="3"/>
  <c r="B760" i="3"/>
  <c r="A760" i="3"/>
  <c r="H759" i="3"/>
  <c r="G759" i="3"/>
  <c r="F759" i="3"/>
  <c r="E759" i="3"/>
  <c r="D759" i="3"/>
  <c r="C759" i="3"/>
  <c r="B759" i="3"/>
  <c r="A759" i="3"/>
  <c r="H758" i="3"/>
  <c r="G758" i="3"/>
  <c r="F758" i="3"/>
  <c r="E758" i="3"/>
  <c r="D758" i="3"/>
  <c r="C758" i="3"/>
  <c r="B758" i="3"/>
  <c r="A758" i="3"/>
  <c r="H757" i="3"/>
  <c r="G757" i="3"/>
  <c r="F757" i="3"/>
  <c r="E757" i="3"/>
  <c r="D757" i="3"/>
  <c r="C757" i="3"/>
  <c r="B757" i="3"/>
  <c r="A757" i="3"/>
  <c r="H756" i="3"/>
  <c r="G756" i="3"/>
  <c r="F756" i="3"/>
  <c r="E756" i="3"/>
  <c r="D756" i="3"/>
  <c r="C756" i="3"/>
  <c r="B756" i="3"/>
  <c r="A756" i="3"/>
  <c r="H755" i="3"/>
  <c r="G755" i="3"/>
  <c r="F755" i="3"/>
  <c r="E755" i="3"/>
  <c r="D755" i="3"/>
  <c r="C755" i="3"/>
  <c r="B755" i="3"/>
  <c r="A755" i="3"/>
  <c r="H754" i="3"/>
  <c r="G754" i="3"/>
  <c r="F754" i="3"/>
  <c r="E754" i="3"/>
  <c r="D754" i="3"/>
  <c r="C754" i="3"/>
  <c r="B754" i="3"/>
  <c r="A754" i="3"/>
  <c r="H753" i="3"/>
  <c r="G753" i="3"/>
  <c r="F753" i="3"/>
  <c r="E753" i="3"/>
  <c r="D753" i="3"/>
  <c r="C753" i="3"/>
  <c r="B753" i="3"/>
  <c r="A753" i="3"/>
  <c r="H752" i="3"/>
  <c r="G752" i="3"/>
  <c r="F752" i="3"/>
  <c r="E752" i="3"/>
  <c r="D752" i="3"/>
  <c r="C752" i="3"/>
  <c r="B752" i="3"/>
  <c r="A752" i="3"/>
  <c r="H751" i="3"/>
  <c r="G751" i="3"/>
  <c r="F751" i="3"/>
  <c r="E751" i="3"/>
  <c r="D751" i="3"/>
  <c r="C751" i="3"/>
  <c r="B751" i="3"/>
  <c r="A751" i="3"/>
  <c r="H750" i="3"/>
  <c r="G750" i="3"/>
  <c r="F750" i="3"/>
  <c r="E750" i="3"/>
  <c r="D750" i="3"/>
  <c r="C750" i="3"/>
  <c r="B750" i="3"/>
  <c r="A750" i="3"/>
  <c r="H749" i="3"/>
  <c r="G749" i="3"/>
  <c r="F749" i="3"/>
  <c r="E749" i="3"/>
  <c r="D749" i="3"/>
  <c r="C749" i="3"/>
  <c r="B749" i="3"/>
  <c r="A749" i="3"/>
  <c r="H748" i="3"/>
  <c r="G748" i="3"/>
  <c r="F748" i="3"/>
  <c r="E748" i="3"/>
  <c r="D748" i="3"/>
  <c r="C748" i="3"/>
  <c r="B748" i="3"/>
  <c r="A748" i="3"/>
  <c r="H747" i="3"/>
  <c r="G747" i="3"/>
  <c r="F747" i="3"/>
  <c r="E747" i="3"/>
  <c r="D747" i="3"/>
  <c r="C747" i="3"/>
  <c r="B747" i="3"/>
  <c r="A747" i="3"/>
  <c r="H746" i="3"/>
  <c r="G746" i="3"/>
  <c r="F746" i="3"/>
  <c r="E746" i="3"/>
  <c r="D746" i="3"/>
  <c r="C746" i="3"/>
  <c r="B746" i="3"/>
  <c r="A746" i="3"/>
  <c r="H745" i="3"/>
  <c r="G745" i="3"/>
  <c r="F745" i="3"/>
  <c r="E745" i="3"/>
  <c r="D745" i="3"/>
  <c r="C745" i="3"/>
  <c r="B745" i="3"/>
  <c r="A745" i="3"/>
  <c r="H744" i="3"/>
  <c r="G744" i="3"/>
  <c r="F744" i="3"/>
  <c r="E744" i="3"/>
  <c r="D744" i="3"/>
  <c r="C744" i="3"/>
  <c r="B744" i="3"/>
  <c r="A744" i="3"/>
  <c r="H743" i="3"/>
  <c r="G743" i="3"/>
  <c r="F743" i="3"/>
  <c r="E743" i="3"/>
  <c r="D743" i="3"/>
  <c r="C743" i="3"/>
  <c r="B743" i="3"/>
  <c r="A743" i="3"/>
  <c r="H742" i="3"/>
  <c r="G742" i="3"/>
  <c r="F742" i="3"/>
  <c r="E742" i="3"/>
  <c r="D742" i="3"/>
  <c r="C742" i="3"/>
  <c r="B742" i="3"/>
  <c r="A742" i="3"/>
  <c r="H741" i="3"/>
  <c r="G741" i="3"/>
  <c r="F741" i="3"/>
  <c r="E741" i="3"/>
  <c r="D741" i="3"/>
  <c r="C741" i="3"/>
  <c r="B741" i="3"/>
  <c r="A741" i="3"/>
  <c r="H740" i="3"/>
  <c r="G740" i="3"/>
  <c r="F740" i="3"/>
  <c r="E740" i="3"/>
  <c r="D740" i="3"/>
  <c r="C740" i="3"/>
  <c r="B740" i="3"/>
  <c r="A740" i="3"/>
  <c r="H739" i="3"/>
  <c r="G739" i="3"/>
  <c r="F739" i="3"/>
  <c r="E739" i="3"/>
  <c r="D739" i="3"/>
  <c r="C739" i="3"/>
  <c r="B739" i="3"/>
  <c r="A739" i="3"/>
  <c r="H738" i="3"/>
  <c r="G738" i="3"/>
  <c r="F738" i="3"/>
  <c r="E738" i="3"/>
  <c r="D738" i="3"/>
  <c r="C738" i="3"/>
  <c r="B738" i="3"/>
  <c r="A738" i="3"/>
  <c r="H737" i="3"/>
  <c r="G737" i="3"/>
  <c r="F737" i="3"/>
  <c r="E737" i="3"/>
  <c r="D737" i="3"/>
  <c r="C737" i="3"/>
  <c r="B737" i="3"/>
  <c r="A737" i="3"/>
  <c r="H736" i="3"/>
  <c r="G736" i="3"/>
  <c r="F736" i="3"/>
  <c r="E736" i="3"/>
  <c r="D736" i="3"/>
  <c r="C736" i="3"/>
  <c r="B736" i="3"/>
  <c r="A736" i="3"/>
  <c r="H735" i="3"/>
  <c r="G735" i="3"/>
  <c r="F735" i="3"/>
  <c r="E735" i="3"/>
  <c r="D735" i="3"/>
  <c r="C735" i="3"/>
  <c r="B735" i="3"/>
  <c r="A735" i="3"/>
  <c r="H734" i="3"/>
  <c r="G734" i="3"/>
  <c r="F734" i="3"/>
  <c r="E734" i="3"/>
  <c r="D734" i="3"/>
  <c r="C734" i="3"/>
  <c r="B734" i="3"/>
  <c r="A734" i="3"/>
  <c r="H733" i="3"/>
  <c r="G733" i="3"/>
  <c r="F733" i="3"/>
  <c r="E733" i="3"/>
  <c r="D733" i="3"/>
  <c r="C733" i="3"/>
  <c r="B733" i="3"/>
  <c r="A733" i="3"/>
  <c r="H732" i="3"/>
  <c r="G732" i="3"/>
  <c r="F732" i="3"/>
  <c r="E732" i="3"/>
  <c r="D732" i="3"/>
  <c r="C732" i="3"/>
  <c r="B732" i="3"/>
  <c r="A732" i="3"/>
  <c r="H731" i="3"/>
  <c r="G731" i="3"/>
  <c r="F731" i="3"/>
  <c r="E731" i="3"/>
  <c r="D731" i="3"/>
  <c r="C731" i="3"/>
  <c r="B731" i="3"/>
  <c r="A731" i="3"/>
  <c r="H730" i="3"/>
  <c r="G730" i="3"/>
  <c r="F730" i="3"/>
  <c r="E730" i="3"/>
  <c r="D730" i="3"/>
  <c r="C730" i="3"/>
  <c r="B730" i="3"/>
  <c r="A730" i="3"/>
  <c r="H729" i="3"/>
  <c r="G729" i="3"/>
  <c r="F729" i="3"/>
  <c r="E729" i="3"/>
  <c r="D729" i="3"/>
  <c r="C729" i="3"/>
  <c r="B729" i="3"/>
  <c r="A729" i="3"/>
  <c r="H728" i="3"/>
  <c r="G728" i="3"/>
  <c r="F728" i="3"/>
  <c r="E728" i="3"/>
  <c r="D728" i="3"/>
  <c r="C728" i="3"/>
  <c r="B728" i="3"/>
  <c r="A728" i="3"/>
  <c r="H727" i="3"/>
  <c r="G727" i="3"/>
  <c r="F727" i="3"/>
  <c r="E727" i="3"/>
  <c r="D727" i="3"/>
  <c r="C727" i="3"/>
  <c r="B727" i="3"/>
  <c r="A727" i="3"/>
  <c r="H726" i="3"/>
  <c r="G726" i="3"/>
  <c r="F726" i="3"/>
  <c r="E726" i="3"/>
  <c r="D726" i="3"/>
  <c r="C726" i="3"/>
  <c r="B726" i="3"/>
  <c r="A726" i="3"/>
  <c r="H725" i="3"/>
  <c r="G725" i="3"/>
  <c r="F725" i="3"/>
  <c r="E725" i="3"/>
  <c r="D725" i="3"/>
  <c r="C725" i="3"/>
  <c r="B725" i="3"/>
  <c r="A725" i="3"/>
  <c r="H724" i="3"/>
  <c r="G724" i="3"/>
  <c r="F724" i="3"/>
  <c r="E724" i="3"/>
  <c r="D724" i="3"/>
  <c r="C724" i="3"/>
  <c r="B724" i="3"/>
  <c r="A724" i="3"/>
  <c r="H723" i="3"/>
  <c r="G723" i="3"/>
  <c r="F723" i="3"/>
  <c r="E723" i="3"/>
  <c r="D723" i="3"/>
  <c r="C723" i="3"/>
  <c r="B723" i="3"/>
  <c r="A723" i="3"/>
  <c r="H722" i="3"/>
  <c r="G722" i="3"/>
  <c r="F722" i="3"/>
  <c r="E722" i="3"/>
  <c r="D722" i="3"/>
  <c r="C722" i="3"/>
  <c r="B722" i="3"/>
  <c r="A722" i="3"/>
  <c r="H721" i="3"/>
  <c r="G721" i="3"/>
  <c r="F721" i="3"/>
  <c r="E721" i="3"/>
  <c r="D721" i="3"/>
  <c r="C721" i="3"/>
  <c r="B721" i="3"/>
  <c r="A721" i="3"/>
  <c r="H720" i="3"/>
  <c r="G720" i="3"/>
  <c r="F720" i="3"/>
  <c r="E720" i="3"/>
  <c r="D720" i="3"/>
  <c r="C720" i="3"/>
  <c r="B720" i="3"/>
  <c r="A720" i="3"/>
  <c r="H719" i="3"/>
  <c r="G719" i="3"/>
  <c r="F719" i="3"/>
  <c r="E719" i="3"/>
  <c r="D719" i="3"/>
  <c r="C719" i="3"/>
  <c r="B719" i="3"/>
  <c r="A719" i="3"/>
  <c r="H718" i="3"/>
  <c r="G718" i="3"/>
  <c r="F718" i="3"/>
  <c r="E718" i="3"/>
  <c r="D718" i="3"/>
  <c r="C718" i="3"/>
  <c r="B718" i="3"/>
  <c r="A718" i="3"/>
  <c r="H717" i="3"/>
  <c r="G717" i="3"/>
  <c r="F717" i="3"/>
  <c r="E717" i="3"/>
  <c r="D717" i="3"/>
  <c r="C717" i="3"/>
  <c r="B717" i="3"/>
  <c r="A717" i="3"/>
  <c r="H716" i="3"/>
  <c r="G716" i="3"/>
  <c r="F716" i="3"/>
  <c r="E716" i="3"/>
  <c r="D716" i="3"/>
  <c r="C716" i="3"/>
  <c r="B716" i="3"/>
  <c r="A716" i="3"/>
  <c r="H715" i="3"/>
  <c r="G715" i="3"/>
  <c r="F715" i="3"/>
  <c r="E715" i="3"/>
  <c r="D715" i="3"/>
  <c r="C715" i="3"/>
  <c r="B715" i="3"/>
  <c r="A715" i="3"/>
  <c r="H714" i="3"/>
  <c r="G714" i="3"/>
  <c r="F714" i="3"/>
  <c r="E714" i="3"/>
  <c r="D714" i="3"/>
  <c r="C714" i="3"/>
  <c r="B714" i="3"/>
  <c r="A714" i="3"/>
  <c r="H713" i="3"/>
  <c r="G713" i="3"/>
  <c r="F713" i="3"/>
  <c r="E713" i="3"/>
  <c r="D713" i="3"/>
  <c r="C713" i="3"/>
  <c r="B713" i="3"/>
  <c r="A713" i="3"/>
  <c r="H712" i="3"/>
  <c r="G712" i="3"/>
  <c r="F712" i="3"/>
  <c r="E712" i="3"/>
  <c r="D712" i="3"/>
  <c r="C712" i="3"/>
  <c r="B712" i="3"/>
  <c r="A712" i="3"/>
  <c r="H711" i="3"/>
  <c r="G711" i="3"/>
  <c r="F711" i="3"/>
  <c r="E711" i="3"/>
  <c r="D711" i="3"/>
  <c r="C711" i="3"/>
  <c r="B711" i="3"/>
  <c r="A711" i="3"/>
  <c r="H710" i="3"/>
  <c r="G710" i="3"/>
  <c r="F710" i="3"/>
  <c r="E710" i="3"/>
  <c r="D710" i="3"/>
  <c r="C710" i="3"/>
  <c r="B710" i="3"/>
  <c r="A710" i="3"/>
  <c r="H709" i="3"/>
  <c r="G709" i="3"/>
  <c r="F709" i="3"/>
  <c r="E709" i="3"/>
  <c r="D709" i="3"/>
  <c r="C709" i="3"/>
  <c r="B709" i="3"/>
  <c r="A709" i="3"/>
  <c r="H708" i="3"/>
  <c r="G708" i="3"/>
  <c r="F708" i="3"/>
  <c r="E708" i="3"/>
  <c r="D708" i="3"/>
  <c r="C708" i="3"/>
  <c r="B708" i="3"/>
  <c r="A708" i="3"/>
  <c r="H707" i="3"/>
  <c r="G707" i="3"/>
  <c r="F707" i="3"/>
  <c r="E707" i="3"/>
  <c r="D707" i="3"/>
  <c r="C707" i="3"/>
  <c r="B707" i="3"/>
  <c r="A707" i="3"/>
  <c r="H706" i="3"/>
  <c r="G706" i="3"/>
  <c r="F706" i="3"/>
  <c r="E706" i="3"/>
  <c r="D706" i="3"/>
  <c r="C706" i="3"/>
  <c r="B706" i="3"/>
  <c r="A706" i="3"/>
  <c r="H705" i="3"/>
  <c r="G705" i="3"/>
  <c r="F705" i="3"/>
  <c r="E705" i="3"/>
  <c r="D705" i="3"/>
  <c r="C705" i="3"/>
  <c r="B705" i="3"/>
  <c r="A705" i="3"/>
  <c r="H704" i="3"/>
  <c r="G704" i="3"/>
  <c r="F704" i="3"/>
  <c r="E704" i="3"/>
  <c r="D704" i="3"/>
  <c r="C704" i="3"/>
  <c r="B704" i="3"/>
  <c r="A704" i="3"/>
  <c r="H703" i="3"/>
  <c r="G703" i="3"/>
  <c r="F703" i="3"/>
  <c r="E703" i="3"/>
  <c r="D703" i="3"/>
  <c r="C703" i="3"/>
  <c r="B703" i="3"/>
  <c r="A703" i="3"/>
  <c r="H702" i="3"/>
  <c r="G702" i="3"/>
  <c r="F702" i="3"/>
  <c r="E702" i="3"/>
  <c r="D702" i="3"/>
  <c r="C702" i="3"/>
  <c r="B702" i="3"/>
  <c r="A702" i="3"/>
  <c r="H701" i="3"/>
  <c r="G701" i="3"/>
  <c r="F701" i="3"/>
  <c r="E701" i="3"/>
  <c r="D701" i="3"/>
  <c r="C701" i="3"/>
  <c r="B701" i="3"/>
  <c r="A701" i="3"/>
  <c r="H700" i="3"/>
  <c r="G700" i="3"/>
  <c r="F700" i="3"/>
  <c r="E700" i="3"/>
  <c r="D700" i="3"/>
  <c r="C700" i="3"/>
  <c r="B700" i="3"/>
  <c r="A700" i="3"/>
  <c r="H699" i="3"/>
  <c r="G699" i="3"/>
  <c r="F699" i="3"/>
  <c r="E699" i="3"/>
  <c r="D699" i="3"/>
  <c r="C699" i="3"/>
  <c r="B699" i="3"/>
  <c r="A699" i="3"/>
  <c r="H698" i="3"/>
  <c r="G698" i="3"/>
  <c r="F698" i="3"/>
  <c r="E698" i="3"/>
  <c r="D698" i="3"/>
  <c r="C698" i="3"/>
  <c r="B698" i="3"/>
  <c r="A698" i="3"/>
  <c r="H697" i="3"/>
  <c r="G697" i="3"/>
  <c r="F697" i="3"/>
  <c r="E697" i="3"/>
  <c r="D697" i="3"/>
  <c r="C697" i="3"/>
  <c r="B697" i="3"/>
  <c r="A697" i="3"/>
  <c r="H696" i="3"/>
  <c r="G696" i="3"/>
  <c r="F696" i="3"/>
  <c r="E696" i="3"/>
  <c r="D696" i="3"/>
  <c r="C696" i="3"/>
  <c r="B696" i="3"/>
  <c r="A696" i="3"/>
  <c r="H695" i="3"/>
  <c r="G695" i="3"/>
  <c r="F695" i="3"/>
  <c r="E695" i="3"/>
  <c r="D695" i="3"/>
  <c r="C695" i="3"/>
  <c r="B695" i="3"/>
  <c r="A695" i="3"/>
  <c r="H694" i="3"/>
  <c r="G694" i="3"/>
  <c r="F694" i="3"/>
  <c r="E694" i="3"/>
  <c r="D694" i="3"/>
  <c r="C694" i="3"/>
  <c r="B694" i="3"/>
  <c r="A694" i="3"/>
  <c r="H693" i="3"/>
  <c r="G693" i="3"/>
  <c r="F693" i="3"/>
  <c r="E693" i="3"/>
  <c r="D693" i="3"/>
  <c r="C693" i="3"/>
  <c r="B693" i="3"/>
  <c r="A693" i="3"/>
  <c r="H692" i="3"/>
  <c r="G692" i="3"/>
  <c r="F692" i="3"/>
  <c r="E692" i="3"/>
  <c r="D692" i="3"/>
  <c r="C692" i="3"/>
  <c r="B692" i="3"/>
  <c r="A692" i="3"/>
  <c r="H691" i="3"/>
  <c r="G691" i="3"/>
  <c r="F691" i="3"/>
  <c r="E691" i="3"/>
  <c r="D691" i="3"/>
  <c r="C691" i="3"/>
  <c r="B691" i="3"/>
  <c r="A691" i="3"/>
  <c r="H690" i="3"/>
  <c r="G690" i="3"/>
  <c r="F690" i="3"/>
  <c r="E690" i="3"/>
  <c r="D690" i="3"/>
  <c r="C690" i="3"/>
  <c r="B690" i="3"/>
  <c r="A690" i="3"/>
  <c r="H689" i="3"/>
  <c r="G689" i="3"/>
  <c r="F689" i="3"/>
  <c r="E689" i="3"/>
  <c r="D689" i="3"/>
  <c r="C689" i="3"/>
  <c r="B689" i="3"/>
  <c r="A689" i="3"/>
  <c r="H688" i="3"/>
  <c r="G688" i="3"/>
  <c r="F688" i="3"/>
  <c r="E688" i="3"/>
  <c r="D688" i="3"/>
  <c r="C688" i="3"/>
  <c r="B688" i="3"/>
  <c r="A688" i="3"/>
  <c r="H687" i="3"/>
  <c r="G687" i="3"/>
  <c r="F687" i="3"/>
  <c r="E687" i="3"/>
  <c r="D687" i="3"/>
  <c r="C687" i="3"/>
  <c r="B687" i="3"/>
  <c r="A687" i="3"/>
  <c r="H686" i="3"/>
  <c r="G686" i="3"/>
  <c r="F686" i="3"/>
  <c r="E686" i="3"/>
  <c r="D686" i="3"/>
  <c r="C686" i="3"/>
  <c r="B686" i="3"/>
  <c r="A686" i="3"/>
  <c r="H685" i="3"/>
  <c r="G685" i="3"/>
  <c r="F685" i="3"/>
  <c r="E685" i="3"/>
  <c r="D685" i="3"/>
  <c r="C685" i="3"/>
  <c r="B685" i="3"/>
  <c r="A685" i="3"/>
  <c r="H684" i="3"/>
  <c r="G684" i="3"/>
  <c r="F684" i="3"/>
  <c r="E684" i="3"/>
  <c r="D684" i="3"/>
  <c r="C684" i="3"/>
  <c r="B684" i="3"/>
  <c r="A684" i="3"/>
  <c r="H683" i="3"/>
  <c r="G683" i="3"/>
  <c r="F683" i="3"/>
  <c r="E683" i="3"/>
  <c r="D683" i="3"/>
  <c r="C683" i="3"/>
  <c r="B683" i="3"/>
  <c r="A683" i="3"/>
  <c r="H682" i="3"/>
  <c r="G682" i="3"/>
  <c r="F682" i="3"/>
  <c r="E682" i="3"/>
  <c r="D682" i="3"/>
  <c r="C682" i="3"/>
  <c r="B682" i="3"/>
  <c r="A682" i="3"/>
  <c r="H681" i="3"/>
  <c r="G681" i="3"/>
  <c r="F681" i="3"/>
  <c r="E681" i="3"/>
  <c r="D681" i="3"/>
  <c r="C681" i="3"/>
  <c r="B681" i="3"/>
  <c r="A681" i="3"/>
  <c r="H680" i="3"/>
  <c r="G680" i="3"/>
  <c r="F680" i="3"/>
  <c r="E680" i="3"/>
  <c r="D680" i="3"/>
  <c r="C680" i="3"/>
  <c r="B680" i="3"/>
  <c r="A680" i="3"/>
  <c r="H679" i="3"/>
  <c r="G679" i="3"/>
  <c r="F679" i="3"/>
  <c r="E679" i="3"/>
  <c r="D679" i="3"/>
  <c r="C679" i="3"/>
  <c r="B679" i="3"/>
  <c r="A679" i="3"/>
  <c r="H678" i="3"/>
  <c r="G678" i="3"/>
  <c r="F678" i="3"/>
  <c r="E678" i="3"/>
  <c r="D678" i="3"/>
  <c r="C678" i="3"/>
  <c r="B678" i="3"/>
  <c r="A678" i="3"/>
  <c r="H677" i="3"/>
  <c r="G677" i="3"/>
  <c r="F677" i="3"/>
  <c r="E677" i="3"/>
  <c r="D677" i="3"/>
  <c r="C677" i="3"/>
  <c r="B677" i="3"/>
  <c r="A677" i="3"/>
  <c r="H676" i="3"/>
  <c r="G676" i="3"/>
  <c r="F676" i="3"/>
  <c r="E676" i="3"/>
  <c r="D676" i="3"/>
  <c r="C676" i="3"/>
  <c r="B676" i="3"/>
  <c r="A676" i="3"/>
  <c r="H675" i="3"/>
  <c r="G675" i="3"/>
  <c r="F675" i="3"/>
  <c r="E675" i="3"/>
  <c r="D675" i="3"/>
  <c r="C675" i="3"/>
  <c r="B675" i="3"/>
  <c r="A675" i="3"/>
  <c r="H674" i="3"/>
  <c r="G674" i="3"/>
  <c r="F674" i="3"/>
  <c r="E674" i="3"/>
  <c r="D674" i="3"/>
  <c r="C674" i="3"/>
  <c r="B674" i="3"/>
  <c r="A674" i="3"/>
  <c r="H673" i="3"/>
  <c r="G673" i="3"/>
  <c r="F673" i="3"/>
  <c r="E673" i="3"/>
  <c r="D673" i="3"/>
  <c r="C673" i="3"/>
  <c r="B673" i="3"/>
  <c r="A673" i="3"/>
  <c r="H672" i="3"/>
  <c r="G672" i="3"/>
  <c r="F672" i="3"/>
  <c r="E672" i="3"/>
  <c r="D672" i="3"/>
  <c r="C672" i="3"/>
  <c r="B672" i="3"/>
  <c r="A672" i="3"/>
  <c r="H671" i="3"/>
  <c r="G671" i="3"/>
  <c r="F671" i="3"/>
  <c r="E671" i="3"/>
  <c r="D671" i="3"/>
  <c r="C671" i="3"/>
  <c r="B671" i="3"/>
  <c r="A671" i="3"/>
  <c r="H670" i="3"/>
  <c r="G670" i="3"/>
  <c r="F670" i="3"/>
  <c r="E670" i="3"/>
  <c r="D670" i="3"/>
  <c r="C670" i="3"/>
  <c r="B670" i="3"/>
  <c r="A670" i="3"/>
  <c r="H669" i="3"/>
  <c r="G669" i="3"/>
  <c r="F669" i="3"/>
  <c r="E669" i="3"/>
  <c r="D669" i="3"/>
  <c r="C669" i="3"/>
  <c r="B669" i="3"/>
  <c r="A669" i="3"/>
  <c r="H668" i="3"/>
  <c r="G668" i="3"/>
  <c r="F668" i="3"/>
  <c r="E668" i="3"/>
  <c r="D668" i="3"/>
  <c r="C668" i="3"/>
  <c r="B668" i="3"/>
  <c r="A668" i="3"/>
  <c r="H667" i="3"/>
  <c r="G667" i="3"/>
  <c r="F667" i="3"/>
  <c r="E667" i="3"/>
  <c r="D667" i="3"/>
  <c r="C667" i="3"/>
  <c r="B667" i="3"/>
  <c r="A667" i="3"/>
  <c r="H666" i="3"/>
  <c r="G666" i="3"/>
  <c r="F666" i="3"/>
  <c r="E666" i="3"/>
  <c r="D666" i="3"/>
  <c r="C666" i="3"/>
  <c r="B666" i="3"/>
  <c r="A666" i="3"/>
  <c r="H665" i="3"/>
  <c r="G665" i="3"/>
  <c r="F665" i="3"/>
  <c r="E665" i="3"/>
  <c r="D665" i="3"/>
  <c r="C665" i="3"/>
  <c r="B665" i="3"/>
  <c r="A665" i="3"/>
  <c r="H664" i="3"/>
  <c r="G664" i="3"/>
  <c r="F664" i="3"/>
  <c r="E664" i="3"/>
  <c r="D664" i="3"/>
  <c r="C664" i="3"/>
  <c r="B664" i="3"/>
  <c r="A664" i="3"/>
  <c r="H663" i="3"/>
  <c r="G663" i="3"/>
  <c r="F663" i="3"/>
  <c r="E663" i="3"/>
  <c r="D663" i="3"/>
  <c r="C663" i="3"/>
  <c r="B663" i="3"/>
  <c r="A663" i="3"/>
  <c r="H662" i="3"/>
  <c r="G662" i="3"/>
  <c r="F662" i="3"/>
  <c r="E662" i="3"/>
  <c r="D662" i="3"/>
  <c r="C662" i="3"/>
  <c r="B662" i="3"/>
  <c r="A662" i="3"/>
  <c r="H661" i="3"/>
  <c r="G661" i="3"/>
  <c r="F661" i="3"/>
  <c r="E661" i="3"/>
  <c r="D661" i="3"/>
  <c r="C661" i="3"/>
  <c r="B661" i="3"/>
  <c r="A661" i="3"/>
  <c r="H660" i="3"/>
  <c r="G660" i="3"/>
  <c r="F660" i="3"/>
  <c r="E660" i="3"/>
  <c r="D660" i="3"/>
  <c r="C660" i="3"/>
  <c r="B660" i="3"/>
  <c r="A660" i="3"/>
  <c r="H659" i="3"/>
  <c r="G659" i="3"/>
  <c r="F659" i="3"/>
  <c r="E659" i="3"/>
  <c r="D659" i="3"/>
  <c r="C659" i="3"/>
  <c r="B659" i="3"/>
  <c r="A659" i="3"/>
  <c r="H658" i="3"/>
  <c r="G658" i="3"/>
  <c r="F658" i="3"/>
  <c r="E658" i="3"/>
  <c r="D658" i="3"/>
  <c r="C658" i="3"/>
  <c r="B658" i="3"/>
  <c r="A658" i="3"/>
  <c r="H657" i="3"/>
  <c r="G657" i="3"/>
  <c r="F657" i="3"/>
  <c r="E657" i="3"/>
  <c r="D657" i="3"/>
  <c r="C657" i="3"/>
  <c r="B657" i="3"/>
  <c r="A657" i="3"/>
  <c r="H656" i="3"/>
  <c r="G656" i="3"/>
  <c r="F656" i="3"/>
  <c r="E656" i="3"/>
  <c r="D656" i="3"/>
  <c r="C656" i="3"/>
  <c r="B656" i="3"/>
  <c r="A656" i="3"/>
  <c r="H655" i="3"/>
  <c r="G655" i="3"/>
  <c r="F655" i="3"/>
  <c r="E655" i="3"/>
  <c r="D655" i="3"/>
  <c r="C655" i="3"/>
  <c r="B655" i="3"/>
  <c r="A655" i="3"/>
  <c r="H654" i="3"/>
  <c r="G654" i="3"/>
  <c r="F654" i="3"/>
  <c r="E654" i="3"/>
  <c r="D654" i="3"/>
  <c r="C654" i="3"/>
  <c r="B654" i="3"/>
  <c r="A654" i="3"/>
  <c r="H653" i="3"/>
  <c r="G653" i="3"/>
  <c r="F653" i="3"/>
  <c r="E653" i="3"/>
  <c r="D653" i="3"/>
  <c r="C653" i="3"/>
  <c r="B653" i="3"/>
  <c r="A653" i="3"/>
  <c r="H652" i="3"/>
  <c r="G652" i="3"/>
  <c r="F652" i="3"/>
  <c r="E652" i="3"/>
  <c r="D652" i="3"/>
  <c r="C652" i="3"/>
  <c r="B652" i="3"/>
  <c r="A652" i="3"/>
  <c r="H651" i="3"/>
  <c r="G651" i="3"/>
  <c r="F651" i="3"/>
  <c r="E651" i="3"/>
  <c r="D651" i="3"/>
  <c r="C651" i="3"/>
  <c r="B651" i="3"/>
  <c r="A651" i="3"/>
  <c r="H650" i="3"/>
  <c r="G650" i="3"/>
  <c r="F650" i="3"/>
  <c r="E650" i="3"/>
  <c r="D650" i="3"/>
  <c r="C650" i="3"/>
  <c r="B650" i="3"/>
  <c r="A650" i="3"/>
  <c r="H649" i="3"/>
  <c r="G649" i="3"/>
  <c r="F649" i="3"/>
  <c r="E649" i="3"/>
  <c r="D649" i="3"/>
  <c r="C649" i="3"/>
  <c r="B649" i="3"/>
  <c r="A649" i="3"/>
  <c r="H648" i="3"/>
  <c r="G648" i="3"/>
  <c r="F648" i="3"/>
  <c r="E648" i="3"/>
  <c r="D648" i="3"/>
  <c r="C648" i="3"/>
  <c r="B648" i="3"/>
  <c r="A648" i="3"/>
  <c r="H647" i="3"/>
  <c r="G647" i="3"/>
  <c r="F647" i="3"/>
  <c r="E647" i="3"/>
  <c r="D647" i="3"/>
  <c r="C647" i="3"/>
  <c r="B647" i="3"/>
  <c r="A647" i="3"/>
  <c r="H646" i="3"/>
  <c r="G646" i="3"/>
  <c r="F646" i="3"/>
  <c r="E646" i="3"/>
  <c r="D646" i="3"/>
  <c r="C646" i="3"/>
  <c r="B646" i="3"/>
  <c r="A646" i="3"/>
  <c r="H645" i="3"/>
  <c r="G645" i="3"/>
  <c r="F645" i="3"/>
  <c r="E645" i="3"/>
  <c r="D645" i="3"/>
  <c r="C645" i="3"/>
  <c r="B645" i="3"/>
  <c r="A645" i="3"/>
  <c r="H644" i="3"/>
  <c r="G644" i="3"/>
  <c r="F644" i="3"/>
  <c r="E644" i="3"/>
  <c r="D644" i="3"/>
  <c r="C644" i="3"/>
  <c r="B644" i="3"/>
  <c r="A644" i="3"/>
  <c r="H643" i="3"/>
  <c r="G643" i="3"/>
  <c r="F643" i="3"/>
  <c r="E643" i="3"/>
  <c r="D643" i="3"/>
  <c r="C643" i="3"/>
  <c r="B643" i="3"/>
  <c r="A643" i="3"/>
  <c r="H642" i="3"/>
  <c r="G642" i="3"/>
  <c r="F642" i="3"/>
  <c r="E642" i="3"/>
  <c r="D642" i="3"/>
  <c r="C642" i="3"/>
  <c r="B642" i="3"/>
  <c r="A642" i="3"/>
  <c r="H641" i="3"/>
  <c r="G641" i="3"/>
  <c r="F641" i="3"/>
  <c r="E641" i="3"/>
  <c r="D641" i="3"/>
  <c r="C641" i="3"/>
  <c r="B641" i="3"/>
  <c r="A641" i="3"/>
  <c r="H640" i="3"/>
  <c r="G640" i="3"/>
  <c r="F640" i="3"/>
  <c r="E640" i="3"/>
  <c r="D640" i="3"/>
  <c r="C640" i="3"/>
  <c r="B640" i="3"/>
  <c r="A640" i="3"/>
  <c r="H639" i="3"/>
  <c r="G639" i="3"/>
  <c r="F639" i="3"/>
  <c r="E639" i="3"/>
  <c r="D639" i="3"/>
  <c r="C639" i="3"/>
  <c r="B639" i="3"/>
  <c r="A639" i="3"/>
  <c r="H638" i="3"/>
  <c r="G638" i="3"/>
  <c r="F638" i="3"/>
  <c r="E638" i="3"/>
  <c r="D638" i="3"/>
  <c r="C638" i="3"/>
  <c r="B638" i="3"/>
  <c r="A638" i="3"/>
  <c r="H637" i="3"/>
  <c r="G637" i="3"/>
  <c r="F637" i="3"/>
  <c r="E637" i="3"/>
  <c r="D637" i="3"/>
  <c r="C637" i="3"/>
  <c r="B637" i="3"/>
  <c r="A637" i="3"/>
  <c r="H636" i="3"/>
  <c r="G636" i="3"/>
  <c r="F636" i="3"/>
  <c r="E636" i="3"/>
  <c r="D636" i="3"/>
  <c r="C636" i="3"/>
  <c r="B636" i="3"/>
  <c r="A636" i="3"/>
  <c r="H635" i="3"/>
  <c r="G635" i="3"/>
  <c r="F635" i="3"/>
  <c r="E635" i="3"/>
  <c r="D635" i="3"/>
  <c r="C635" i="3"/>
  <c r="B635" i="3"/>
  <c r="A635" i="3"/>
  <c r="H634" i="3"/>
  <c r="G634" i="3"/>
  <c r="F634" i="3"/>
  <c r="E634" i="3"/>
  <c r="D634" i="3"/>
  <c r="C634" i="3"/>
  <c r="B634" i="3"/>
  <c r="A634" i="3"/>
  <c r="H633" i="3"/>
  <c r="G633" i="3"/>
  <c r="F633" i="3"/>
  <c r="E633" i="3"/>
  <c r="D633" i="3"/>
  <c r="C633" i="3"/>
  <c r="B633" i="3"/>
  <c r="A633" i="3"/>
  <c r="H632" i="3"/>
  <c r="G632" i="3"/>
  <c r="F632" i="3"/>
  <c r="E632" i="3"/>
  <c r="D632" i="3"/>
  <c r="C632" i="3"/>
  <c r="B632" i="3"/>
  <c r="A632" i="3"/>
  <c r="H631" i="3"/>
  <c r="G631" i="3"/>
  <c r="F631" i="3"/>
  <c r="E631" i="3"/>
  <c r="D631" i="3"/>
  <c r="C631" i="3"/>
  <c r="B631" i="3"/>
  <c r="A631" i="3"/>
  <c r="H630" i="3"/>
  <c r="G630" i="3"/>
  <c r="F630" i="3"/>
  <c r="E630" i="3"/>
  <c r="D630" i="3"/>
  <c r="C630" i="3"/>
  <c r="B630" i="3"/>
  <c r="A630" i="3"/>
  <c r="H629" i="3"/>
  <c r="G629" i="3"/>
  <c r="F629" i="3"/>
  <c r="E629" i="3"/>
  <c r="D629" i="3"/>
  <c r="C629" i="3"/>
  <c r="B629" i="3"/>
  <c r="A629" i="3"/>
  <c r="H628" i="3"/>
  <c r="G628" i="3"/>
  <c r="F628" i="3"/>
  <c r="E628" i="3"/>
  <c r="D628" i="3"/>
  <c r="C628" i="3"/>
  <c r="B628" i="3"/>
  <c r="A628" i="3"/>
  <c r="H627" i="3"/>
  <c r="G627" i="3"/>
  <c r="F627" i="3"/>
  <c r="E627" i="3"/>
  <c r="D627" i="3"/>
  <c r="C627" i="3"/>
  <c r="B627" i="3"/>
  <c r="A627" i="3"/>
  <c r="H626" i="3"/>
  <c r="G626" i="3"/>
  <c r="F626" i="3"/>
  <c r="E626" i="3"/>
  <c r="D626" i="3"/>
  <c r="C626" i="3"/>
  <c r="B626" i="3"/>
  <c r="A626" i="3"/>
  <c r="H625" i="3"/>
  <c r="G625" i="3"/>
  <c r="F625" i="3"/>
  <c r="E625" i="3"/>
  <c r="D625" i="3"/>
  <c r="C625" i="3"/>
  <c r="B625" i="3"/>
  <c r="A625" i="3"/>
  <c r="H624" i="3"/>
  <c r="G624" i="3"/>
  <c r="F624" i="3"/>
  <c r="E624" i="3"/>
  <c r="D624" i="3"/>
  <c r="C624" i="3"/>
  <c r="B624" i="3"/>
  <c r="A624" i="3"/>
  <c r="H623" i="3"/>
  <c r="G623" i="3"/>
  <c r="F623" i="3"/>
  <c r="E623" i="3"/>
  <c r="D623" i="3"/>
  <c r="C623" i="3"/>
  <c r="B623" i="3"/>
  <c r="A623" i="3"/>
  <c r="H622" i="3"/>
  <c r="G622" i="3"/>
  <c r="F622" i="3"/>
  <c r="E622" i="3"/>
  <c r="D622" i="3"/>
  <c r="C622" i="3"/>
  <c r="B622" i="3"/>
  <c r="A622" i="3"/>
  <c r="H621" i="3"/>
  <c r="G621" i="3"/>
  <c r="F621" i="3"/>
  <c r="E621" i="3"/>
  <c r="D621" i="3"/>
  <c r="C621" i="3"/>
  <c r="B621" i="3"/>
  <c r="A621" i="3"/>
  <c r="H620" i="3"/>
  <c r="G620" i="3"/>
  <c r="F620" i="3"/>
  <c r="E620" i="3"/>
  <c r="D620" i="3"/>
  <c r="C620" i="3"/>
  <c r="B620" i="3"/>
  <c r="A620" i="3"/>
  <c r="H619" i="3"/>
  <c r="G619" i="3"/>
  <c r="F619" i="3"/>
  <c r="E619" i="3"/>
  <c r="D619" i="3"/>
  <c r="C619" i="3"/>
  <c r="B619" i="3"/>
  <c r="A619" i="3"/>
  <c r="H618" i="3"/>
  <c r="G618" i="3"/>
  <c r="F618" i="3"/>
  <c r="E618" i="3"/>
  <c r="D618" i="3"/>
  <c r="C618" i="3"/>
  <c r="B618" i="3"/>
  <c r="A618" i="3"/>
  <c r="H617" i="3"/>
  <c r="G617" i="3"/>
  <c r="F617" i="3"/>
  <c r="E617" i="3"/>
  <c r="D617" i="3"/>
  <c r="C617" i="3"/>
  <c r="B617" i="3"/>
  <c r="A617" i="3"/>
  <c r="H616" i="3"/>
  <c r="G616" i="3"/>
  <c r="F616" i="3"/>
  <c r="E616" i="3"/>
  <c r="D616" i="3"/>
  <c r="C616" i="3"/>
  <c r="B616" i="3"/>
  <c r="A616" i="3"/>
  <c r="H615" i="3"/>
  <c r="G615" i="3"/>
  <c r="F615" i="3"/>
  <c r="E615" i="3"/>
  <c r="D615" i="3"/>
  <c r="C615" i="3"/>
  <c r="B615" i="3"/>
  <c r="A615" i="3"/>
  <c r="H614" i="3"/>
  <c r="G614" i="3"/>
  <c r="F614" i="3"/>
  <c r="E614" i="3"/>
  <c r="D614" i="3"/>
  <c r="C614" i="3"/>
  <c r="B614" i="3"/>
  <c r="A614" i="3"/>
  <c r="H613" i="3"/>
  <c r="G613" i="3"/>
  <c r="F613" i="3"/>
  <c r="E613" i="3"/>
  <c r="D613" i="3"/>
  <c r="C613" i="3"/>
  <c r="B613" i="3"/>
  <c r="A613" i="3"/>
  <c r="H612" i="3"/>
  <c r="G612" i="3"/>
  <c r="F612" i="3"/>
  <c r="E612" i="3"/>
  <c r="D612" i="3"/>
  <c r="C612" i="3"/>
  <c r="B612" i="3"/>
  <c r="A612" i="3"/>
  <c r="H611" i="3"/>
  <c r="G611" i="3"/>
  <c r="F611" i="3"/>
  <c r="E611" i="3"/>
  <c r="D611" i="3"/>
  <c r="C611" i="3"/>
  <c r="B611" i="3"/>
  <c r="A611" i="3"/>
  <c r="H610" i="3"/>
  <c r="G610" i="3"/>
  <c r="F610" i="3"/>
  <c r="E610" i="3"/>
  <c r="D610" i="3"/>
  <c r="C610" i="3"/>
  <c r="B610" i="3"/>
  <c r="A610" i="3"/>
  <c r="H609" i="3"/>
  <c r="G609" i="3"/>
  <c r="F609" i="3"/>
  <c r="E609" i="3"/>
  <c r="D609" i="3"/>
  <c r="C609" i="3"/>
  <c r="B609" i="3"/>
  <c r="A609" i="3"/>
  <c r="H608" i="3"/>
  <c r="G608" i="3"/>
  <c r="F608" i="3"/>
  <c r="E608" i="3"/>
  <c r="D608" i="3"/>
  <c r="C608" i="3"/>
  <c r="B608" i="3"/>
  <c r="A608" i="3"/>
  <c r="H607" i="3"/>
  <c r="G607" i="3"/>
  <c r="F607" i="3"/>
  <c r="E607" i="3"/>
  <c r="D607" i="3"/>
  <c r="C607" i="3"/>
  <c r="B607" i="3"/>
  <c r="A607" i="3"/>
  <c r="H606" i="3"/>
  <c r="G606" i="3"/>
  <c r="F606" i="3"/>
  <c r="E606" i="3"/>
  <c r="D606" i="3"/>
  <c r="C606" i="3"/>
  <c r="B606" i="3"/>
  <c r="A606" i="3"/>
  <c r="H605" i="3"/>
  <c r="G605" i="3"/>
  <c r="F605" i="3"/>
  <c r="E605" i="3"/>
  <c r="D605" i="3"/>
  <c r="C605" i="3"/>
  <c r="B605" i="3"/>
  <c r="A605" i="3"/>
  <c r="H604" i="3"/>
  <c r="G604" i="3"/>
  <c r="F604" i="3"/>
  <c r="E604" i="3"/>
  <c r="D604" i="3"/>
  <c r="C604" i="3"/>
  <c r="B604" i="3"/>
  <c r="A604" i="3"/>
  <c r="H603" i="3"/>
  <c r="G603" i="3"/>
  <c r="F603" i="3"/>
  <c r="E603" i="3"/>
  <c r="D603" i="3"/>
  <c r="C603" i="3"/>
  <c r="B603" i="3"/>
  <c r="A603" i="3"/>
  <c r="H602" i="3"/>
  <c r="G602" i="3"/>
  <c r="F602" i="3"/>
  <c r="E602" i="3"/>
  <c r="D602" i="3"/>
  <c r="C602" i="3"/>
  <c r="B602" i="3"/>
  <c r="A602" i="3"/>
  <c r="H601" i="3"/>
  <c r="G601" i="3"/>
  <c r="F601" i="3"/>
  <c r="E601" i="3"/>
  <c r="D601" i="3"/>
  <c r="C601" i="3"/>
  <c r="B601" i="3"/>
  <c r="A601" i="3"/>
  <c r="H600" i="3"/>
  <c r="G600" i="3"/>
  <c r="F600" i="3"/>
  <c r="E600" i="3"/>
  <c r="D600" i="3"/>
  <c r="C600" i="3"/>
  <c r="B600" i="3"/>
  <c r="A600" i="3"/>
  <c r="H599" i="3"/>
  <c r="G599" i="3"/>
  <c r="F599" i="3"/>
  <c r="E599" i="3"/>
  <c r="D599" i="3"/>
  <c r="C599" i="3"/>
  <c r="B599" i="3"/>
  <c r="A599" i="3"/>
  <c r="H598" i="3"/>
  <c r="G598" i="3"/>
  <c r="F598" i="3"/>
  <c r="E598" i="3"/>
  <c r="D598" i="3"/>
  <c r="C598" i="3"/>
  <c r="B598" i="3"/>
  <c r="A598" i="3"/>
  <c r="H597" i="3"/>
  <c r="G597" i="3"/>
  <c r="F597" i="3"/>
  <c r="E597" i="3"/>
  <c r="D597" i="3"/>
  <c r="C597" i="3"/>
  <c r="B597" i="3"/>
  <c r="A597" i="3"/>
  <c r="H596" i="3"/>
  <c r="G596" i="3"/>
  <c r="F596" i="3"/>
  <c r="E596" i="3"/>
  <c r="D596" i="3"/>
  <c r="C596" i="3"/>
  <c r="B596" i="3"/>
  <c r="A596" i="3"/>
  <c r="H595" i="3"/>
  <c r="G595" i="3"/>
  <c r="F595" i="3"/>
  <c r="E595" i="3"/>
  <c r="D595" i="3"/>
  <c r="C595" i="3"/>
  <c r="B595" i="3"/>
  <c r="A595" i="3"/>
  <c r="H594" i="3"/>
  <c r="G594" i="3"/>
  <c r="F594" i="3"/>
  <c r="E594" i="3"/>
  <c r="D594" i="3"/>
  <c r="C594" i="3"/>
  <c r="B594" i="3"/>
  <c r="A594" i="3"/>
  <c r="H593" i="3"/>
  <c r="G593" i="3"/>
  <c r="F593" i="3"/>
  <c r="E593" i="3"/>
  <c r="D593" i="3"/>
  <c r="C593" i="3"/>
  <c r="B593" i="3"/>
  <c r="A593" i="3"/>
  <c r="H592" i="3"/>
  <c r="G592" i="3"/>
  <c r="F592" i="3"/>
  <c r="E592" i="3"/>
  <c r="D592" i="3"/>
  <c r="C592" i="3"/>
  <c r="B592" i="3"/>
  <c r="A592" i="3"/>
  <c r="H591" i="3"/>
  <c r="G591" i="3"/>
  <c r="F591" i="3"/>
  <c r="E591" i="3"/>
  <c r="D591" i="3"/>
  <c r="C591" i="3"/>
  <c r="B591" i="3"/>
  <c r="A591" i="3"/>
  <c r="H590" i="3"/>
  <c r="G590" i="3"/>
  <c r="F590" i="3"/>
  <c r="E590" i="3"/>
  <c r="D590" i="3"/>
  <c r="C590" i="3"/>
  <c r="B590" i="3"/>
  <c r="A590" i="3"/>
  <c r="H589" i="3"/>
  <c r="G589" i="3"/>
  <c r="F589" i="3"/>
  <c r="E589" i="3"/>
  <c r="D589" i="3"/>
  <c r="C589" i="3"/>
  <c r="B589" i="3"/>
  <c r="A589" i="3"/>
  <c r="H588" i="3"/>
  <c r="G588" i="3"/>
  <c r="F588" i="3"/>
  <c r="E588" i="3"/>
  <c r="D588" i="3"/>
  <c r="C588" i="3"/>
  <c r="B588" i="3"/>
  <c r="A588" i="3"/>
  <c r="H587" i="3"/>
  <c r="G587" i="3"/>
  <c r="F587" i="3"/>
  <c r="E587" i="3"/>
  <c r="D587" i="3"/>
  <c r="C587" i="3"/>
  <c r="B587" i="3"/>
  <c r="A587" i="3"/>
  <c r="H586" i="3"/>
  <c r="G586" i="3"/>
  <c r="F586" i="3"/>
  <c r="E586" i="3"/>
  <c r="D586" i="3"/>
  <c r="C586" i="3"/>
  <c r="B586" i="3"/>
  <c r="A586" i="3"/>
  <c r="H585" i="3"/>
  <c r="G585" i="3"/>
  <c r="F585" i="3"/>
  <c r="E585" i="3"/>
  <c r="D585" i="3"/>
  <c r="C585" i="3"/>
  <c r="B585" i="3"/>
  <c r="A585" i="3"/>
  <c r="H584" i="3"/>
  <c r="G584" i="3"/>
  <c r="F584" i="3"/>
  <c r="E584" i="3"/>
  <c r="D584" i="3"/>
  <c r="C584" i="3"/>
  <c r="B584" i="3"/>
  <c r="A584" i="3"/>
  <c r="H583" i="3"/>
  <c r="G583" i="3"/>
  <c r="F583" i="3"/>
  <c r="E583" i="3"/>
  <c r="D583" i="3"/>
  <c r="C583" i="3"/>
  <c r="B583" i="3"/>
  <c r="A583" i="3"/>
  <c r="H582" i="3"/>
  <c r="G582" i="3"/>
  <c r="F582" i="3"/>
  <c r="E582" i="3"/>
  <c r="D582" i="3"/>
  <c r="C582" i="3"/>
  <c r="B582" i="3"/>
  <c r="A582" i="3"/>
  <c r="H581" i="3"/>
  <c r="G581" i="3"/>
  <c r="F581" i="3"/>
  <c r="E581" i="3"/>
  <c r="D581" i="3"/>
  <c r="C581" i="3"/>
  <c r="B581" i="3"/>
  <c r="A581" i="3"/>
  <c r="H580" i="3"/>
  <c r="G580" i="3"/>
  <c r="F580" i="3"/>
  <c r="E580" i="3"/>
  <c r="D580" i="3"/>
  <c r="C580" i="3"/>
  <c r="B580" i="3"/>
  <c r="A580" i="3"/>
  <c r="H579" i="3"/>
  <c r="G579" i="3"/>
  <c r="F579" i="3"/>
  <c r="E579" i="3"/>
  <c r="D579" i="3"/>
  <c r="C579" i="3"/>
  <c r="B579" i="3"/>
  <c r="A579" i="3"/>
  <c r="H578" i="3"/>
  <c r="G578" i="3"/>
  <c r="F578" i="3"/>
  <c r="E578" i="3"/>
  <c r="D578" i="3"/>
  <c r="C578" i="3"/>
  <c r="B578" i="3"/>
  <c r="A578" i="3"/>
  <c r="H577" i="3"/>
  <c r="G577" i="3"/>
  <c r="F577" i="3"/>
  <c r="E577" i="3"/>
  <c r="D577" i="3"/>
  <c r="C577" i="3"/>
  <c r="B577" i="3"/>
  <c r="A577" i="3"/>
  <c r="H576" i="3"/>
  <c r="G576" i="3"/>
  <c r="F576" i="3"/>
  <c r="E576" i="3"/>
  <c r="D576" i="3"/>
  <c r="C576" i="3"/>
  <c r="B576" i="3"/>
  <c r="A576" i="3"/>
  <c r="H575" i="3"/>
  <c r="G575" i="3"/>
  <c r="F575" i="3"/>
  <c r="E575" i="3"/>
  <c r="D575" i="3"/>
  <c r="C575" i="3"/>
  <c r="B575" i="3"/>
  <c r="A575" i="3"/>
  <c r="H574" i="3"/>
  <c r="G574" i="3"/>
  <c r="F574" i="3"/>
  <c r="E574" i="3"/>
  <c r="D574" i="3"/>
  <c r="C574" i="3"/>
  <c r="B574" i="3"/>
  <c r="A574" i="3"/>
  <c r="H573" i="3"/>
  <c r="G573" i="3"/>
  <c r="F573" i="3"/>
  <c r="E573" i="3"/>
  <c r="D573" i="3"/>
  <c r="C573" i="3"/>
  <c r="B573" i="3"/>
  <c r="A573" i="3"/>
  <c r="H572" i="3"/>
  <c r="G572" i="3"/>
  <c r="F572" i="3"/>
  <c r="E572" i="3"/>
  <c r="D572" i="3"/>
  <c r="C572" i="3"/>
  <c r="B572" i="3"/>
  <c r="A572" i="3"/>
  <c r="H571" i="3"/>
  <c r="G571" i="3"/>
  <c r="F571" i="3"/>
  <c r="E571" i="3"/>
  <c r="D571" i="3"/>
  <c r="C571" i="3"/>
  <c r="B571" i="3"/>
  <c r="A571" i="3"/>
  <c r="H570" i="3"/>
  <c r="G570" i="3"/>
  <c r="F570" i="3"/>
  <c r="E570" i="3"/>
  <c r="D570" i="3"/>
  <c r="C570" i="3"/>
  <c r="B570" i="3"/>
  <c r="A570" i="3"/>
  <c r="H569" i="3"/>
  <c r="G569" i="3"/>
  <c r="F569" i="3"/>
  <c r="E569" i="3"/>
  <c r="D569" i="3"/>
  <c r="C569" i="3"/>
  <c r="B569" i="3"/>
  <c r="A569" i="3"/>
  <c r="H568" i="3"/>
  <c r="G568" i="3"/>
  <c r="F568" i="3"/>
  <c r="E568" i="3"/>
  <c r="D568" i="3"/>
  <c r="C568" i="3"/>
  <c r="B568" i="3"/>
  <c r="A568" i="3"/>
  <c r="H567" i="3"/>
  <c r="G567" i="3"/>
  <c r="F567" i="3"/>
  <c r="E567" i="3"/>
  <c r="D567" i="3"/>
  <c r="C567" i="3"/>
  <c r="B567" i="3"/>
  <c r="A567" i="3"/>
  <c r="H566" i="3"/>
  <c r="G566" i="3"/>
  <c r="F566" i="3"/>
  <c r="E566" i="3"/>
  <c r="D566" i="3"/>
  <c r="C566" i="3"/>
  <c r="B566" i="3"/>
  <c r="A566" i="3"/>
  <c r="H565" i="3"/>
  <c r="G565" i="3"/>
  <c r="F565" i="3"/>
  <c r="E565" i="3"/>
  <c r="D565" i="3"/>
  <c r="C565" i="3"/>
  <c r="B565" i="3"/>
  <c r="A565" i="3"/>
  <c r="H564" i="3"/>
  <c r="G564" i="3"/>
  <c r="F564" i="3"/>
  <c r="E564" i="3"/>
  <c r="D564" i="3"/>
  <c r="C564" i="3"/>
  <c r="B564" i="3"/>
  <c r="A564" i="3"/>
  <c r="H563" i="3"/>
  <c r="G563" i="3"/>
  <c r="F563" i="3"/>
  <c r="E563" i="3"/>
  <c r="D563" i="3"/>
  <c r="C563" i="3"/>
  <c r="B563" i="3"/>
  <c r="A563" i="3"/>
  <c r="H562" i="3"/>
  <c r="G562" i="3"/>
  <c r="F562" i="3"/>
  <c r="E562" i="3"/>
  <c r="D562" i="3"/>
  <c r="C562" i="3"/>
  <c r="B562" i="3"/>
  <c r="A562" i="3"/>
  <c r="H561" i="3"/>
  <c r="G561" i="3"/>
  <c r="F561" i="3"/>
  <c r="E561" i="3"/>
  <c r="D561" i="3"/>
  <c r="C561" i="3"/>
  <c r="B561" i="3"/>
  <c r="A561" i="3"/>
  <c r="H560" i="3"/>
  <c r="G560" i="3"/>
  <c r="F560" i="3"/>
  <c r="E560" i="3"/>
  <c r="D560" i="3"/>
  <c r="C560" i="3"/>
  <c r="B560" i="3"/>
  <c r="A560" i="3"/>
  <c r="H559" i="3"/>
  <c r="G559" i="3"/>
  <c r="F559" i="3"/>
  <c r="E559" i="3"/>
  <c r="D559" i="3"/>
  <c r="C559" i="3"/>
  <c r="B559" i="3"/>
  <c r="A559" i="3"/>
  <c r="H558" i="3"/>
  <c r="G558" i="3"/>
  <c r="F558" i="3"/>
  <c r="E558" i="3"/>
  <c r="D558" i="3"/>
  <c r="C558" i="3"/>
  <c r="B558" i="3"/>
  <c r="A558" i="3"/>
  <c r="H557" i="3"/>
  <c r="G557" i="3"/>
  <c r="F557" i="3"/>
  <c r="E557" i="3"/>
  <c r="D557" i="3"/>
  <c r="C557" i="3"/>
  <c r="B557" i="3"/>
  <c r="A557" i="3"/>
  <c r="H556" i="3"/>
  <c r="G556" i="3"/>
  <c r="F556" i="3"/>
  <c r="E556" i="3"/>
  <c r="D556" i="3"/>
  <c r="C556" i="3"/>
  <c r="B556" i="3"/>
  <c r="A556" i="3"/>
  <c r="H555" i="3"/>
  <c r="G555" i="3"/>
  <c r="F555" i="3"/>
  <c r="E555" i="3"/>
  <c r="D555" i="3"/>
  <c r="C555" i="3"/>
  <c r="B555" i="3"/>
  <c r="A555" i="3"/>
  <c r="H554" i="3"/>
  <c r="G554" i="3"/>
  <c r="F554" i="3"/>
  <c r="E554" i="3"/>
  <c r="D554" i="3"/>
  <c r="C554" i="3"/>
  <c r="B554" i="3"/>
  <c r="A554" i="3"/>
  <c r="H553" i="3"/>
  <c r="G553" i="3"/>
  <c r="F553" i="3"/>
  <c r="E553" i="3"/>
  <c r="D553" i="3"/>
  <c r="C553" i="3"/>
  <c r="B553" i="3"/>
  <c r="A553" i="3"/>
  <c r="H552" i="3"/>
  <c r="G552" i="3"/>
  <c r="F552" i="3"/>
  <c r="E552" i="3"/>
  <c r="D552" i="3"/>
  <c r="C552" i="3"/>
  <c r="B552" i="3"/>
  <c r="A552" i="3"/>
  <c r="H551" i="3"/>
  <c r="G551" i="3"/>
  <c r="F551" i="3"/>
  <c r="E551" i="3"/>
  <c r="D551" i="3"/>
  <c r="C551" i="3"/>
  <c r="B551" i="3"/>
  <c r="A551" i="3"/>
  <c r="H550" i="3"/>
  <c r="G550" i="3"/>
  <c r="F550" i="3"/>
  <c r="E550" i="3"/>
  <c r="D550" i="3"/>
  <c r="C550" i="3"/>
  <c r="B550" i="3"/>
  <c r="A550" i="3"/>
  <c r="H549" i="3"/>
  <c r="G549" i="3"/>
  <c r="F549" i="3"/>
  <c r="E549" i="3"/>
  <c r="D549" i="3"/>
  <c r="C549" i="3"/>
  <c r="B549" i="3"/>
  <c r="A549" i="3"/>
  <c r="H548" i="3"/>
  <c r="G548" i="3"/>
  <c r="F548" i="3"/>
  <c r="E548" i="3"/>
  <c r="D548" i="3"/>
  <c r="C548" i="3"/>
  <c r="B548" i="3"/>
  <c r="A548" i="3"/>
  <c r="H547" i="3"/>
  <c r="G547" i="3"/>
  <c r="F547" i="3"/>
  <c r="E547" i="3"/>
  <c r="D547" i="3"/>
  <c r="C547" i="3"/>
  <c r="B547" i="3"/>
  <c r="A547" i="3"/>
  <c r="H546" i="3"/>
  <c r="G546" i="3"/>
  <c r="F546" i="3"/>
  <c r="E546" i="3"/>
  <c r="D546" i="3"/>
  <c r="C546" i="3"/>
  <c r="B546" i="3"/>
  <c r="A546" i="3"/>
  <c r="H545" i="3"/>
  <c r="G545" i="3"/>
  <c r="F545" i="3"/>
  <c r="E545" i="3"/>
  <c r="D545" i="3"/>
  <c r="C545" i="3"/>
  <c r="B545" i="3"/>
  <c r="A545" i="3"/>
  <c r="H544" i="3"/>
  <c r="G544" i="3"/>
  <c r="F544" i="3"/>
  <c r="E544" i="3"/>
  <c r="D544" i="3"/>
  <c r="C544" i="3"/>
  <c r="B544" i="3"/>
  <c r="A544" i="3"/>
  <c r="H543" i="3"/>
  <c r="G543" i="3"/>
  <c r="F543" i="3"/>
  <c r="E543" i="3"/>
  <c r="D543" i="3"/>
  <c r="C543" i="3"/>
  <c r="B543" i="3"/>
  <c r="A543" i="3"/>
  <c r="H542" i="3"/>
  <c r="G542" i="3"/>
  <c r="F542" i="3"/>
  <c r="E542" i="3"/>
  <c r="D542" i="3"/>
  <c r="C542" i="3"/>
  <c r="B542" i="3"/>
  <c r="A542" i="3"/>
  <c r="H541" i="3"/>
  <c r="G541" i="3"/>
  <c r="F541" i="3"/>
  <c r="E541" i="3"/>
  <c r="D541" i="3"/>
  <c r="C541" i="3"/>
  <c r="B541" i="3"/>
  <c r="A541" i="3"/>
  <c r="H540" i="3"/>
  <c r="G540" i="3"/>
  <c r="F540" i="3"/>
  <c r="E540" i="3"/>
  <c r="D540" i="3"/>
  <c r="C540" i="3"/>
  <c r="B540" i="3"/>
  <c r="A540" i="3"/>
  <c r="H539" i="3"/>
  <c r="G539" i="3"/>
  <c r="F539" i="3"/>
  <c r="E539" i="3"/>
  <c r="D539" i="3"/>
  <c r="C539" i="3"/>
  <c r="B539" i="3"/>
  <c r="A539" i="3"/>
  <c r="H538" i="3"/>
  <c r="G538" i="3"/>
  <c r="F538" i="3"/>
  <c r="E538" i="3"/>
  <c r="D538" i="3"/>
  <c r="C538" i="3"/>
  <c r="B538" i="3"/>
  <c r="A538" i="3"/>
  <c r="H537" i="3"/>
  <c r="G537" i="3"/>
  <c r="F537" i="3"/>
  <c r="E537" i="3"/>
  <c r="D537" i="3"/>
  <c r="C537" i="3"/>
  <c r="B537" i="3"/>
  <c r="A537" i="3"/>
  <c r="H536" i="3"/>
  <c r="G536" i="3"/>
  <c r="F536" i="3"/>
  <c r="E536" i="3"/>
  <c r="D536" i="3"/>
  <c r="C536" i="3"/>
  <c r="B536" i="3"/>
  <c r="A536" i="3"/>
  <c r="H535" i="3"/>
  <c r="G535" i="3"/>
  <c r="F535" i="3"/>
  <c r="E535" i="3"/>
  <c r="D535" i="3"/>
  <c r="C535" i="3"/>
  <c r="B535" i="3"/>
  <c r="A535" i="3"/>
  <c r="H534" i="3"/>
  <c r="G534" i="3"/>
  <c r="F534" i="3"/>
  <c r="E534" i="3"/>
  <c r="D534" i="3"/>
  <c r="C534" i="3"/>
  <c r="B534" i="3"/>
  <c r="A534" i="3"/>
  <c r="H533" i="3"/>
  <c r="G533" i="3"/>
  <c r="F533" i="3"/>
  <c r="E533" i="3"/>
  <c r="D533" i="3"/>
  <c r="C533" i="3"/>
  <c r="B533" i="3"/>
  <c r="A533" i="3"/>
  <c r="H532" i="3"/>
  <c r="G532" i="3"/>
  <c r="F532" i="3"/>
  <c r="E532" i="3"/>
  <c r="D532" i="3"/>
  <c r="C532" i="3"/>
  <c r="B532" i="3"/>
  <c r="A532" i="3"/>
  <c r="H531" i="3"/>
  <c r="G531" i="3"/>
  <c r="F531" i="3"/>
  <c r="E531" i="3"/>
  <c r="D531" i="3"/>
  <c r="C531" i="3"/>
  <c r="B531" i="3"/>
  <c r="A531" i="3"/>
  <c r="H530" i="3"/>
  <c r="G530" i="3"/>
  <c r="F530" i="3"/>
  <c r="E530" i="3"/>
  <c r="D530" i="3"/>
  <c r="C530" i="3"/>
  <c r="B530" i="3"/>
  <c r="A530" i="3"/>
  <c r="H529" i="3"/>
  <c r="G529" i="3"/>
  <c r="F529" i="3"/>
  <c r="E529" i="3"/>
  <c r="D529" i="3"/>
  <c r="C529" i="3"/>
  <c r="B529" i="3"/>
  <c r="A529" i="3"/>
  <c r="H528" i="3"/>
  <c r="G528" i="3"/>
  <c r="F528" i="3"/>
  <c r="E528" i="3"/>
  <c r="D528" i="3"/>
  <c r="C528" i="3"/>
  <c r="B528" i="3"/>
  <c r="A528" i="3"/>
  <c r="H527" i="3"/>
  <c r="G527" i="3"/>
  <c r="F527" i="3"/>
  <c r="E527" i="3"/>
  <c r="D527" i="3"/>
  <c r="C527" i="3"/>
  <c r="B527" i="3"/>
  <c r="A527" i="3"/>
  <c r="H526" i="3"/>
  <c r="G526" i="3"/>
  <c r="F526" i="3"/>
  <c r="E526" i="3"/>
  <c r="D526" i="3"/>
  <c r="C526" i="3"/>
  <c r="B526" i="3"/>
  <c r="A526" i="3"/>
  <c r="H525" i="3"/>
  <c r="G525" i="3"/>
  <c r="F525" i="3"/>
  <c r="E525" i="3"/>
  <c r="D525" i="3"/>
  <c r="C525" i="3"/>
  <c r="B525" i="3"/>
  <c r="A525" i="3"/>
  <c r="H524" i="3"/>
  <c r="G524" i="3"/>
  <c r="F524" i="3"/>
  <c r="E524" i="3"/>
  <c r="D524" i="3"/>
  <c r="C524" i="3"/>
  <c r="B524" i="3"/>
  <c r="A524" i="3"/>
  <c r="H523" i="3"/>
  <c r="G523" i="3"/>
  <c r="F523" i="3"/>
  <c r="E523" i="3"/>
  <c r="D523" i="3"/>
  <c r="C523" i="3"/>
  <c r="B523" i="3"/>
  <c r="A523" i="3"/>
  <c r="H522" i="3"/>
  <c r="G522" i="3"/>
  <c r="F522" i="3"/>
  <c r="E522" i="3"/>
  <c r="D522" i="3"/>
  <c r="C522" i="3"/>
  <c r="B522" i="3"/>
  <c r="A522" i="3"/>
  <c r="H521" i="3"/>
  <c r="G521" i="3"/>
  <c r="F521" i="3"/>
  <c r="E521" i="3"/>
  <c r="D521" i="3"/>
  <c r="C521" i="3"/>
  <c r="B521" i="3"/>
  <c r="A521" i="3"/>
  <c r="H520" i="3"/>
  <c r="G520" i="3"/>
  <c r="F520" i="3"/>
  <c r="E520" i="3"/>
  <c r="D520" i="3"/>
  <c r="C520" i="3"/>
  <c r="B520" i="3"/>
  <c r="A520" i="3"/>
  <c r="H519" i="3"/>
  <c r="G519" i="3"/>
  <c r="F519" i="3"/>
  <c r="E519" i="3"/>
  <c r="D519" i="3"/>
  <c r="C519" i="3"/>
  <c r="B519" i="3"/>
  <c r="A519" i="3"/>
  <c r="H518" i="3"/>
  <c r="G518" i="3"/>
  <c r="F518" i="3"/>
  <c r="E518" i="3"/>
  <c r="D518" i="3"/>
  <c r="C518" i="3"/>
  <c r="B518" i="3"/>
  <c r="A518" i="3"/>
  <c r="H517" i="3"/>
  <c r="G517" i="3"/>
  <c r="F517" i="3"/>
  <c r="E517" i="3"/>
  <c r="D517" i="3"/>
  <c r="C517" i="3"/>
  <c r="B517" i="3"/>
  <c r="A517" i="3"/>
  <c r="H516" i="3"/>
  <c r="G516" i="3"/>
  <c r="F516" i="3"/>
  <c r="E516" i="3"/>
  <c r="D516" i="3"/>
  <c r="C516" i="3"/>
  <c r="B516" i="3"/>
  <c r="A516" i="3"/>
  <c r="H515" i="3"/>
  <c r="G515" i="3"/>
  <c r="F515" i="3"/>
  <c r="E515" i="3"/>
  <c r="D515" i="3"/>
  <c r="C515" i="3"/>
  <c r="B515" i="3"/>
  <c r="A515" i="3"/>
  <c r="H514" i="3"/>
  <c r="G514" i="3"/>
  <c r="F514" i="3"/>
  <c r="E514" i="3"/>
  <c r="D514" i="3"/>
  <c r="C514" i="3"/>
  <c r="B514" i="3"/>
  <c r="A514" i="3"/>
  <c r="H513" i="3"/>
  <c r="G513" i="3"/>
  <c r="F513" i="3"/>
  <c r="E513" i="3"/>
  <c r="D513" i="3"/>
  <c r="C513" i="3"/>
  <c r="B513" i="3"/>
  <c r="A513" i="3"/>
  <c r="H512" i="3"/>
  <c r="G512" i="3"/>
  <c r="F512" i="3"/>
  <c r="E512" i="3"/>
  <c r="D512" i="3"/>
  <c r="C512" i="3"/>
  <c r="B512" i="3"/>
  <c r="A512" i="3"/>
  <c r="H511" i="3"/>
  <c r="G511" i="3"/>
  <c r="F511" i="3"/>
  <c r="E511" i="3"/>
  <c r="D511" i="3"/>
  <c r="C511" i="3"/>
  <c r="B511" i="3"/>
  <c r="A511" i="3"/>
  <c r="H510" i="3"/>
  <c r="G510" i="3"/>
  <c r="F510" i="3"/>
  <c r="E510" i="3"/>
  <c r="D510" i="3"/>
  <c r="C510" i="3"/>
  <c r="B510" i="3"/>
  <c r="A510" i="3"/>
  <c r="H509" i="3"/>
  <c r="G509" i="3"/>
  <c r="F509" i="3"/>
  <c r="E509" i="3"/>
  <c r="D509" i="3"/>
  <c r="C509" i="3"/>
  <c r="B509" i="3"/>
  <c r="A509" i="3"/>
  <c r="H508" i="3"/>
  <c r="G508" i="3"/>
  <c r="F508" i="3"/>
  <c r="E508" i="3"/>
  <c r="D508" i="3"/>
  <c r="C508" i="3"/>
  <c r="B508" i="3"/>
  <c r="A508" i="3"/>
  <c r="H507" i="3"/>
  <c r="G507" i="3"/>
  <c r="F507" i="3"/>
  <c r="E507" i="3"/>
  <c r="D507" i="3"/>
  <c r="C507" i="3"/>
  <c r="B507" i="3"/>
  <c r="A507" i="3"/>
  <c r="H506" i="3"/>
  <c r="G506" i="3"/>
  <c r="F506" i="3"/>
  <c r="E506" i="3"/>
  <c r="D506" i="3"/>
  <c r="C506" i="3"/>
  <c r="B506" i="3"/>
  <c r="A506" i="3"/>
  <c r="H505" i="3"/>
  <c r="G505" i="3"/>
  <c r="F505" i="3"/>
  <c r="E505" i="3"/>
  <c r="D505" i="3"/>
  <c r="C505" i="3"/>
  <c r="B505" i="3"/>
  <c r="A505" i="3"/>
  <c r="H504" i="3"/>
  <c r="G504" i="3"/>
  <c r="F504" i="3"/>
  <c r="E504" i="3"/>
  <c r="D504" i="3"/>
  <c r="C504" i="3"/>
  <c r="B504" i="3"/>
  <c r="A504" i="3"/>
  <c r="H503" i="3"/>
  <c r="G503" i="3"/>
  <c r="F503" i="3"/>
  <c r="E503" i="3"/>
  <c r="D503" i="3"/>
  <c r="C503" i="3"/>
  <c r="B503" i="3"/>
  <c r="A503" i="3"/>
  <c r="H502" i="3"/>
  <c r="G502" i="3"/>
  <c r="F502" i="3"/>
  <c r="E502" i="3"/>
  <c r="D502" i="3"/>
  <c r="C502" i="3"/>
  <c r="B502" i="3"/>
  <c r="A502" i="3"/>
  <c r="H501" i="3"/>
  <c r="G501" i="3"/>
  <c r="F501" i="3"/>
  <c r="E501" i="3"/>
  <c r="D501" i="3"/>
  <c r="C501" i="3"/>
  <c r="B501" i="3"/>
  <c r="A501" i="3"/>
  <c r="H500" i="3"/>
  <c r="G500" i="3"/>
  <c r="F500" i="3"/>
  <c r="E500" i="3"/>
  <c r="D500" i="3"/>
  <c r="C500" i="3"/>
  <c r="B500" i="3"/>
  <c r="A500" i="3"/>
  <c r="H499" i="3"/>
  <c r="G499" i="3"/>
  <c r="F499" i="3"/>
  <c r="E499" i="3"/>
  <c r="D499" i="3"/>
  <c r="C499" i="3"/>
  <c r="B499" i="3"/>
  <c r="A499" i="3"/>
  <c r="H498" i="3"/>
  <c r="G498" i="3"/>
  <c r="F498" i="3"/>
  <c r="E498" i="3"/>
  <c r="D498" i="3"/>
  <c r="C498" i="3"/>
  <c r="B498" i="3"/>
  <c r="A498" i="3"/>
  <c r="H497" i="3"/>
  <c r="G497" i="3"/>
  <c r="F497" i="3"/>
  <c r="E497" i="3"/>
  <c r="D497" i="3"/>
  <c r="C497" i="3"/>
  <c r="B497" i="3"/>
  <c r="A497" i="3"/>
  <c r="H496" i="3"/>
  <c r="G496" i="3"/>
  <c r="F496" i="3"/>
  <c r="E496" i="3"/>
  <c r="D496" i="3"/>
  <c r="C496" i="3"/>
  <c r="B496" i="3"/>
  <c r="A496" i="3"/>
  <c r="H495" i="3"/>
  <c r="G495" i="3"/>
  <c r="F495" i="3"/>
  <c r="E495" i="3"/>
  <c r="D495" i="3"/>
  <c r="C495" i="3"/>
  <c r="B495" i="3"/>
  <c r="A495" i="3"/>
  <c r="H494" i="3"/>
  <c r="G494" i="3"/>
  <c r="F494" i="3"/>
  <c r="E494" i="3"/>
  <c r="D494" i="3"/>
  <c r="C494" i="3"/>
  <c r="B494" i="3"/>
  <c r="A494" i="3"/>
  <c r="H493" i="3"/>
  <c r="G493" i="3"/>
  <c r="F493" i="3"/>
  <c r="E493" i="3"/>
  <c r="D493" i="3"/>
  <c r="C493" i="3"/>
  <c r="B493" i="3"/>
  <c r="A493" i="3"/>
  <c r="H492" i="3"/>
  <c r="G492" i="3"/>
  <c r="F492" i="3"/>
  <c r="E492" i="3"/>
  <c r="D492" i="3"/>
  <c r="C492" i="3"/>
  <c r="B492" i="3"/>
  <c r="A492" i="3"/>
  <c r="H491" i="3"/>
  <c r="G491" i="3"/>
  <c r="F491" i="3"/>
  <c r="E491" i="3"/>
  <c r="D491" i="3"/>
  <c r="C491" i="3"/>
  <c r="B491" i="3"/>
  <c r="A491" i="3"/>
  <c r="H490" i="3"/>
  <c r="G490" i="3"/>
  <c r="F490" i="3"/>
  <c r="E490" i="3"/>
  <c r="D490" i="3"/>
  <c r="C490" i="3"/>
  <c r="B490" i="3"/>
  <c r="A490" i="3"/>
  <c r="H489" i="3"/>
  <c r="G489" i="3"/>
  <c r="F489" i="3"/>
  <c r="E489" i="3"/>
  <c r="D489" i="3"/>
  <c r="C489" i="3"/>
  <c r="B489" i="3"/>
  <c r="A489" i="3"/>
  <c r="H488" i="3"/>
  <c r="G488" i="3"/>
  <c r="F488" i="3"/>
  <c r="E488" i="3"/>
  <c r="D488" i="3"/>
  <c r="C488" i="3"/>
  <c r="B488" i="3"/>
  <c r="A488" i="3"/>
  <c r="H487" i="3"/>
  <c r="G487" i="3"/>
  <c r="F487" i="3"/>
  <c r="E487" i="3"/>
  <c r="D487" i="3"/>
  <c r="C487" i="3"/>
  <c r="B487" i="3"/>
  <c r="A487" i="3"/>
  <c r="H486" i="3"/>
  <c r="G486" i="3"/>
  <c r="F486" i="3"/>
  <c r="E486" i="3"/>
  <c r="D486" i="3"/>
  <c r="C486" i="3"/>
  <c r="B486" i="3"/>
  <c r="A486" i="3"/>
  <c r="H485" i="3"/>
  <c r="G485" i="3"/>
  <c r="F485" i="3"/>
  <c r="E485" i="3"/>
  <c r="D485" i="3"/>
  <c r="C485" i="3"/>
  <c r="B485" i="3"/>
  <c r="A485" i="3"/>
  <c r="H484" i="3"/>
  <c r="G484" i="3"/>
  <c r="F484" i="3"/>
  <c r="E484" i="3"/>
  <c r="D484" i="3"/>
  <c r="C484" i="3"/>
  <c r="B484" i="3"/>
  <c r="A484" i="3"/>
  <c r="H483" i="3"/>
  <c r="G483" i="3"/>
  <c r="F483" i="3"/>
  <c r="E483" i="3"/>
  <c r="D483" i="3"/>
  <c r="C483" i="3"/>
  <c r="B483" i="3"/>
  <c r="A483" i="3"/>
  <c r="H482" i="3"/>
  <c r="G482" i="3"/>
  <c r="F482" i="3"/>
  <c r="E482" i="3"/>
  <c r="D482" i="3"/>
  <c r="C482" i="3"/>
  <c r="B482" i="3"/>
  <c r="A482" i="3"/>
  <c r="H481" i="3"/>
  <c r="G481" i="3"/>
  <c r="F481" i="3"/>
  <c r="E481" i="3"/>
  <c r="D481" i="3"/>
  <c r="C481" i="3"/>
  <c r="B481" i="3"/>
  <c r="A481" i="3"/>
  <c r="H480" i="3"/>
  <c r="G480" i="3"/>
  <c r="F480" i="3"/>
  <c r="E480" i="3"/>
  <c r="D480" i="3"/>
  <c r="C480" i="3"/>
  <c r="B480" i="3"/>
  <c r="A480" i="3"/>
  <c r="H479" i="3"/>
  <c r="G479" i="3"/>
  <c r="F479" i="3"/>
  <c r="E479" i="3"/>
  <c r="D479" i="3"/>
  <c r="C479" i="3"/>
  <c r="B479" i="3"/>
  <c r="A479" i="3"/>
  <c r="H478" i="3"/>
  <c r="G478" i="3"/>
  <c r="F478" i="3"/>
  <c r="E478" i="3"/>
  <c r="D478" i="3"/>
  <c r="C478" i="3"/>
  <c r="B478" i="3"/>
  <c r="A478" i="3"/>
  <c r="H477" i="3"/>
  <c r="G477" i="3"/>
  <c r="F477" i="3"/>
  <c r="E477" i="3"/>
  <c r="D477" i="3"/>
  <c r="C477" i="3"/>
  <c r="B477" i="3"/>
  <c r="A477" i="3"/>
  <c r="H476" i="3"/>
  <c r="G476" i="3"/>
  <c r="F476" i="3"/>
  <c r="E476" i="3"/>
  <c r="D476" i="3"/>
  <c r="C476" i="3"/>
  <c r="B476" i="3"/>
  <c r="A476" i="3"/>
  <c r="H475" i="3"/>
  <c r="G475" i="3"/>
  <c r="F475" i="3"/>
  <c r="E475" i="3"/>
  <c r="D475" i="3"/>
  <c r="C475" i="3"/>
  <c r="B475" i="3"/>
  <c r="A475" i="3"/>
  <c r="H474" i="3"/>
  <c r="G474" i="3"/>
  <c r="F474" i="3"/>
  <c r="E474" i="3"/>
  <c r="D474" i="3"/>
  <c r="C474" i="3"/>
  <c r="B474" i="3"/>
  <c r="A474" i="3"/>
  <c r="H473" i="3"/>
  <c r="G473" i="3"/>
  <c r="F473" i="3"/>
  <c r="E473" i="3"/>
  <c r="D473" i="3"/>
  <c r="C473" i="3"/>
  <c r="B473" i="3"/>
  <c r="A473" i="3"/>
  <c r="H472" i="3"/>
  <c r="G472" i="3"/>
  <c r="F472" i="3"/>
  <c r="E472" i="3"/>
  <c r="D472" i="3"/>
  <c r="C472" i="3"/>
  <c r="B472" i="3"/>
  <c r="A472" i="3"/>
  <c r="H471" i="3"/>
  <c r="G471" i="3"/>
  <c r="F471" i="3"/>
  <c r="E471" i="3"/>
  <c r="D471" i="3"/>
  <c r="C471" i="3"/>
  <c r="B471" i="3"/>
  <c r="A471" i="3"/>
  <c r="H470" i="3"/>
  <c r="G470" i="3"/>
  <c r="F470" i="3"/>
  <c r="E470" i="3"/>
  <c r="D470" i="3"/>
  <c r="C470" i="3"/>
  <c r="B470" i="3"/>
  <c r="A470" i="3"/>
  <c r="H469" i="3"/>
  <c r="G469" i="3"/>
  <c r="F469" i="3"/>
  <c r="E469" i="3"/>
  <c r="D469" i="3"/>
  <c r="C469" i="3"/>
  <c r="B469" i="3"/>
  <c r="A469" i="3"/>
  <c r="H468" i="3"/>
  <c r="G468" i="3"/>
  <c r="F468" i="3"/>
  <c r="E468" i="3"/>
  <c r="D468" i="3"/>
  <c r="C468" i="3"/>
  <c r="B468" i="3"/>
  <c r="A468" i="3"/>
  <c r="H467" i="3"/>
  <c r="G467" i="3"/>
  <c r="F467" i="3"/>
  <c r="E467" i="3"/>
  <c r="D467" i="3"/>
  <c r="C467" i="3"/>
  <c r="B467" i="3"/>
  <c r="A467" i="3"/>
  <c r="H466" i="3"/>
  <c r="G466" i="3"/>
  <c r="F466" i="3"/>
  <c r="E466" i="3"/>
  <c r="D466" i="3"/>
  <c r="C466" i="3"/>
  <c r="B466" i="3"/>
  <c r="A466" i="3"/>
  <c r="H465" i="3"/>
  <c r="G465" i="3"/>
  <c r="F465" i="3"/>
  <c r="E465" i="3"/>
  <c r="D465" i="3"/>
  <c r="C465" i="3"/>
  <c r="B465" i="3"/>
  <c r="A465" i="3"/>
  <c r="H464" i="3"/>
  <c r="G464" i="3"/>
  <c r="F464" i="3"/>
  <c r="E464" i="3"/>
  <c r="D464" i="3"/>
  <c r="C464" i="3"/>
  <c r="B464" i="3"/>
  <c r="A464" i="3"/>
  <c r="H463" i="3"/>
  <c r="G463" i="3"/>
  <c r="F463" i="3"/>
  <c r="E463" i="3"/>
  <c r="D463" i="3"/>
  <c r="C463" i="3"/>
  <c r="B463" i="3"/>
  <c r="A463" i="3"/>
  <c r="H462" i="3"/>
  <c r="G462" i="3"/>
  <c r="F462" i="3"/>
  <c r="E462" i="3"/>
  <c r="D462" i="3"/>
  <c r="C462" i="3"/>
  <c r="B462" i="3"/>
  <c r="A462" i="3"/>
  <c r="H461" i="3"/>
  <c r="G461" i="3"/>
  <c r="F461" i="3"/>
  <c r="E461" i="3"/>
  <c r="D461" i="3"/>
  <c r="C461" i="3"/>
  <c r="B461" i="3"/>
  <c r="A461" i="3"/>
  <c r="H460" i="3"/>
  <c r="G460" i="3"/>
  <c r="F460" i="3"/>
  <c r="E460" i="3"/>
  <c r="D460" i="3"/>
  <c r="C460" i="3"/>
  <c r="B460" i="3"/>
  <c r="A460" i="3"/>
  <c r="H459" i="3"/>
  <c r="G459" i="3"/>
  <c r="F459" i="3"/>
  <c r="E459" i="3"/>
  <c r="D459" i="3"/>
  <c r="C459" i="3"/>
  <c r="B459" i="3"/>
  <c r="A459" i="3"/>
  <c r="H458" i="3"/>
  <c r="G458" i="3"/>
  <c r="F458" i="3"/>
  <c r="E458" i="3"/>
  <c r="D458" i="3"/>
  <c r="C458" i="3"/>
  <c r="B458" i="3"/>
  <c r="A458" i="3"/>
  <c r="H457" i="3"/>
  <c r="G457" i="3"/>
  <c r="F457" i="3"/>
  <c r="E457" i="3"/>
  <c r="D457" i="3"/>
  <c r="C457" i="3"/>
  <c r="B457" i="3"/>
  <c r="A457" i="3"/>
  <c r="H456" i="3"/>
  <c r="G456" i="3"/>
  <c r="F456" i="3"/>
  <c r="E456" i="3"/>
  <c r="D456" i="3"/>
  <c r="C456" i="3"/>
  <c r="B456" i="3"/>
  <c r="A456" i="3"/>
  <c r="H455" i="3"/>
  <c r="G455" i="3"/>
  <c r="F455" i="3"/>
  <c r="E455" i="3"/>
  <c r="D455" i="3"/>
  <c r="C455" i="3"/>
  <c r="B455" i="3"/>
  <c r="A455" i="3"/>
  <c r="H454" i="3"/>
  <c r="G454" i="3"/>
  <c r="F454" i="3"/>
  <c r="E454" i="3"/>
  <c r="D454" i="3"/>
  <c r="C454" i="3"/>
  <c r="B454" i="3"/>
  <c r="A454" i="3"/>
  <c r="H453" i="3"/>
  <c r="G453" i="3"/>
  <c r="F453" i="3"/>
  <c r="E453" i="3"/>
  <c r="D453" i="3"/>
  <c r="C453" i="3"/>
  <c r="B453" i="3"/>
  <c r="A453" i="3"/>
  <c r="H452" i="3"/>
  <c r="G452" i="3"/>
  <c r="F452" i="3"/>
  <c r="E452" i="3"/>
  <c r="D452" i="3"/>
  <c r="C452" i="3"/>
  <c r="B452" i="3"/>
  <c r="A452" i="3"/>
  <c r="H451" i="3"/>
  <c r="G451" i="3"/>
  <c r="F451" i="3"/>
  <c r="E451" i="3"/>
  <c r="D451" i="3"/>
  <c r="C451" i="3"/>
  <c r="B451" i="3"/>
  <c r="A451" i="3"/>
  <c r="H450" i="3"/>
  <c r="G450" i="3"/>
  <c r="F450" i="3"/>
  <c r="E450" i="3"/>
  <c r="D450" i="3"/>
  <c r="C450" i="3"/>
  <c r="B450" i="3"/>
  <c r="A450" i="3"/>
  <c r="H449" i="3"/>
  <c r="G449" i="3"/>
  <c r="F449" i="3"/>
  <c r="E449" i="3"/>
  <c r="D449" i="3"/>
  <c r="C449" i="3"/>
  <c r="B449" i="3"/>
  <c r="A449" i="3"/>
  <c r="H448" i="3"/>
  <c r="G448" i="3"/>
  <c r="F448" i="3"/>
  <c r="E448" i="3"/>
  <c r="D448" i="3"/>
  <c r="C448" i="3"/>
  <c r="B448" i="3"/>
  <c r="A448" i="3"/>
  <c r="H447" i="3"/>
  <c r="G447" i="3"/>
  <c r="F447" i="3"/>
  <c r="E447" i="3"/>
  <c r="D447" i="3"/>
  <c r="C447" i="3"/>
  <c r="B447" i="3"/>
  <c r="A447" i="3"/>
  <c r="H446" i="3"/>
  <c r="G446" i="3"/>
  <c r="F446" i="3"/>
  <c r="E446" i="3"/>
  <c r="D446" i="3"/>
  <c r="C446" i="3"/>
  <c r="B446" i="3"/>
  <c r="A446" i="3"/>
  <c r="H445" i="3"/>
  <c r="G445" i="3"/>
  <c r="F445" i="3"/>
  <c r="E445" i="3"/>
  <c r="D445" i="3"/>
  <c r="C445" i="3"/>
  <c r="B445" i="3"/>
  <c r="A445" i="3"/>
  <c r="H444" i="3"/>
  <c r="G444" i="3"/>
  <c r="F444" i="3"/>
  <c r="E444" i="3"/>
  <c r="D444" i="3"/>
  <c r="C444" i="3"/>
  <c r="B444" i="3"/>
  <c r="A444" i="3"/>
  <c r="H443" i="3"/>
  <c r="G443" i="3"/>
  <c r="F443" i="3"/>
  <c r="E443" i="3"/>
  <c r="D443" i="3"/>
  <c r="C443" i="3"/>
  <c r="B443" i="3"/>
  <c r="A443" i="3"/>
  <c r="H442" i="3"/>
  <c r="G442" i="3"/>
  <c r="F442" i="3"/>
  <c r="E442" i="3"/>
  <c r="D442" i="3"/>
  <c r="C442" i="3"/>
  <c r="B442" i="3"/>
  <c r="A442" i="3"/>
  <c r="H441" i="3"/>
  <c r="G441" i="3"/>
  <c r="F441" i="3"/>
  <c r="E441" i="3"/>
  <c r="D441" i="3"/>
  <c r="C441" i="3"/>
  <c r="B441" i="3"/>
  <c r="A441" i="3"/>
  <c r="H440" i="3"/>
  <c r="G440" i="3"/>
  <c r="F440" i="3"/>
  <c r="E440" i="3"/>
  <c r="D440" i="3"/>
  <c r="C440" i="3"/>
  <c r="B440" i="3"/>
  <c r="A440" i="3"/>
  <c r="H439" i="3"/>
  <c r="G439" i="3"/>
  <c r="F439" i="3"/>
  <c r="E439" i="3"/>
  <c r="D439" i="3"/>
  <c r="C439" i="3"/>
  <c r="B439" i="3"/>
  <c r="A439" i="3"/>
  <c r="H438" i="3"/>
  <c r="G438" i="3"/>
  <c r="F438" i="3"/>
  <c r="E438" i="3"/>
  <c r="D438" i="3"/>
  <c r="C438" i="3"/>
  <c r="B438" i="3"/>
  <c r="A438" i="3"/>
  <c r="H437" i="3"/>
  <c r="G437" i="3"/>
  <c r="F437" i="3"/>
  <c r="E437" i="3"/>
  <c r="D437" i="3"/>
  <c r="C437" i="3"/>
  <c r="B437" i="3"/>
  <c r="A437" i="3"/>
  <c r="H436" i="3"/>
  <c r="G436" i="3"/>
  <c r="F436" i="3"/>
  <c r="E436" i="3"/>
  <c r="D436" i="3"/>
  <c r="C436" i="3"/>
  <c r="B436" i="3"/>
  <c r="A436" i="3"/>
  <c r="H435" i="3"/>
  <c r="G435" i="3"/>
  <c r="F435" i="3"/>
  <c r="E435" i="3"/>
  <c r="D435" i="3"/>
  <c r="C435" i="3"/>
  <c r="B435" i="3"/>
  <c r="A435" i="3"/>
  <c r="H434" i="3"/>
  <c r="G434" i="3"/>
  <c r="F434" i="3"/>
  <c r="E434" i="3"/>
  <c r="D434" i="3"/>
  <c r="C434" i="3"/>
  <c r="B434" i="3"/>
  <c r="A434" i="3"/>
  <c r="H433" i="3"/>
  <c r="G433" i="3"/>
  <c r="F433" i="3"/>
  <c r="E433" i="3"/>
  <c r="D433" i="3"/>
  <c r="C433" i="3"/>
  <c r="B433" i="3"/>
  <c r="A433" i="3"/>
  <c r="H432" i="3"/>
  <c r="G432" i="3"/>
  <c r="F432" i="3"/>
  <c r="E432" i="3"/>
  <c r="D432" i="3"/>
  <c r="C432" i="3"/>
  <c r="B432" i="3"/>
  <c r="A432" i="3"/>
  <c r="H431" i="3"/>
  <c r="G431" i="3"/>
  <c r="F431" i="3"/>
  <c r="E431" i="3"/>
  <c r="D431" i="3"/>
  <c r="C431" i="3"/>
  <c r="B431" i="3"/>
  <c r="A431" i="3"/>
  <c r="H430" i="3"/>
  <c r="G430" i="3"/>
  <c r="F430" i="3"/>
  <c r="E430" i="3"/>
  <c r="D430" i="3"/>
  <c r="C430" i="3"/>
  <c r="B430" i="3"/>
  <c r="A430" i="3"/>
  <c r="H429" i="3"/>
  <c r="G429" i="3"/>
  <c r="F429" i="3"/>
  <c r="E429" i="3"/>
  <c r="D429" i="3"/>
  <c r="C429" i="3"/>
  <c r="B429" i="3"/>
  <c r="A429" i="3"/>
  <c r="H428" i="3"/>
  <c r="G428" i="3"/>
  <c r="F428" i="3"/>
  <c r="E428" i="3"/>
  <c r="D428" i="3"/>
  <c r="C428" i="3"/>
  <c r="B428" i="3"/>
  <c r="A428" i="3"/>
  <c r="H427" i="3"/>
  <c r="G427" i="3"/>
  <c r="F427" i="3"/>
  <c r="E427" i="3"/>
  <c r="D427" i="3"/>
  <c r="C427" i="3"/>
  <c r="B427" i="3"/>
  <c r="A427" i="3"/>
  <c r="H426" i="3"/>
  <c r="G426" i="3"/>
  <c r="F426" i="3"/>
  <c r="E426" i="3"/>
  <c r="D426" i="3"/>
  <c r="C426" i="3"/>
  <c r="B426" i="3"/>
  <c r="A426" i="3"/>
  <c r="H425" i="3"/>
  <c r="G425" i="3"/>
  <c r="F425" i="3"/>
  <c r="E425" i="3"/>
  <c r="D425" i="3"/>
  <c r="C425" i="3"/>
  <c r="B425" i="3"/>
  <c r="A425" i="3"/>
  <c r="H424" i="3"/>
  <c r="G424" i="3"/>
  <c r="F424" i="3"/>
  <c r="E424" i="3"/>
  <c r="D424" i="3"/>
  <c r="C424" i="3"/>
  <c r="B424" i="3"/>
  <c r="A424" i="3"/>
  <c r="H423" i="3"/>
  <c r="G423" i="3"/>
  <c r="F423" i="3"/>
  <c r="E423" i="3"/>
  <c r="D423" i="3"/>
  <c r="C423" i="3"/>
  <c r="B423" i="3"/>
  <c r="A423" i="3"/>
  <c r="H422" i="3"/>
  <c r="G422" i="3"/>
  <c r="F422" i="3"/>
  <c r="E422" i="3"/>
  <c r="D422" i="3"/>
  <c r="C422" i="3"/>
  <c r="B422" i="3"/>
  <c r="A422" i="3"/>
  <c r="H421" i="3"/>
  <c r="G421" i="3"/>
  <c r="F421" i="3"/>
  <c r="E421" i="3"/>
  <c r="D421" i="3"/>
  <c r="C421" i="3"/>
  <c r="B421" i="3"/>
  <c r="A421" i="3"/>
  <c r="H420" i="3"/>
  <c r="G420" i="3"/>
  <c r="F420" i="3"/>
  <c r="E420" i="3"/>
  <c r="D420" i="3"/>
  <c r="C420" i="3"/>
  <c r="B420" i="3"/>
  <c r="A420" i="3"/>
  <c r="H419" i="3"/>
  <c r="G419" i="3"/>
  <c r="F419" i="3"/>
  <c r="E419" i="3"/>
  <c r="D419" i="3"/>
  <c r="C419" i="3"/>
  <c r="B419" i="3"/>
  <c r="A419" i="3"/>
  <c r="H418" i="3"/>
  <c r="G418" i="3"/>
  <c r="F418" i="3"/>
  <c r="E418" i="3"/>
  <c r="D418" i="3"/>
  <c r="C418" i="3"/>
  <c r="B418" i="3"/>
  <c r="A418" i="3"/>
  <c r="H417" i="3"/>
  <c r="G417" i="3"/>
  <c r="F417" i="3"/>
  <c r="E417" i="3"/>
  <c r="D417" i="3"/>
  <c r="C417" i="3"/>
  <c r="B417" i="3"/>
  <c r="A417" i="3"/>
  <c r="H416" i="3"/>
  <c r="G416" i="3"/>
  <c r="F416" i="3"/>
  <c r="E416" i="3"/>
  <c r="D416" i="3"/>
  <c r="C416" i="3"/>
  <c r="B416" i="3"/>
  <c r="A416" i="3"/>
  <c r="H415" i="3"/>
  <c r="G415" i="3"/>
  <c r="F415" i="3"/>
  <c r="E415" i="3"/>
  <c r="D415" i="3"/>
  <c r="C415" i="3"/>
  <c r="B415" i="3"/>
  <c r="A415" i="3"/>
  <c r="H414" i="3"/>
  <c r="G414" i="3"/>
  <c r="F414" i="3"/>
  <c r="E414" i="3"/>
  <c r="D414" i="3"/>
  <c r="C414" i="3"/>
  <c r="B414" i="3"/>
  <c r="A414" i="3"/>
  <c r="H413" i="3"/>
  <c r="G413" i="3"/>
  <c r="F413" i="3"/>
  <c r="E413" i="3"/>
  <c r="D413" i="3"/>
  <c r="C413" i="3"/>
  <c r="B413" i="3"/>
  <c r="A413" i="3"/>
  <c r="H412" i="3"/>
  <c r="G412" i="3"/>
  <c r="F412" i="3"/>
  <c r="E412" i="3"/>
  <c r="D412" i="3"/>
  <c r="C412" i="3"/>
  <c r="B412" i="3"/>
  <c r="A412" i="3"/>
  <c r="H411" i="3"/>
  <c r="G411" i="3"/>
  <c r="F411" i="3"/>
  <c r="E411" i="3"/>
  <c r="D411" i="3"/>
  <c r="C411" i="3"/>
  <c r="B411" i="3"/>
  <c r="A411" i="3"/>
  <c r="H410" i="3"/>
  <c r="G410" i="3"/>
  <c r="F410" i="3"/>
  <c r="E410" i="3"/>
  <c r="D410" i="3"/>
  <c r="C410" i="3"/>
  <c r="B410" i="3"/>
  <c r="A410" i="3"/>
  <c r="H409" i="3"/>
  <c r="G409" i="3"/>
  <c r="F409" i="3"/>
  <c r="E409" i="3"/>
  <c r="D409" i="3"/>
  <c r="C409" i="3"/>
  <c r="B409" i="3"/>
  <c r="A409" i="3"/>
  <c r="H408" i="3"/>
  <c r="G408" i="3"/>
  <c r="F408" i="3"/>
  <c r="E408" i="3"/>
  <c r="D408" i="3"/>
  <c r="C408" i="3"/>
  <c r="B408" i="3"/>
  <c r="A408" i="3"/>
  <c r="H407" i="3"/>
  <c r="G407" i="3"/>
  <c r="F407" i="3"/>
  <c r="E407" i="3"/>
  <c r="D407" i="3"/>
  <c r="C407" i="3"/>
  <c r="B407" i="3"/>
  <c r="A407" i="3"/>
  <c r="H406" i="3"/>
  <c r="G406" i="3"/>
  <c r="F406" i="3"/>
  <c r="E406" i="3"/>
  <c r="D406" i="3"/>
  <c r="C406" i="3"/>
  <c r="B406" i="3"/>
  <c r="A406" i="3"/>
  <c r="H405" i="3"/>
  <c r="G405" i="3"/>
  <c r="F405" i="3"/>
  <c r="E405" i="3"/>
  <c r="D405" i="3"/>
  <c r="C405" i="3"/>
  <c r="B405" i="3"/>
  <c r="A405" i="3"/>
  <c r="H404" i="3"/>
  <c r="G404" i="3"/>
  <c r="F404" i="3"/>
  <c r="E404" i="3"/>
  <c r="D404" i="3"/>
  <c r="C404" i="3"/>
  <c r="B404" i="3"/>
  <c r="A404" i="3"/>
  <c r="H403" i="3"/>
  <c r="G403" i="3"/>
  <c r="F403" i="3"/>
  <c r="E403" i="3"/>
  <c r="D403" i="3"/>
  <c r="C403" i="3"/>
  <c r="B403" i="3"/>
  <c r="A403" i="3"/>
  <c r="H402" i="3"/>
  <c r="G402" i="3"/>
  <c r="F402" i="3"/>
  <c r="E402" i="3"/>
  <c r="D402" i="3"/>
  <c r="C402" i="3"/>
  <c r="B402" i="3"/>
  <c r="A402" i="3"/>
  <c r="H401" i="3"/>
  <c r="G401" i="3"/>
  <c r="F401" i="3"/>
  <c r="E401" i="3"/>
  <c r="D401" i="3"/>
  <c r="C401" i="3"/>
  <c r="B401" i="3"/>
  <c r="A401" i="3"/>
  <c r="H400" i="3"/>
  <c r="G400" i="3"/>
  <c r="F400" i="3"/>
  <c r="E400" i="3"/>
  <c r="D400" i="3"/>
  <c r="C400" i="3"/>
  <c r="B400" i="3"/>
  <c r="A400" i="3"/>
  <c r="H399" i="3"/>
  <c r="G399" i="3"/>
  <c r="F399" i="3"/>
  <c r="E399" i="3"/>
  <c r="D399" i="3"/>
  <c r="C399" i="3"/>
  <c r="B399" i="3"/>
  <c r="A399" i="3"/>
  <c r="H398" i="3"/>
  <c r="G398" i="3"/>
  <c r="F398" i="3"/>
  <c r="E398" i="3"/>
  <c r="D398" i="3"/>
  <c r="C398" i="3"/>
  <c r="B398" i="3"/>
  <c r="A398" i="3"/>
  <c r="H397" i="3"/>
  <c r="G397" i="3"/>
  <c r="F397" i="3"/>
  <c r="E397" i="3"/>
  <c r="D397" i="3"/>
  <c r="C397" i="3"/>
  <c r="B397" i="3"/>
  <c r="A397" i="3"/>
  <c r="H396" i="3"/>
  <c r="G396" i="3"/>
  <c r="F396" i="3"/>
  <c r="E396" i="3"/>
  <c r="D396" i="3"/>
  <c r="C396" i="3"/>
  <c r="B396" i="3"/>
  <c r="A396" i="3"/>
  <c r="H395" i="3"/>
  <c r="G395" i="3"/>
  <c r="F395" i="3"/>
  <c r="E395" i="3"/>
  <c r="D395" i="3"/>
  <c r="C395" i="3"/>
  <c r="B395" i="3"/>
  <c r="A395" i="3"/>
  <c r="H394" i="3"/>
  <c r="G394" i="3"/>
  <c r="F394" i="3"/>
  <c r="E394" i="3"/>
  <c r="D394" i="3"/>
  <c r="C394" i="3"/>
  <c r="B394" i="3"/>
  <c r="A394" i="3"/>
  <c r="H393" i="3"/>
  <c r="G393" i="3"/>
  <c r="F393" i="3"/>
  <c r="E393" i="3"/>
  <c r="D393" i="3"/>
  <c r="C393" i="3"/>
  <c r="B393" i="3"/>
  <c r="A393" i="3"/>
  <c r="H392" i="3"/>
  <c r="G392" i="3"/>
  <c r="F392" i="3"/>
  <c r="E392" i="3"/>
  <c r="D392" i="3"/>
  <c r="C392" i="3"/>
  <c r="B392" i="3"/>
  <c r="A392" i="3"/>
  <c r="H391" i="3"/>
  <c r="G391" i="3"/>
  <c r="F391" i="3"/>
  <c r="E391" i="3"/>
  <c r="D391" i="3"/>
  <c r="C391" i="3"/>
  <c r="B391" i="3"/>
  <c r="A391" i="3"/>
  <c r="H390" i="3"/>
  <c r="G390" i="3"/>
  <c r="F390" i="3"/>
  <c r="E390" i="3"/>
  <c r="D390" i="3"/>
  <c r="C390" i="3"/>
  <c r="B390" i="3"/>
  <c r="A390" i="3"/>
  <c r="H389" i="3"/>
  <c r="G389" i="3"/>
  <c r="F389" i="3"/>
  <c r="E389" i="3"/>
  <c r="D389" i="3"/>
  <c r="C389" i="3"/>
  <c r="B389" i="3"/>
  <c r="A389" i="3"/>
  <c r="H388" i="3"/>
  <c r="G388" i="3"/>
  <c r="F388" i="3"/>
  <c r="E388" i="3"/>
  <c r="D388" i="3"/>
  <c r="C388" i="3"/>
  <c r="B388" i="3"/>
  <c r="A388" i="3"/>
  <c r="H387" i="3"/>
  <c r="G387" i="3"/>
  <c r="F387" i="3"/>
  <c r="E387" i="3"/>
  <c r="D387" i="3"/>
  <c r="C387" i="3"/>
  <c r="B387" i="3"/>
  <c r="A387" i="3"/>
  <c r="H386" i="3"/>
  <c r="G386" i="3"/>
  <c r="F386" i="3"/>
  <c r="E386" i="3"/>
  <c r="D386" i="3"/>
  <c r="C386" i="3"/>
  <c r="B386" i="3"/>
  <c r="A386" i="3"/>
  <c r="H385" i="3"/>
  <c r="G385" i="3"/>
  <c r="F385" i="3"/>
  <c r="E385" i="3"/>
  <c r="D385" i="3"/>
  <c r="C385" i="3"/>
  <c r="B385" i="3"/>
  <c r="A385" i="3"/>
  <c r="H384" i="3"/>
  <c r="G384" i="3"/>
  <c r="F384" i="3"/>
  <c r="E384" i="3"/>
  <c r="D384" i="3"/>
  <c r="C384" i="3"/>
  <c r="B384" i="3"/>
  <c r="A384" i="3"/>
  <c r="H383" i="3"/>
  <c r="G383" i="3"/>
  <c r="F383" i="3"/>
  <c r="E383" i="3"/>
  <c r="D383" i="3"/>
  <c r="C383" i="3"/>
  <c r="B383" i="3"/>
  <c r="A383" i="3"/>
  <c r="H382" i="3"/>
  <c r="G382" i="3"/>
  <c r="F382" i="3"/>
  <c r="E382" i="3"/>
  <c r="D382" i="3"/>
  <c r="C382" i="3"/>
  <c r="B382" i="3"/>
  <c r="A382" i="3"/>
  <c r="H381" i="3"/>
  <c r="G381" i="3"/>
  <c r="F381" i="3"/>
  <c r="E381" i="3"/>
  <c r="D381" i="3"/>
  <c r="C381" i="3"/>
  <c r="B381" i="3"/>
  <c r="A381" i="3"/>
  <c r="H380" i="3"/>
  <c r="G380" i="3"/>
  <c r="F380" i="3"/>
  <c r="E380" i="3"/>
  <c r="D380" i="3"/>
  <c r="C380" i="3"/>
  <c r="B380" i="3"/>
  <c r="A380" i="3"/>
  <c r="H379" i="3"/>
  <c r="G379" i="3"/>
  <c r="F379" i="3"/>
  <c r="E379" i="3"/>
  <c r="D379" i="3"/>
  <c r="C379" i="3"/>
  <c r="B379" i="3"/>
  <c r="A379" i="3"/>
  <c r="H378" i="3"/>
  <c r="G378" i="3"/>
  <c r="F378" i="3"/>
  <c r="E378" i="3"/>
  <c r="D378" i="3"/>
  <c r="C378" i="3"/>
  <c r="B378" i="3"/>
  <c r="A378" i="3"/>
  <c r="H377" i="3"/>
  <c r="G377" i="3"/>
  <c r="F377" i="3"/>
  <c r="E377" i="3"/>
  <c r="D377" i="3"/>
  <c r="C377" i="3"/>
  <c r="B377" i="3"/>
  <c r="A377" i="3"/>
  <c r="H376" i="3"/>
  <c r="G376" i="3"/>
  <c r="F376" i="3"/>
  <c r="E376" i="3"/>
  <c r="D376" i="3"/>
  <c r="C376" i="3"/>
  <c r="B376" i="3"/>
  <c r="A376" i="3"/>
  <c r="H375" i="3"/>
  <c r="G375" i="3"/>
  <c r="F375" i="3"/>
  <c r="E375" i="3"/>
  <c r="D375" i="3"/>
  <c r="C375" i="3"/>
  <c r="B375" i="3"/>
  <c r="A375" i="3"/>
  <c r="H374" i="3"/>
  <c r="G374" i="3"/>
  <c r="F374" i="3"/>
  <c r="E374" i="3"/>
  <c r="D374" i="3"/>
  <c r="C374" i="3"/>
  <c r="B374" i="3"/>
  <c r="A374" i="3"/>
  <c r="H373" i="3"/>
  <c r="G373" i="3"/>
  <c r="F373" i="3"/>
  <c r="E373" i="3"/>
  <c r="D373" i="3"/>
  <c r="C373" i="3"/>
  <c r="B373" i="3"/>
  <c r="A373" i="3"/>
  <c r="H372" i="3"/>
  <c r="G372" i="3"/>
  <c r="F372" i="3"/>
  <c r="E372" i="3"/>
  <c r="D372" i="3"/>
  <c r="C372" i="3"/>
  <c r="B372" i="3"/>
  <c r="A372" i="3"/>
  <c r="H371" i="3"/>
  <c r="G371" i="3"/>
  <c r="F371" i="3"/>
  <c r="E371" i="3"/>
  <c r="D371" i="3"/>
  <c r="C371" i="3"/>
  <c r="B371" i="3"/>
  <c r="A371" i="3"/>
  <c r="H370" i="3"/>
  <c r="G370" i="3"/>
  <c r="F370" i="3"/>
  <c r="E370" i="3"/>
  <c r="D370" i="3"/>
  <c r="C370" i="3"/>
  <c r="B370" i="3"/>
  <c r="A370" i="3"/>
  <c r="H369" i="3"/>
  <c r="G369" i="3"/>
  <c r="F369" i="3"/>
  <c r="E369" i="3"/>
  <c r="D369" i="3"/>
  <c r="C369" i="3"/>
  <c r="B369" i="3"/>
  <c r="A369" i="3"/>
  <c r="H368" i="3"/>
  <c r="G368" i="3"/>
  <c r="F368" i="3"/>
  <c r="E368" i="3"/>
  <c r="D368" i="3"/>
  <c r="C368" i="3"/>
  <c r="B368" i="3"/>
  <c r="A368" i="3"/>
  <c r="H367" i="3"/>
  <c r="G367" i="3"/>
  <c r="F367" i="3"/>
  <c r="E367" i="3"/>
  <c r="D367" i="3"/>
  <c r="C367" i="3"/>
  <c r="B367" i="3"/>
  <c r="A367" i="3"/>
  <c r="H366" i="3"/>
  <c r="G366" i="3"/>
  <c r="F366" i="3"/>
  <c r="E366" i="3"/>
  <c r="D366" i="3"/>
  <c r="C366" i="3"/>
  <c r="B366" i="3"/>
  <c r="A366" i="3"/>
  <c r="H365" i="3"/>
  <c r="G365" i="3"/>
  <c r="F365" i="3"/>
  <c r="E365" i="3"/>
  <c r="D365" i="3"/>
  <c r="C365" i="3"/>
  <c r="B365" i="3"/>
  <c r="A365" i="3"/>
  <c r="H364" i="3"/>
  <c r="G364" i="3"/>
  <c r="F364" i="3"/>
  <c r="E364" i="3"/>
  <c r="D364" i="3"/>
  <c r="C364" i="3"/>
  <c r="B364" i="3"/>
  <c r="A364" i="3"/>
  <c r="H363" i="3"/>
  <c r="G363" i="3"/>
  <c r="F363" i="3"/>
  <c r="E363" i="3"/>
  <c r="D363" i="3"/>
  <c r="C363" i="3"/>
  <c r="B363" i="3"/>
  <c r="A363" i="3"/>
  <c r="H362" i="3"/>
  <c r="G362" i="3"/>
  <c r="F362" i="3"/>
  <c r="E362" i="3"/>
  <c r="D362" i="3"/>
  <c r="C362" i="3"/>
  <c r="B362" i="3"/>
  <c r="A362" i="3"/>
  <c r="H361" i="3"/>
  <c r="G361" i="3"/>
  <c r="F361" i="3"/>
  <c r="E361" i="3"/>
  <c r="D361" i="3"/>
  <c r="C361" i="3"/>
  <c r="B361" i="3"/>
  <c r="A361" i="3"/>
  <c r="H360" i="3"/>
  <c r="G360" i="3"/>
  <c r="F360" i="3"/>
  <c r="E360" i="3"/>
  <c r="D360" i="3"/>
  <c r="C360" i="3"/>
  <c r="B360" i="3"/>
  <c r="A360" i="3"/>
  <c r="H359" i="3"/>
  <c r="G359" i="3"/>
  <c r="F359" i="3"/>
  <c r="E359" i="3"/>
  <c r="D359" i="3"/>
  <c r="C359" i="3"/>
  <c r="B359" i="3"/>
  <c r="A359" i="3"/>
  <c r="H358" i="3"/>
  <c r="G358" i="3"/>
  <c r="F358" i="3"/>
  <c r="E358" i="3"/>
  <c r="D358" i="3"/>
  <c r="C358" i="3"/>
  <c r="B358" i="3"/>
  <c r="A358" i="3"/>
  <c r="H357" i="3"/>
  <c r="G357" i="3"/>
  <c r="F357" i="3"/>
  <c r="E357" i="3"/>
  <c r="D357" i="3"/>
  <c r="C357" i="3"/>
  <c r="B357" i="3"/>
  <c r="A357" i="3"/>
  <c r="H356" i="3"/>
  <c r="G356" i="3"/>
  <c r="F356" i="3"/>
  <c r="E356" i="3"/>
  <c r="D356" i="3"/>
  <c r="C356" i="3"/>
  <c r="B356" i="3"/>
  <c r="A356" i="3"/>
  <c r="H355" i="3"/>
  <c r="G355" i="3"/>
  <c r="F355" i="3"/>
  <c r="E355" i="3"/>
  <c r="D355" i="3"/>
  <c r="C355" i="3"/>
  <c r="B355" i="3"/>
  <c r="A355" i="3"/>
  <c r="H354" i="3"/>
  <c r="G354" i="3"/>
  <c r="F354" i="3"/>
  <c r="E354" i="3"/>
  <c r="D354" i="3"/>
  <c r="C354" i="3"/>
  <c r="B354" i="3"/>
  <c r="A354" i="3"/>
  <c r="H353" i="3"/>
  <c r="G353" i="3"/>
  <c r="F353" i="3"/>
  <c r="E353" i="3"/>
  <c r="D353" i="3"/>
  <c r="C353" i="3"/>
  <c r="B353" i="3"/>
  <c r="A353" i="3"/>
  <c r="H352" i="3"/>
  <c r="G352" i="3"/>
  <c r="F352" i="3"/>
  <c r="E352" i="3"/>
  <c r="D352" i="3"/>
  <c r="C352" i="3"/>
  <c r="B352" i="3"/>
  <c r="A352" i="3"/>
  <c r="H351" i="3"/>
  <c r="G351" i="3"/>
  <c r="F351" i="3"/>
  <c r="E351" i="3"/>
  <c r="D351" i="3"/>
  <c r="C351" i="3"/>
  <c r="B351" i="3"/>
  <c r="A351" i="3"/>
  <c r="H350" i="3"/>
  <c r="G350" i="3"/>
  <c r="F350" i="3"/>
  <c r="E350" i="3"/>
  <c r="D350" i="3"/>
  <c r="C350" i="3"/>
  <c r="B350" i="3"/>
  <c r="A350" i="3"/>
  <c r="H349" i="3"/>
  <c r="G349" i="3"/>
  <c r="F349" i="3"/>
  <c r="E349" i="3"/>
  <c r="D349" i="3"/>
  <c r="C349" i="3"/>
  <c r="B349" i="3"/>
  <c r="A349" i="3"/>
  <c r="H348" i="3"/>
  <c r="G348" i="3"/>
  <c r="F348" i="3"/>
  <c r="E348" i="3"/>
  <c r="D348" i="3"/>
  <c r="C348" i="3"/>
  <c r="B348" i="3"/>
  <c r="A348" i="3"/>
  <c r="H347" i="3"/>
  <c r="G347" i="3"/>
  <c r="F347" i="3"/>
  <c r="E347" i="3"/>
  <c r="D347" i="3"/>
  <c r="C347" i="3"/>
  <c r="B347" i="3"/>
  <c r="A347" i="3"/>
  <c r="H346" i="3"/>
  <c r="G346" i="3"/>
  <c r="F346" i="3"/>
  <c r="E346" i="3"/>
  <c r="D346" i="3"/>
  <c r="C346" i="3"/>
  <c r="B346" i="3"/>
  <c r="A346" i="3"/>
  <c r="H345" i="3"/>
  <c r="G345" i="3"/>
  <c r="F345" i="3"/>
  <c r="E345" i="3"/>
  <c r="D345" i="3"/>
  <c r="C345" i="3"/>
  <c r="B345" i="3"/>
  <c r="A345" i="3"/>
  <c r="H344" i="3"/>
  <c r="G344" i="3"/>
  <c r="F344" i="3"/>
  <c r="E344" i="3"/>
  <c r="D344" i="3"/>
  <c r="C344" i="3"/>
  <c r="B344" i="3"/>
  <c r="A344" i="3"/>
  <c r="H343" i="3"/>
  <c r="G343" i="3"/>
  <c r="F343" i="3"/>
  <c r="E343" i="3"/>
  <c r="D343" i="3"/>
  <c r="C343" i="3"/>
  <c r="B343" i="3"/>
  <c r="A343" i="3"/>
  <c r="H342" i="3"/>
  <c r="G342" i="3"/>
  <c r="F342" i="3"/>
  <c r="E342" i="3"/>
  <c r="D342" i="3"/>
  <c r="C342" i="3"/>
  <c r="B342" i="3"/>
  <c r="A342" i="3"/>
  <c r="H341" i="3"/>
  <c r="G341" i="3"/>
  <c r="F341" i="3"/>
  <c r="E341" i="3"/>
  <c r="D341" i="3"/>
  <c r="C341" i="3"/>
  <c r="B341" i="3"/>
  <c r="A341" i="3"/>
  <c r="H340" i="3"/>
  <c r="G340" i="3"/>
  <c r="F340" i="3"/>
  <c r="E340" i="3"/>
  <c r="D340" i="3"/>
  <c r="C340" i="3"/>
  <c r="B340" i="3"/>
  <c r="A340" i="3"/>
  <c r="H339" i="3"/>
  <c r="G339" i="3"/>
  <c r="F339" i="3"/>
  <c r="E339" i="3"/>
  <c r="D339" i="3"/>
  <c r="C339" i="3"/>
  <c r="B339" i="3"/>
  <c r="A339" i="3"/>
  <c r="H338" i="3"/>
  <c r="G338" i="3"/>
  <c r="F338" i="3"/>
  <c r="E338" i="3"/>
  <c r="D338" i="3"/>
  <c r="C338" i="3"/>
  <c r="B338" i="3"/>
  <c r="A338" i="3"/>
  <c r="H337" i="3"/>
  <c r="G337" i="3"/>
  <c r="F337" i="3"/>
  <c r="E337" i="3"/>
  <c r="D337" i="3"/>
  <c r="C337" i="3"/>
  <c r="B337" i="3"/>
  <c r="A337" i="3"/>
  <c r="H336" i="3"/>
  <c r="G336" i="3"/>
  <c r="F336" i="3"/>
  <c r="E336" i="3"/>
  <c r="D336" i="3"/>
  <c r="C336" i="3"/>
  <c r="B336" i="3"/>
  <c r="A336" i="3"/>
  <c r="H335" i="3"/>
  <c r="G335" i="3"/>
  <c r="F335" i="3"/>
  <c r="E335" i="3"/>
  <c r="D335" i="3"/>
  <c r="C335" i="3"/>
  <c r="B335" i="3"/>
  <c r="A335" i="3"/>
  <c r="H334" i="3"/>
  <c r="G334" i="3"/>
  <c r="F334" i="3"/>
  <c r="E334" i="3"/>
  <c r="D334" i="3"/>
  <c r="C334" i="3"/>
  <c r="B334" i="3"/>
  <c r="A334" i="3"/>
  <c r="H333" i="3"/>
  <c r="G333" i="3"/>
  <c r="F333" i="3"/>
  <c r="E333" i="3"/>
  <c r="D333" i="3"/>
  <c r="C333" i="3"/>
  <c r="B333" i="3"/>
  <c r="A333" i="3"/>
  <c r="H332" i="3"/>
  <c r="G332" i="3"/>
  <c r="F332" i="3"/>
  <c r="E332" i="3"/>
  <c r="D332" i="3"/>
  <c r="C332" i="3"/>
  <c r="B332" i="3"/>
  <c r="A332" i="3"/>
  <c r="H331" i="3"/>
  <c r="G331" i="3"/>
  <c r="F331" i="3"/>
  <c r="E331" i="3"/>
  <c r="D331" i="3"/>
  <c r="C331" i="3"/>
  <c r="B331" i="3"/>
  <c r="A331" i="3"/>
  <c r="H330" i="3"/>
  <c r="G330" i="3"/>
  <c r="F330" i="3"/>
  <c r="E330" i="3"/>
  <c r="D330" i="3"/>
  <c r="C330" i="3"/>
  <c r="B330" i="3"/>
  <c r="A330" i="3"/>
  <c r="H329" i="3"/>
  <c r="G329" i="3"/>
  <c r="F329" i="3"/>
  <c r="E329" i="3"/>
  <c r="D329" i="3"/>
  <c r="C329" i="3"/>
  <c r="B329" i="3"/>
  <c r="A329" i="3"/>
  <c r="H328" i="3"/>
  <c r="G328" i="3"/>
  <c r="F328" i="3"/>
  <c r="E328" i="3"/>
  <c r="D328" i="3"/>
  <c r="C328" i="3"/>
  <c r="B328" i="3"/>
  <c r="A328" i="3"/>
  <c r="H327" i="3"/>
  <c r="G327" i="3"/>
  <c r="F327" i="3"/>
  <c r="E327" i="3"/>
  <c r="D327" i="3"/>
  <c r="C327" i="3"/>
  <c r="B327" i="3"/>
  <c r="A327" i="3"/>
  <c r="H326" i="3"/>
  <c r="G326" i="3"/>
  <c r="F326" i="3"/>
  <c r="E326" i="3"/>
  <c r="D326" i="3"/>
  <c r="C326" i="3"/>
  <c r="B326" i="3"/>
  <c r="A326" i="3"/>
  <c r="H325" i="3"/>
  <c r="G325" i="3"/>
  <c r="F325" i="3"/>
  <c r="E325" i="3"/>
  <c r="D325" i="3"/>
  <c r="C325" i="3"/>
  <c r="B325" i="3"/>
  <c r="A325" i="3"/>
  <c r="H324" i="3"/>
  <c r="G324" i="3"/>
  <c r="F324" i="3"/>
  <c r="E324" i="3"/>
  <c r="D324" i="3"/>
  <c r="C324" i="3"/>
  <c r="B324" i="3"/>
  <c r="A324" i="3"/>
  <c r="H323" i="3"/>
  <c r="G323" i="3"/>
  <c r="F323" i="3"/>
  <c r="E323" i="3"/>
  <c r="D323" i="3"/>
  <c r="C323" i="3"/>
  <c r="B323" i="3"/>
  <c r="A323" i="3"/>
  <c r="H322" i="3"/>
  <c r="G322" i="3"/>
  <c r="F322" i="3"/>
  <c r="E322" i="3"/>
  <c r="D322" i="3"/>
  <c r="C322" i="3"/>
  <c r="B322" i="3"/>
  <c r="A322" i="3"/>
  <c r="H321" i="3"/>
  <c r="G321" i="3"/>
  <c r="F321" i="3"/>
  <c r="E321" i="3"/>
  <c r="D321" i="3"/>
  <c r="C321" i="3"/>
  <c r="B321" i="3"/>
  <c r="A321" i="3"/>
  <c r="H320" i="3"/>
  <c r="G320" i="3"/>
  <c r="F320" i="3"/>
  <c r="E320" i="3"/>
  <c r="D320" i="3"/>
  <c r="C320" i="3"/>
  <c r="B320" i="3"/>
  <c r="A320" i="3"/>
  <c r="H319" i="3"/>
  <c r="G319" i="3"/>
  <c r="F319" i="3"/>
  <c r="E319" i="3"/>
  <c r="D319" i="3"/>
  <c r="C319" i="3"/>
  <c r="B319" i="3"/>
  <c r="A319" i="3"/>
  <c r="H318" i="3"/>
  <c r="G318" i="3"/>
  <c r="F318" i="3"/>
  <c r="E318" i="3"/>
  <c r="D318" i="3"/>
  <c r="C318" i="3"/>
  <c r="B318" i="3"/>
  <c r="A318" i="3"/>
  <c r="H317" i="3"/>
  <c r="G317" i="3"/>
  <c r="F317" i="3"/>
  <c r="E317" i="3"/>
  <c r="D317" i="3"/>
  <c r="C317" i="3"/>
  <c r="B317" i="3"/>
  <c r="A317" i="3"/>
  <c r="H316" i="3"/>
  <c r="G316" i="3"/>
  <c r="F316" i="3"/>
  <c r="E316" i="3"/>
  <c r="D316" i="3"/>
  <c r="C316" i="3"/>
  <c r="B316" i="3"/>
  <c r="A316" i="3"/>
  <c r="H315" i="3"/>
  <c r="G315" i="3"/>
  <c r="F315" i="3"/>
  <c r="E315" i="3"/>
  <c r="D315" i="3"/>
  <c r="C315" i="3"/>
  <c r="B315" i="3"/>
  <c r="A315" i="3"/>
  <c r="H314" i="3"/>
  <c r="G314" i="3"/>
  <c r="F314" i="3"/>
  <c r="E314" i="3"/>
  <c r="D314" i="3"/>
  <c r="C314" i="3"/>
  <c r="B314" i="3"/>
  <c r="A314" i="3"/>
  <c r="H313" i="3"/>
  <c r="G313" i="3"/>
  <c r="F313" i="3"/>
  <c r="E313" i="3"/>
  <c r="D313" i="3"/>
  <c r="C313" i="3"/>
  <c r="B313" i="3"/>
  <c r="A313" i="3"/>
  <c r="H312" i="3"/>
  <c r="G312" i="3"/>
  <c r="F312" i="3"/>
  <c r="E312" i="3"/>
  <c r="D312" i="3"/>
  <c r="C312" i="3"/>
  <c r="B312" i="3"/>
  <c r="A312" i="3"/>
  <c r="H311" i="3"/>
  <c r="G311" i="3"/>
  <c r="F311" i="3"/>
  <c r="E311" i="3"/>
  <c r="D311" i="3"/>
  <c r="C311" i="3"/>
  <c r="B311" i="3"/>
  <c r="A311" i="3"/>
  <c r="H310" i="3"/>
  <c r="G310" i="3"/>
  <c r="F310" i="3"/>
  <c r="E310" i="3"/>
  <c r="D310" i="3"/>
  <c r="C310" i="3"/>
  <c r="B310" i="3"/>
  <c r="A310" i="3"/>
  <c r="H309" i="3"/>
  <c r="G309" i="3"/>
  <c r="F309" i="3"/>
  <c r="E309" i="3"/>
  <c r="D309" i="3"/>
  <c r="C309" i="3"/>
  <c r="B309" i="3"/>
  <c r="A309" i="3"/>
  <c r="H308" i="3"/>
  <c r="G308" i="3"/>
  <c r="F308" i="3"/>
  <c r="E308" i="3"/>
  <c r="D308" i="3"/>
  <c r="C308" i="3"/>
  <c r="B308" i="3"/>
  <c r="A308" i="3"/>
  <c r="H307" i="3"/>
  <c r="G307" i="3"/>
  <c r="F307" i="3"/>
  <c r="E307" i="3"/>
  <c r="D307" i="3"/>
  <c r="C307" i="3"/>
  <c r="B307" i="3"/>
  <c r="A307" i="3"/>
  <c r="H306" i="3"/>
  <c r="G306" i="3"/>
  <c r="F306" i="3"/>
  <c r="E306" i="3"/>
  <c r="D306" i="3"/>
  <c r="C306" i="3"/>
  <c r="B306" i="3"/>
  <c r="A306" i="3"/>
  <c r="H305" i="3"/>
  <c r="G305" i="3"/>
  <c r="F305" i="3"/>
  <c r="E305" i="3"/>
  <c r="D305" i="3"/>
  <c r="C305" i="3"/>
  <c r="B305" i="3"/>
  <c r="A305" i="3"/>
  <c r="H304" i="3"/>
  <c r="G304" i="3"/>
  <c r="F304" i="3"/>
  <c r="E304" i="3"/>
  <c r="D304" i="3"/>
  <c r="C304" i="3"/>
  <c r="B304" i="3"/>
  <c r="A304" i="3"/>
  <c r="H303" i="3"/>
  <c r="G303" i="3"/>
  <c r="F303" i="3"/>
  <c r="E303" i="3"/>
  <c r="D303" i="3"/>
  <c r="C303" i="3"/>
  <c r="B303" i="3"/>
  <c r="A303" i="3"/>
  <c r="H302" i="3"/>
  <c r="G302" i="3"/>
  <c r="F302" i="3"/>
  <c r="E302" i="3"/>
  <c r="D302" i="3"/>
  <c r="C302" i="3"/>
  <c r="B302" i="3"/>
  <c r="A302" i="3"/>
  <c r="H301" i="3"/>
  <c r="G301" i="3"/>
  <c r="F301" i="3"/>
  <c r="E301" i="3"/>
  <c r="D301" i="3"/>
  <c r="C301" i="3"/>
  <c r="B301" i="3"/>
  <c r="A301" i="3"/>
  <c r="H300" i="3"/>
  <c r="G300" i="3"/>
  <c r="F300" i="3"/>
  <c r="E300" i="3"/>
  <c r="D300" i="3"/>
  <c r="C300" i="3"/>
  <c r="B300" i="3"/>
  <c r="A300" i="3"/>
  <c r="H299" i="3"/>
  <c r="G299" i="3"/>
  <c r="F299" i="3"/>
  <c r="E299" i="3"/>
  <c r="D299" i="3"/>
  <c r="C299" i="3"/>
  <c r="B299" i="3"/>
  <c r="A299" i="3"/>
  <c r="H298" i="3"/>
  <c r="G298" i="3"/>
  <c r="F298" i="3"/>
  <c r="E298" i="3"/>
  <c r="D298" i="3"/>
  <c r="C298" i="3"/>
  <c r="B298" i="3"/>
  <c r="A298" i="3"/>
  <c r="H297" i="3"/>
  <c r="G297" i="3"/>
  <c r="F297" i="3"/>
  <c r="E297" i="3"/>
  <c r="D297" i="3"/>
  <c r="C297" i="3"/>
  <c r="B297" i="3"/>
  <c r="A297" i="3"/>
  <c r="H296" i="3"/>
  <c r="G296" i="3"/>
  <c r="F296" i="3"/>
  <c r="E296" i="3"/>
  <c r="D296" i="3"/>
  <c r="C296" i="3"/>
  <c r="B296" i="3"/>
  <c r="A296" i="3"/>
  <c r="H295" i="3"/>
  <c r="G295" i="3"/>
  <c r="F295" i="3"/>
  <c r="E295" i="3"/>
  <c r="D295" i="3"/>
  <c r="C295" i="3"/>
  <c r="B295" i="3"/>
  <c r="A295" i="3"/>
  <c r="H294" i="3"/>
  <c r="G294" i="3"/>
  <c r="F294" i="3"/>
  <c r="E294" i="3"/>
  <c r="D294" i="3"/>
  <c r="C294" i="3"/>
  <c r="B294" i="3"/>
  <c r="A294" i="3"/>
  <c r="H293" i="3"/>
  <c r="G293" i="3"/>
  <c r="F293" i="3"/>
  <c r="E293" i="3"/>
  <c r="D293" i="3"/>
  <c r="C293" i="3"/>
  <c r="B293" i="3"/>
  <c r="A293" i="3"/>
  <c r="H292" i="3"/>
  <c r="G292" i="3"/>
  <c r="F292" i="3"/>
  <c r="E292" i="3"/>
  <c r="D292" i="3"/>
  <c r="C292" i="3"/>
  <c r="B292" i="3"/>
  <c r="A292" i="3"/>
  <c r="H291" i="3"/>
  <c r="G291" i="3"/>
  <c r="F291" i="3"/>
  <c r="E291" i="3"/>
  <c r="D291" i="3"/>
  <c r="C291" i="3"/>
  <c r="B291" i="3"/>
  <c r="A291" i="3"/>
  <c r="H290" i="3"/>
  <c r="G290" i="3"/>
  <c r="F290" i="3"/>
  <c r="E290" i="3"/>
  <c r="D290" i="3"/>
  <c r="C290" i="3"/>
  <c r="B290" i="3"/>
  <c r="A290" i="3"/>
  <c r="H289" i="3"/>
  <c r="G289" i="3"/>
  <c r="F289" i="3"/>
  <c r="E289" i="3"/>
  <c r="D289" i="3"/>
  <c r="C289" i="3"/>
  <c r="B289" i="3"/>
  <c r="A289" i="3"/>
  <c r="H288" i="3"/>
  <c r="G288" i="3"/>
  <c r="F288" i="3"/>
  <c r="E288" i="3"/>
  <c r="D288" i="3"/>
  <c r="C288" i="3"/>
  <c r="B288" i="3"/>
  <c r="A288" i="3"/>
  <c r="H287" i="3"/>
  <c r="G287" i="3"/>
  <c r="F287" i="3"/>
  <c r="E287" i="3"/>
  <c r="D287" i="3"/>
  <c r="C287" i="3"/>
  <c r="B287" i="3"/>
  <c r="A287" i="3"/>
  <c r="H286" i="3"/>
  <c r="G286" i="3"/>
  <c r="F286" i="3"/>
  <c r="E286" i="3"/>
  <c r="D286" i="3"/>
  <c r="C286" i="3"/>
  <c r="B286" i="3"/>
  <c r="A286" i="3"/>
  <c r="H285" i="3"/>
  <c r="G285" i="3"/>
  <c r="F285" i="3"/>
  <c r="E285" i="3"/>
  <c r="D285" i="3"/>
  <c r="C285" i="3"/>
  <c r="B285" i="3"/>
  <c r="A285" i="3"/>
  <c r="H284" i="3"/>
  <c r="G284" i="3"/>
  <c r="F284" i="3"/>
  <c r="E284" i="3"/>
  <c r="D284" i="3"/>
  <c r="C284" i="3"/>
  <c r="B284" i="3"/>
  <c r="A284" i="3"/>
  <c r="H283" i="3"/>
  <c r="G283" i="3"/>
  <c r="F283" i="3"/>
  <c r="E283" i="3"/>
  <c r="D283" i="3"/>
  <c r="C283" i="3"/>
  <c r="B283" i="3"/>
  <c r="A283" i="3"/>
  <c r="H282" i="3"/>
  <c r="G282" i="3"/>
  <c r="F282" i="3"/>
  <c r="E282" i="3"/>
  <c r="D282" i="3"/>
  <c r="C282" i="3"/>
  <c r="B282" i="3"/>
  <c r="A282" i="3"/>
  <c r="H281" i="3"/>
  <c r="G281" i="3"/>
  <c r="F281" i="3"/>
  <c r="E281" i="3"/>
  <c r="D281" i="3"/>
  <c r="C281" i="3"/>
  <c r="B281" i="3"/>
  <c r="A281" i="3"/>
  <c r="H280" i="3"/>
  <c r="G280" i="3"/>
  <c r="F280" i="3"/>
  <c r="E280" i="3"/>
  <c r="D280" i="3"/>
  <c r="C280" i="3"/>
  <c r="B280" i="3"/>
  <c r="A280" i="3"/>
  <c r="H279" i="3"/>
  <c r="G279" i="3"/>
  <c r="F279" i="3"/>
  <c r="E279" i="3"/>
  <c r="D279" i="3"/>
  <c r="C279" i="3"/>
  <c r="B279" i="3"/>
  <c r="A279" i="3"/>
  <c r="H278" i="3"/>
  <c r="G278" i="3"/>
  <c r="F278" i="3"/>
  <c r="E278" i="3"/>
  <c r="D278" i="3"/>
  <c r="C278" i="3"/>
  <c r="B278" i="3"/>
  <c r="A278" i="3"/>
  <c r="H277" i="3"/>
  <c r="G277" i="3"/>
  <c r="F277" i="3"/>
  <c r="E277" i="3"/>
  <c r="D277" i="3"/>
  <c r="C277" i="3"/>
  <c r="B277" i="3"/>
  <c r="A277" i="3"/>
  <c r="H276" i="3"/>
  <c r="G276" i="3"/>
  <c r="F276" i="3"/>
  <c r="E276" i="3"/>
  <c r="D276" i="3"/>
  <c r="C276" i="3"/>
  <c r="B276" i="3"/>
  <c r="A276" i="3"/>
  <c r="H275" i="3"/>
  <c r="G275" i="3"/>
  <c r="F275" i="3"/>
  <c r="E275" i="3"/>
  <c r="D275" i="3"/>
  <c r="C275" i="3"/>
  <c r="B275" i="3"/>
  <c r="A275" i="3"/>
  <c r="H274" i="3"/>
  <c r="G274" i="3"/>
  <c r="F274" i="3"/>
  <c r="E274" i="3"/>
  <c r="D274" i="3"/>
  <c r="C274" i="3"/>
  <c r="B274" i="3"/>
  <c r="A274" i="3"/>
  <c r="H273" i="3"/>
  <c r="G273" i="3"/>
  <c r="F273" i="3"/>
  <c r="E273" i="3"/>
  <c r="D273" i="3"/>
  <c r="C273" i="3"/>
  <c r="B273" i="3"/>
  <c r="A273" i="3"/>
  <c r="H272" i="3"/>
  <c r="G272" i="3"/>
  <c r="F272" i="3"/>
  <c r="E272" i="3"/>
  <c r="D272" i="3"/>
  <c r="C272" i="3"/>
  <c r="B272" i="3"/>
  <c r="A272" i="3"/>
  <c r="H271" i="3"/>
  <c r="G271" i="3"/>
  <c r="F271" i="3"/>
  <c r="E271" i="3"/>
  <c r="D271" i="3"/>
  <c r="C271" i="3"/>
  <c r="B271" i="3"/>
  <c r="A271" i="3"/>
  <c r="H270" i="3"/>
  <c r="G270" i="3"/>
  <c r="F270" i="3"/>
  <c r="E270" i="3"/>
  <c r="D270" i="3"/>
  <c r="C270" i="3"/>
  <c r="B270" i="3"/>
  <c r="A270" i="3"/>
  <c r="H269" i="3"/>
  <c r="G269" i="3"/>
  <c r="F269" i="3"/>
  <c r="E269" i="3"/>
  <c r="D269" i="3"/>
  <c r="C269" i="3"/>
  <c r="B269" i="3"/>
  <c r="A269" i="3"/>
  <c r="H268" i="3"/>
  <c r="G268" i="3"/>
  <c r="F268" i="3"/>
  <c r="E268" i="3"/>
  <c r="D268" i="3"/>
  <c r="C268" i="3"/>
  <c r="B268" i="3"/>
  <c r="A268" i="3"/>
  <c r="H267" i="3"/>
  <c r="G267" i="3"/>
  <c r="F267" i="3"/>
  <c r="E267" i="3"/>
  <c r="D267" i="3"/>
  <c r="C267" i="3"/>
  <c r="B267" i="3"/>
  <c r="A267" i="3"/>
  <c r="H266" i="3"/>
  <c r="G266" i="3"/>
  <c r="F266" i="3"/>
  <c r="E266" i="3"/>
  <c r="D266" i="3"/>
  <c r="C266" i="3"/>
  <c r="B266" i="3"/>
  <c r="A266" i="3"/>
  <c r="H265" i="3"/>
  <c r="G265" i="3"/>
  <c r="F265" i="3"/>
  <c r="E265" i="3"/>
  <c r="D265" i="3"/>
  <c r="C265" i="3"/>
  <c r="B265" i="3"/>
  <c r="A265" i="3"/>
  <c r="H264" i="3"/>
  <c r="G264" i="3"/>
  <c r="F264" i="3"/>
  <c r="E264" i="3"/>
  <c r="D264" i="3"/>
  <c r="C264" i="3"/>
  <c r="B264" i="3"/>
  <c r="A264" i="3"/>
  <c r="H263" i="3"/>
  <c r="G263" i="3"/>
  <c r="F263" i="3"/>
  <c r="E263" i="3"/>
  <c r="D263" i="3"/>
  <c r="C263" i="3"/>
  <c r="B263" i="3"/>
  <c r="A263" i="3"/>
  <c r="H262" i="3"/>
  <c r="G262" i="3"/>
  <c r="F262" i="3"/>
  <c r="E262" i="3"/>
  <c r="D262" i="3"/>
  <c r="C262" i="3"/>
  <c r="B262" i="3"/>
  <c r="A262" i="3"/>
  <c r="H261" i="3"/>
  <c r="G261" i="3"/>
  <c r="F261" i="3"/>
  <c r="E261" i="3"/>
  <c r="D261" i="3"/>
  <c r="C261" i="3"/>
  <c r="B261" i="3"/>
  <c r="A261" i="3"/>
  <c r="H260" i="3"/>
  <c r="G260" i="3"/>
  <c r="F260" i="3"/>
  <c r="E260" i="3"/>
  <c r="D260" i="3"/>
  <c r="C260" i="3"/>
  <c r="B260" i="3"/>
  <c r="A260" i="3"/>
  <c r="H259" i="3"/>
  <c r="G259" i="3"/>
  <c r="F259" i="3"/>
  <c r="E259" i="3"/>
  <c r="D259" i="3"/>
  <c r="C259" i="3"/>
  <c r="B259" i="3"/>
  <c r="A259" i="3"/>
  <c r="H258" i="3"/>
  <c r="G258" i="3"/>
  <c r="F258" i="3"/>
  <c r="E258" i="3"/>
  <c r="D258" i="3"/>
  <c r="C258" i="3"/>
  <c r="B258" i="3"/>
  <c r="A258" i="3"/>
  <c r="H257" i="3"/>
  <c r="G257" i="3"/>
  <c r="F257" i="3"/>
  <c r="E257" i="3"/>
  <c r="D257" i="3"/>
  <c r="C257" i="3"/>
  <c r="B257" i="3"/>
  <c r="A257" i="3"/>
  <c r="H256" i="3"/>
  <c r="G256" i="3"/>
  <c r="F256" i="3"/>
  <c r="E256" i="3"/>
  <c r="D256" i="3"/>
  <c r="C256" i="3"/>
  <c r="B256" i="3"/>
  <c r="A256" i="3"/>
  <c r="H255" i="3"/>
  <c r="G255" i="3"/>
  <c r="F255" i="3"/>
  <c r="E255" i="3"/>
  <c r="D255" i="3"/>
  <c r="C255" i="3"/>
  <c r="B255" i="3"/>
  <c r="A255" i="3"/>
  <c r="H254" i="3"/>
  <c r="G254" i="3"/>
  <c r="F254" i="3"/>
  <c r="E254" i="3"/>
  <c r="D254" i="3"/>
  <c r="C254" i="3"/>
  <c r="B254" i="3"/>
  <c r="A254" i="3"/>
  <c r="H253" i="3"/>
  <c r="G253" i="3"/>
  <c r="F253" i="3"/>
  <c r="E253" i="3"/>
  <c r="D253" i="3"/>
  <c r="C253" i="3"/>
  <c r="B253" i="3"/>
  <c r="A253" i="3"/>
  <c r="H252" i="3"/>
  <c r="G252" i="3"/>
  <c r="F252" i="3"/>
  <c r="E252" i="3"/>
  <c r="D252" i="3"/>
  <c r="C252" i="3"/>
  <c r="B252" i="3"/>
  <c r="A252" i="3"/>
  <c r="H251" i="3"/>
  <c r="G251" i="3"/>
  <c r="F251" i="3"/>
  <c r="E251" i="3"/>
  <c r="D251" i="3"/>
  <c r="C251" i="3"/>
  <c r="B251" i="3"/>
  <c r="A251" i="3"/>
  <c r="H250" i="3"/>
  <c r="G250" i="3"/>
  <c r="F250" i="3"/>
  <c r="E250" i="3"/>
  <c r="D250" i="3"/>
  <c r="C250" i="3"/>
  <c r="B250" i="3"/>
  <c r="A250" i="3"/>
  <c r="H249" i="3"/>
  <c r="G249" i="3"/>
  <c r="F249" i="3"/>
  <c r="E249" i="3"/>
  <c r="D249" i="3"/>
  <c r="C249" i="3"/>
  <c r="B249" i="3"/>
  <c r="A249" i="3"/>
  <c r="H248" i="3"/>
  <c r="G248" i="3"/>
  <c r="F248" i="3"/>
  <c r="E248" i="3"/>
  <c r="D248" i="3"/>
  <c r="C248" i="3"/>
  <c r="B248" i="3"/>
  <c r="A248" i="3"/>
  <c r="H247" i="3"/>
  <c r="G247" i="3"/>
  <c r="F247" i="3"/>
  <c r="E247" i="3"/>
  <c r="D247" i="3"/>
  <c r="C247" i="3"/>
  <c r="B247" i="3"/>
  <c r="A247" i="3"/>
  <c r="H246" i="3"/>
  <c r="G246" i="3"/>
  <c r="F246" i="3"/>
  <c r="E246" i="3"/>
  <c r="D246" i="3"/>
  <c r="C246" i="3"/>
  <c r="B246" i="3"/>
  <c r="A246" i="3"/>
  <c r="H245" i="3"/>
  <c r="G245" i="3"/>
  <c r="F245" i="3"/>
  <c r="E245" i="3"/>
  <c r="D245" i="3"/>
  <c r="C245" i="3"/>
  <c r="B245" i="3"/>
  <c r="A245" i="3"/>
  <c r="H244" i="3"/>
  <c r="G244" i="3"/>
  <c r="F244" i="3"/>
  <c r="E244" i="3"/>
  <c r="D244" i="3"/>
  <c r="C244" i="3"/>
  <c r="B244" i="3"/>
  <c r="A244" i="3"/>
  <c r="H243" i="3"/>
  <c r="G243" i="3"/>
  <c r="F243" i="3"/>
  <c r="E243" i="3"/>
  <c r="D243" i="3"/>
  <c r="C243" i="3"/>
  <c r="B243" i="3"/>
  <c r="A243" i="3"/>
  <c r="H242" i="3"/>
  <c r="G242" i="3"/>
  <c r="F242" i="3"/>
  <c r="E242" i="3"/>
  <c r="D242" i="3"/>
  <c r="C242" i="3"/>
  <c r="B242" i="3"/>
  <c r="A242" i="3"/>
  <c r="H241" i="3"/>
  <c r="G241" i="3"/>
  <c r="F241" i="3"/>
  <c r="E241" i="3"/>
  <c r="D241" i="3"/>
  <c r="C241" i="3"/>
  <c r="B241" i="3"/>
  <c r="A241" i="3"/>
  <c r="H240" i="3"/>
  <c r="G240" i="3"/>
  <c r="F240" i="3"/>
  <c r="E240" i="3"/>
  <c r="D240" i="3"/>
  <c r="C240" i="3"/>
  <c r="B240" i="3"/>
  <c r="A240" i="3"/>
  <c r="H239" i="3"/>
  <c r="G239" i="3"/>
  <c r="F239" i="3"/>
  <c r="E239" i="3"/>
  <c r="D239" i="3"/>
  <c r="C239" i="3"/>
  <c r="B239" i="3"/>
  <c r="A239" i="3"/>
  <c r="H238" i="3"/>
  <c r="G238" i="3"/>
  <c r="F238" i="3"/>
  <c r="E238" i="3"/>
  <c r="D238" i="3"/>
  <c r="C238" i="3"/>
  <c r="B238" i="3"/>
  <c r="A238" i="3"/>
  <c r="H237" i="3"/>
  <c r="G237" i="3"/>
  <c r="F237" i="3"/>
  <c r="E237" i="3"/>
  <c r="D237" i="3"/>
  <c r="C237" i="3"/>
  <c r="B237" i="3"/>
  <c r="A237" i="3"/>
  <c r="H236" i="3"/>
  <c r="G236" i="3"/>
  <c r="F236" i="3"/>
  <c r="E236" i="3"/>
  <c r="D236" i="3"/>
  <c r="C236" i="3"/>
  <c r="B236" i="3"/>
  <c r="A236" i="3"/>
  <c r="H235" i="3"/>
  <c r="G235" i="3"/>
  <c r="F235" i="3"/>
  <c r="E235" i="3"/>
  <c r="D235" i="3"/>
  <c r="C235" i="3"/>
  <c r="B235" i="3"/>
  <c r="A235" i="3"/>
  <c r="H234" i="3"/>
  <c r="G234" i="3"/>
  <c r="F234" i="3"/>
  <c r="E234" i="3"/>
  <c r="D234" i="3"/>
  <c r="C234" i="3"/>
  <c r="B234" i="3"/>
  <c r="A234" i="3"/>
  <c r="H233" i="3"/>
  <c r="G233" i="3"/>
  <c r="F233" i="3"/>
  <c r="E233" i="3"/>
  <c r="D233" i="3"/>
  <c r="C233" i="3"/>
  <c r="B233" i="3"/>
  <c r="A233" i="3"/>
  <c r="H232" i="3"/>
  <c r="G232" i="3"/>
  <c r="F232" i="3"/>
  <c r="E232" i="3"/>
  <c r="D232" i="3"/>
  <c r="C232" i="3"/>
  <c r="B232" i="3"/>
  <c r="A232" i="3"/>
  <c r="H231" i="3"/>
  <c r="G231" i="3"/>
  <c r="F231" i="3"/>
  <c r="E231" i="3"/>
  <c r="D231" i="3"/>
  <c r="C231" i="3"/>
  <c r="B231" i="3"/>
  <c r="A231" i="3"/>
  <c r="H230" i="3"/>
  <c r="G230" i="3"/>
  <c r="F230" i="3"/>
  <c r="E230" i="3"/>
  <c r="D230" i="3"/>
  <c r="C230" i="3"/>
  <c r="B230" i="3"/>
  <c r="A230" i="3"/>
  <c r="H229" i="3"/>
  <c r="G229" i="3"/>
  <c r="F229" i="3"/>
  <c r="E229" i="3"/>
  <c r="D229" i="3"/>
  <c r="C229" i="3"/>
  <c r="B229" i="3"/>
  <c r="A229" i="3"/>
  <c r="H228" i="3"/>
  <c r="G228" i="3"/>
  <c r="F228" i="3"/>
  <c r="E228" i="3"/>
  <c r="D228" i="3"/>
  <c r="C228" i="3"/>
  <c r="B228" i="3"/>
  <c r="A228" i="3"/>
  <c r="H227" i="3"/>
  <c r="G227" i="3"/>
  <c r="F227" i="3"/>
  <c r="E227" i="3"/>
  <c r="D227" i="3"/>
  <c r="C227" i="3"/>
  <c r="B227" i="3"/>
  <c r="A227" i="3"/>
  <c r="H226" i="3"/>
  <c r="G226" i="3"/>
  <c r="F226" i="3"/>
  <c r="E226" i="3"/>
  <c r="D226" i="3"/>
  <c r="C226" i="3"/>
  <c r="B226" i="3"/>
  <c r="A226" i="3"/>
  <c r="H225" i="3"/>
  <c r="G225" i="3"/>
  <c r="F225" i="3"/>
  <c r="E225" i="3"/>
  <c r="D225" i="3"/>
  <c r="C225" i="3"/>
  <c r="B225" i="3"/>
  <c r="A225" i="3"/>
  <c r="H224" i="3"/>
  <c r="G224" i="3"/>
  <c r="F224" i="3"/>
  <c r="E224" i="3"/>
  <c r="D224" i="3"/>
  <c r="C224" i="3"/>
  <c r="B224" i="3"/>
  <c r="A224" i="3"/>
  <c r="H223" i="3"/>
  <c r="G223" i="3"/>
  <c r="F223" i="3"/>
  <c r="E223" i="3"/>
  <c r="D223" i="3"/>
  <c r="C223" i="3"/>
  <c r="B223" i="3"/>
  <c r="A223" i="3"/>
  <c r="H222" i="3"/>
  <c r="G222" i="3"/>
  <c r="F222" i="3"/>
  <c r="E222" i="3"/>
  <c r="D222" i="3"/>
  <c r="C222" i="3"/>
  <c r="B222" i="3"/>
  <c r="A222" i="3"/>
  <c r="H221" i="3"/>
  <c r="G221" i="3"/>
  <c r="F221" i="3"/>
  <c r="E221" i="3"/>
  <c r="D221" i="3"/>
  <c r="C221" i="3"/>
  <c r="B221" i="3"/>
  <c r="A221" i="3"/>
  <c r="H220" i="3"/>
  <c r="G220" i="3"/>
  <c r="F220" i="3"/>
  <c r="E220" i="3"/>
  <c r="D220" i="3"/>
  <c r="C220" i="3"/>
  <c r="B220" i="3"/>
  <c r="A220" i="3"/>
  <c r="H219" i="3"/>
  <c r="G219" i="3"/>
  <c r="F219" i="3"/>
  <c r="E219" i="3"/>
  <c r="D219" i="3"/>
  <c r="C219" i="3"/>
  <c r="B219" i="3"/>
  <c r="A219" i="3"/>
  <c r="H218" i="3"/>
  <c r="G218" i="3"/>
  <c r="F218" i="3"/>
  <c r="E218" i="3"/>
  <c r="D218" i="3"/>
  <c r="C218" i="3"/>
  <c r="B218" i="3"/>
  <c r="A218" i="3"/>
  <c r="H217" i="3"/>
  <c r="G217" i="3"/>
  <c r="F217" i="3"/>
  <c r="E217" i="3"/>
  <c r="D217" i="3"/>
  <c r="C217" i="3"/>
  <c r="B217" i="3"/>
  <c r="A217" i="3"/>
  <c r="H216" i="3"/>
  <c r="G216" i="3"/>
  <c r="F216" i="3"/>
  <c r="E216" i="3"/>
  <c r="D216" i="3"/>
  <c r="C216" i="3"/>
  <c r="B216" i="3"/>
  <c r="A216" i="3"/>
  <c r="H215" i="3"/>
  <c r="G215" i="3"/>
  <c r="F215" i="3"/>
  <c r="E215" i="3"/>
  <c r="D215" i="3"/>
  <c r="C215" i="3"/>
  <c r="B215" i="3"/>
  <c r="A215" i="3"/>
  <c r="H214" i="3"/>
  <c r="G214" i="3"/>
  <c r="F214" i="3"/>
  <c r="E214" i="3"/>
  <c r="D214" i="3"/>
  <c r="C214" i="3"/>
  <c r="B214" i="3"/>
  <c r="A214" i="3"/>
  <c r="H213" i="3"/>
  <c r="G213" i="3"/>
  <c r="F213" i="3"/>
  <c r="E213" i="3"/>
  <c r="D213" i="3"/>
  <c r="C213" i="3"/>
  <c r="B213" i="3"/>
  <c r="A213" i="3"/>
  <c r="H212" i="3"/>
  <c r="G212" i="3"/>
  <c r="F212" i="3"/>
  <c r="E212" i="3"/>
  <c r="D212" i="3"/>
  <c r="C212" i="3"/>
  <c r="B212" i="3"/>
  <c r="A212" i="3"/>
  <c r="H211" i="3"/>
  <c r="G211" i="3"/>
  <c r="F211" i="3"/>
  <c r="E211" i="3"/>
  <c r="D211" i="3"/>
  <c r="C211" i="3"/>
  <c r="B211" i="3"/>
  <c r="A211" i="3"/>
  <c r="H210" i="3"/>
  <c r="G210" i="3"/>
  <c r="F210" i="3"/>
  <c r="E210" i="3"/>
  <c r="D210" i="3"/>
  <c r="C210" i="3"/>
  <c r="B210" i="3"/>
  <c r="A210" i="3"/>
  <c r="H209" i="3"/>
  <c r="G209" i="3"/>
  <c r="F209" i="3"/>
  <c r="E209" i="3"/>
  <c r="D209" i="3"/>
  <c r="C209" i="3"/>
  <c r="B209" i="3"/>
  <c r="A209" i="3"/>
  <c r="H208" i="3"/>
  <c r="G208" i="3"/>
  <c r="F208" i="3"/>
  <c r="E208" i="3"/>
  <c r="D208" i="3"/>
  <c r="C208" i="3"/>
  <c r="B208" i="3"/>
  <c r="A208" i="3"/>
  <c r="H207" i="3"/>
  <c r="G207" i="3"/>
  <c r="F207" i="3"/>
  <c r="E207" i="3"/>
  <c r="D207" i="3"/>
  <c r="C207" i="3"/>
  <c r="B207" i="3"/>
  <c r="A207" i="3"/>
  <c r="H206" i="3"/>
  <c r="G206" i="3"/>
  <c r="F206" i="3"/>
  <c r="E206" i="3"/>
  <c r="D206" i="3"/>
  <c r="C206" i="3"/>
  <c r="B206" i="3"/>
  <c r="A206" i="3"/>
  <c r="H205" i="3"/>
  <c r="G205" i="3"/>
  <c r="F205" i="3"/>
  <c r="E205" i="3"/>
  <c r="D205" i="3"/>
  <c r="C205" i="3"/>
  <c r="B205" i="3"/>
  <c r="A205" i="3"/>
  <c r="H204" i="3"/>
  <c r="G204" i="3"/>
  <c r="F204" i="3"/>
  <c r="E204" i="3"/>
  <c r="D204" i="3"/>
  <c r="C204" i="3"/>
  <c r="B204" i="3"/>
  <c r="A204" i="3"/>
  <c r="H203" i="3"/>
  <c r="G203" i="3"/>
  <c r="F203" i="3"/>
  <c r="E203" i="3"/>
  <c r="D203" i="3"/>
  <c r="C203" i="3"/>
  <c r="B203" i="3"/>
  <c r="A203" i="3"/>
  <c r="H202" i="3"/>
  <c r="G202" i="3"/>
  <c r="F202" i="3"/>
  <c r="E202" i="3"/>
  <c r="D202" i="3"/>
  <c r="C202" i="3"/>
  <c r="B202" i="3"/>
  <c r="A202" i="3"/>
  <c r="H201" i="3"/>
  <c r="G201" i="3"/>
  <c r="F201" i="3"/>
  <c r="E201" i="3"/>
  <c r="D201" i="3"/>
  <c r="C201" i="3"/>
  <c r="B201" i="3"/>
  <c r="A201" i="3"/>
  <c r="H200" i="3"/>
  <c r="G200" i="3"/>
  <c r="F200" i="3"/>
  <c r="E200" i="3"/>
  <c r="D200" i="3"/>
  <c r="C200" i="3"/>
  <c r="B200" i="3"/>
  <c r="A200" i="3"/>
  <c r="H199" i="3"/>
  <c r="G199" i="3"/>
  <c r="F199" i="3"/>
  <c r="E199" i="3"/>
  <c r="D199" i="3"/>
  <c r="C199" i="3"/>
  <c r="B199" i="3"/>
  <c r="A199" i="3"/>
  <c r="H198" i="3"/>
  <c r="G198" i="3"/>
  <c r="F198" i="3"/>
  <c r="E198" i="3"/>
  <c r="D198" i="3"/>
  <c r="C198" i="3"/>
  <c r="B198" i="3"/>
  <c r="A198" i="3"/>
  <c r="H197" i="3"/>
  <c r="G197" i="3"/>
  <c r="F197" i="3"/>
  <c r="E197" i="3"/>
  <c r="D197" i="3"/>
  <c r="C197" i="3"/>
  <c r="B197" i="3"/>
  <c r="A197" i="3"/>
  <c r="H196" i="3"/>
  <c r="G196" i="3"/>
  <c r="F196" i="3"/>
  <c r="E196" i="3"/>
  <c r="D196" i="3"/>
  <c r="C196" i="3"/>
  <c r="B196" i="3"/>
  <c r="A196" i="3"/>
  <c r="H195" i="3"/>
  <c r="G195" i="3"/>
  <c r="F195" i="3"/>
  <c r="E195" i="3"/>
  <c r="D195" i="3"/>
  <c r="C195" i="3"/>
  <c r="B195" i="3"/>
  <c r="A195" i="3"/>
  <c r="H194" i="3"/>
  <c r="G194" i="3"/>
  <c r="F194" i="3"/>
  <c r="E194" i="3"/>
  <c r="D194" i="3"/>
  <c r="C194" i="3"/>
  <c r="B194" i="3"/>
  <c r="A194" i="3"/>
  <c r="H193" i="3"/>
  <c r="G193" i="3"/>
  <c r="F193" i="3"/>
  <c r="E193" i="3"/>
  <c r="D193" i="3"/>
  <c r="C193" i="3"/>
  <c r="B193" i="3"/>
  <c r="A193" i="3"/>
  <c r="H192" i="3"/>
  <c r="G192" i="3"/>
  <c r="F192" i="3"/>
  <c r="E192" i="3"/>
  <c r="D192" i="3"/>
  <c r="C192" i="3"/>
  <c r="B192" i="3"/>
  <c r="A192" i="3"/>
  <c r="H191" i="3"/>
  <c r="G191" i="3"/>
  <c r="F191" i="3"/>
  <c r="E191" i="3"/>
  <c r="D191" i="3"/>
  <c r="C191" i="3"/>
  <c r="B191" i="3"/>
  <c r="A191" i="3"/>
  <c r="H190" i="3"/>
  <c r="G190" i="3"/>
  <c r="F190" i="3"/>
  <c r="E190" i="3"/>
  <c r="D190" i="3"/>
  <c r="C190" i="3"/>
  <c r="B190" i="3"/>
  <c r="A190" i="3"/>
  <c r="H189" i="3"/>
  <c r="G189" i="3"/>
  <c r="F189" i="3"/>
  <c r="E189" i="3"/>
  <c r="D189" i="3"/>
  <c r="C189" i="3"/>
  <c r="B189" i="3"/>
  <c r="A189" i="3"/>
  <c r="H188" i="3"/>
  <c r="G188" i="3"/>
  <c r="F188" i="3"/>
  <c r="E188" i="3"/>
  <c r="D188" i="3"/>
  <c r="C188" i="3"/>
  <c r="B188" i="3"/>
  <c r="A188" i="3"/>
  <c r="H187" i="3"/>
  <c r="G187" i="3"/>
  <c r="F187" i="3"/>
  <c r="E187" i="3"/>
  <c r="D187" i="3"/>
  <c r="C187" i="3"/>
  <c r="B187" i="3"/>
  <c r="A187" i="3"/>
  <c r="H186" i="3"/>
  <c r="G186" i="3"/>
  <c r="F186" i="3"/>
  <c r="E186" i="3"/>
  <c r="D186" i="3"/>
  <c r="C186" i="3"/>
  <c r="B186" i="3"/>
  <c r="A186" i="3"/>
  <c r="H185" i="3"/>
  <c r="G185" i="3"/>
  <c r="F185" i="3"/>
  <c r="E185" i="3"/>
  <c r="D185" i="3"/>
  <c r="C185" i="3"/>
  <c r="B185" i="3"/>
  <c r="A185" i="3"/>
  <c r="H184" i="3"/>
  <c r="G184" i="3"/>
  <c r="F184" i="3"/>
  <c r="E184" i="3"/>
  <c r="D184" i="3"/>
  <c r="C184" i="3"/>
  <c r="B184" i="3"/>
  <c r="A184" i="3"/>
  <c r="H183" i="3"/>
  <c r="G183" i="3"/>
  <c r="F183" i="3"/>
  <c r="E183" i="3"/>
  <c r="D183" i="3"/>
  <c r="C183" i="3"/>
  <c r="B183" i="3"/>
  <c r="A183" i="3"/>
  <c r="H182" i="3"/>
  <c r="G182" i="3"/>
  <c r="F182" i="3"/>
  <c r="E182" i="3"/>
  <c r="D182" i="3"/>
  <c r="C182" i="3"/>
  <c r="B182" i="3"/>
  <c r="A182" i="3"/>
  <c r="H181" i="3"/>
  <c r="G181" i="3"/>
  <c r="F181" i="3"/>
  <c r="E181" i="3"/>
  <c r="D181" i="3"/>
  <c r="C181" i="3"/>
  <c r="B181" i="3"/>
  <c r="A181" i="3"/>
  <c r="H180" i="3"/>
  <c r="G180" i="3"/>
  <c r="F180" i="3"/>
  <c r="E180" i="3"/>
  <c r="D180" i="3"/>
  <c r="C180" i="3"/>
  <c r="B180" i="3"/>
  <c r="A180" i="3"/>
  <c r="H179" i="3"/>
  <c r="G179" i="3"/>
  <c r="F179" i="3"/>
  <c r="E179" i="3"/>
  <c r="D179" i="3"/>
  <c r="C179" i="3"/>
  <c r="B179" i="3"/>
  <c r="A179" i="3"/>
  <c r="H178" i="3"/>
  <c r="G178" i="3"/>
  <c r="F178" i="3"/>
  <c r="E178" i="3"/>
  <c r="D178" i="3"/>
  <c r="C178" i="3"/>
  <c r="B178" i="3"/>
  <c r="A178" i="3"/>
  <c r="H177" i="3"/>
  <c r="G177" i="3"/>
  <c r="F177" i="3"/>
  <c r="E177" i="3"/>
  <c r="D177" i="3"/>
  <c r="C177" i="3"/>
  <c r="B177" i="3"/>
  <c r="A177" i="3"/>
  <c r="H176" i="3"/>
  <c r="G176" i="3"/>
  <c r="F176" i="3"/>
  <c r="E176" i="3"/>
  <c r="D176" i="3"/>
  <c r="C176" i="3"/>
  <c r="B176" i="3"/>
  <c r="A176" i="3"/>
  <c r="H175" i="3"/>
  <c r="G175" i="3"/>
  <c r="F175" i="3"/>
  <c r="E175" i="3"/>
  <c r="D175" i="3"/>
  <c r="C175" i="3"/>
  <c r="B175" i="3"/>
  <c r="A175" i="3"/>
  <c r="H174" i="3"/>
  <c r="G174" i="3"/>
  <c r="F174" i="3"/>
  <c r="E174" i="3"/>
  <c r="D174" i="3"/>
  <c r="C174" i="3"/>
  <c r="B174" i="3"/>
  <c r="A174" i="3"/>
  <c r="H173" i="3"/>
  <c r="G173" i="3"/>
  <c r="F173" i="3"/>
  <c r="E173" i="3"/>
  <c r="D173" i="3"/>
  <c r="C173" i="3"/>
  <c r="B173" i="3"/>
  <c r="A173" i="3"/>
  <c r="H172" i="3"/>
  <c r="G172" i="3"/>
  <c r="F172" i="3"/>
  <c r="E172" i="3"/>
  <c r="D172" i="3"/>
  <c r="C172" i="3"/>
  <c r="B172" i="3"/>
  <c r="A172" i="3"/>
  <c r="H171" i="3"/>
  <c r="G171" i="3"/>
  <c r="F171" i="3"/>
  <c r="E171" i="3"/>
  <c r="D171" i="3"/>
  <c r="C171" i="3"/>
  <c r="B171" i="3"/>
  <c r="A171" i="3"/>
  <c r="H170" i="3"/>
  <c r="G170" i="3"/>
  <c r="F170" i="3"/>
  <c r="E170" i="3"/>
  <c r="D170" i="3"/>
  <c r="C170" i="3"/>
  <c r="B170" i="3"/>
  <c r="A170" i="3"/>
  <c r="H169" i="3"/>
  <c r="G169" i="3"/>
  <c r="F169" i="3"/>
  <c r="E169" i="3"/>
  <c r="D169" i="3"/>
  <c r="C169" i="3"/>
  <c r="B169" i="3"/>
  <c r="A169" i="3"/>
  <c r="H168" i="3"/>
  <c r="G168" i="3"/>
  <c r="F168" i="3"/>
  <c r="E168" i="3"/>
  <c r="D168" i="3"/>
  <c r="C168" i="3"/>
  <c r="B168" i="3"/>
  <c r="A168" i="3"/>
  <c r="H167" i="3"/>
  <c r="G167" i="3"/>
  <c r="F167" i="3"/>
  <c r="E167" i="3"/>
  <c r="D167" i="3"/>
  <c r="C167" i="3"/>
  <c r="B167" i="3"/>
  <c r="A167" i="3"/>
  <c r="H166" i="3"/>
  <c r="G166" i="3"/>
  <c r="F166" i="3"/>
  <c r="E166" i="3"/>
  <c r="D166" i="3"/>
  <c r="C166" i="3"/>
  <c r="B166" i="3"/>
  <c r="A166" i="3"/>
  <c r="H165" i="3"/>
  <c r="G165" i="3"/>
  <c r="F165" i="3"/>
  <c r="E165" i="3"/>
  <c r="D165" i="3"/>
  <c r="C165" i="3"/>
  <c r="B165" i="3"/>
  <c r="A165" i="3"/>
  <c r="H164" i="3"/>
  <c r="G164" i="3"/>
  <c r="F164" i="3"/>
  <c r="E164" i="3"/>
  <c r="D164" i="3"/>
  <c r="C164" i="3"/>
  <c r="B164" i="3"/>
  <c r="A164" i="3"/>
  <c r="H163" i="3"/>
  <c r="G163" i="3"/>
  <c r="F163" i="3"/>
  <c r="E163" i="3"/>
  <c r="D163" i="3"/>
  <c r="C163" i="3"/>
  <c r="B163" i="3"/>
  <c r="A163" i="3"/>
  <c r="H162" i="3"/>
  <c r="G162" i="3"/>
  <c r="F162" i="3"/>
  <c r="E162" i="3"/>
  <c r="D162" i="3"/>
  <c r="C162" i="3"/>
  <c r="B162" i="3"/>
  <c r="A162" i="3"/>
  <c r="H161" i="3"/>
  <c r="G161" i="3"/>
  <c r="F161" i="3"/>
  <c r="E161" i="3"/>
  <c r="D161" i="3"/>
  <c r="C161" i="3"/>
  <c r="B161" i="3"/>
  <c r="A161" i="3"/>
  <c r="H160" i="3"/>
  <c r="G160" i="3"/>
  <c r="F160" i="3"/>
  <c r="E160" i="3"/>
  <c r="D160" i="3"/>
  <c r="C160" i="3"/>
  <c r="B160" i="3"/>
  <c r="A160" i="3"/>
  <c r="H159" i="3"/>
  <c r="G159" i="3"/>
  <c r="F159" i="3"/>
  <c r="E159" i="3"/>
  <c r="D159" i="3"/>
  <c r="C159" i="3"/>
  <c r="B159" i="3"/>
  <c r="A159" i="3"/>
  <c r="H158" i="3"/>
  <c r="G158" i="3"/>
  <c r="F158" i="3"/>
  <c r="E158" i="3"/>
  <c r="D158" i="3"/>
  <c r="C158" i="3"/>
  <c r="B158" i="3"/>
  <c r="A158" i="3"/>
  <c r="H157" i="3"/>
  <c r="G157" i="3"/>
  <c r="F157" i="3"/>
  <c r="E157" i="3"/>
  <c r="D157" i="3"/>
  <c r="C157" i="3"/>
  <c r="B157" i="3"/>
  <c r="A157" i="3"/>
  <c r="H156" i="3"/>
  <c r="G156" i="3"/>
  <c r="F156" i="3"/>
  <c r="E156" i="3"/>
  <c r="D156" i="3"/>
  <c r="C156" i="3"/>
  <c r="B156" i="3"/>
  <c r="A156" i="3"/>
  <c r="H155" i="3"/>
  <c r="G155" i="3"/>
  <c r="F155" i="3"/>
  <c r="E155" i="3"/>
  <c r="D155" i="3"/>
  <c r="C155" i="3"/>
  <c r="B155" i="3"/>
  <c r="A155" i="3"/>
  <c r="H154" i="3"/>
  <c r="G154" i="3"/>
  <c r="F154" i="3"/>
  <c r="E154" i="3"/>
  <c r="D154" i="3"/>
  <c r="C154" i="3"/>
  <c r="B154" i="3"/>
  <c r="A154" i="3"/>
  <c r="H153" i="3"/>
  <c r="G153" i="3"/>
  <c r="F153" i="3"/>
  <c r="E153" i="3"/>
  <c r="D153" i="3"/>
  <c r="C153" i="3"/>
  <c r="B153" i="3"/>
  <c r="A153" i="3"/>
  <c r="H152" i="3"/>
  <c r="G152" i="3"/>
  <c r="F152" i="3"/>
  <c r="E152" i="3"/>
  <c r="D152" i="3"/>
  <c r="C152" i="3"/>
  <c r="B152" i="3"/>
  <c r="A152" i="3"/>
  <c r="H151" i="3"/>
  <c r="G151" i="3"/>
  <c r="F151" i="3"/>
  <c r="E151" i="3"/>
  <c r="D151" i="3"/>
  <c r="C151" i="3"/>
  <c r="B151" i="3"/>
  <c r="A151" i="3"/>
  <c r="H150" i="3"/>
  <c r="G150" i="3"/>
  <c r="F150" i="3"/>
  <c r="E150" i="3"/>
  <c r="D150" i="3"/>
  <c r="C150" i="3"/>
  <c r="B150" i="3"/>
  <c r="A150" i="3"/>
  <c r="H149" i="3"/>
  <c r="G149" i="3"/>
  <c r="F149" i="3"/>
  <c r="E149" i="3"/>
  <c r="D149" i="3"/>
  <c r="C149" i="3"/>
  <c r="B149" i="3"/>
  <c r="A149" i="3"/>
  <c r="H148" i="3"/>
  <c r="G148" i="3"/>
  <c r="F148" i="3"/>
  <c r="E148" i="3"/>
  <c r="D148" i="3"/>
  <c r="C148" i="3"/>
  <c r="B148" i="3"/>
  <c r="A148" i="3"/>
  <c r="H147" i="3"/>
  <c r="G147" i="3"/>
  <c r="F147" i="3"/>
  <c r="E147" i="3"/>
  <c r="D147" i="3"/>
  <c r="C147" i="3"/>
  <c r="B147" i="3"/>
  <c r="A147" i="3"/>
  <c r="H146" i="3"/>
  <c r="G146" i="3"/>
  <c r="F146" i="3"/>
  <c r="E146" i="3"/>
  <c r="D146" i="3"/>
  <c r="C146" i="3"/>
  <c r="B146" i="3"/>
  <c r="A146" i="3"/>
  <c r="H145" i="3"/>
  <c r="G145" i="3"/>
  <c r="F145" i="3"/>
  <c r="E145" i="3"/>
  <c r="D145" i="3"/>
  <c r="C145" i="3"/>
  <c r="B145" i="3"/>
  <c r="A145" i="3"/>
  <c r="H144" i="3"/>
  <c r="G144" i="3"/>
  <c r="F144" i="3"/>
  <c r="E144" i="3"/>
  <c r="D144" i="3"/>
  <c r="C144" i="3"/>
  <c r="B144" i="3"/>
  <c r="A144" i="3"/>
  <c r="H143" i="3"/>
  <c r="G143" i="3"/>
  <c r="F143" i="3"/>
  <c r="E143" i="3"/>
  <c r="D143" i="3"/>
  <c r="C143" i="3"/>
  <c r="B143" i="3"/>
  <c r="A143" i="3"/>
  <c r="H142" i="3"/>
  <c r="G142" i="3"/>
  <c r="F142" i="3"/>
  <c r="E142" i="3"/>
  <c r="D142" i="3"/>
  <c r="C142" i="3"/>
  <c r="B142" i="3"/>
  <c r="A142" i="3"/>
  <c r="H141" i="3"/>
  <c r="G141" i="3"/>
  <c r="F141" i="3"/>
  <c r="E141" i="3"/>
  <c r="D141" i="3"/>
  <c r="C141" i="3"/>
  <c r="B141" i="3"/>
  <c r="A141" i="3"/>
  <c r="H140" i="3"/>
  <c r="G140" i="3"/>
  <c r="F140" i="3"/>
  <c r="E140" i="3"/>
  <c r="D140" i="3"/>
  <c r="C140" i="3"/>
  <c r="B140" i="3"/>
  <c r="A140" i="3"/>
  <c r="H139" i="3"/>
  <c r="G139" i="3"/>
  <c r="F139" i="3"/>
  <c r="E139" i="3"/>
  <c r="D139" i="3"/>
  <c r="C139" i="3"/>
  <c r="B139" i="3"/>
  <c r="A139" i="3"/>
  <c r="H138" i="3"/>
  <c r="G138" i="3"/>
  <c r="F138" i="3"/>
  <c r="E138" i="3"/>
  <c r="D138" i="3"/>
  <c r="C138" i="3"/>
  <c r="B138" i="3"/>
  <c r="A138" i="3"/>
  <c r="H137" i="3"/>
  <c r="G137" i="3"/>
  <c r="F137" i="3"/>
  <c r="E137" i="3"/>
  <c r="D137" i="3"/>
  <c r="C137" i="3"/>
  <c r="B137" i="3"/>
  <c r="A137" i="3"/>
  <c r="H136" i="3"/>
  <c r="G136" i="3"/>
  <c r="F136" i="3"/>
  <c r="E136" i="3"/>
  <c r="D136" i="3"/>
  <c r="C136" i="3"/>
  <c r="B136" i="3"/>
  <c r="A136" i="3"/>
  <c r="H135" i="3"/>
  <c r="G135" i="3"/>
  <c r="F135" i="3"/>
  <c r="E135" i="3"/>
  <c r="D135" i="3"/>
  <c r="C135" i="3"/>
  <c r="B135" i="3"/>
  <c r="A135" i="3"/>
  <c r="H134" i="3"/>
  <c r="G134" i="3"/>
  <c r="F134" i="3"/>
  <c r="E134" i="3"/>
  <c r="D134" i="3"/>
  <c r="C134" i="3"/>
  <c r="B134" i="3"/>
  <c r="A134" i="3"/>
  <c r="H133" i="3"/>
  <c r="G133" i="3"/>
  <c r="F133" i="3"/>
  <c r="E133" i="3"/>
  <c r="D133" i="3"/>
  <c r="C133" i="3"/>
  <c r="B133" i="3"/>
  <c r="A133" i="3"/>
  <c r="H132" i="3"/>
  <c r="G132" i="3"/>
  <c r="F132" i="3"/>
  <c r="E132" i="3"/>
  <c r="D132" i="3"/>
  <c r="C132" i="3"/>
  <c r="B132" i="3"/>
  <c r="A132" i="3"/>
  <c r="H131" i="3"/>
  <c r="G131" i="3"/>
  <c r="F131" i="3"/>
  <c r="E131" i="3"/>
  <c r="D131" i="3"/>
  <c r="C131" i="3"/>
  <c r="B131" i="3"/>
  <c r="A131" i="3"/>
  <c r="H130" i="3"/>
  <c r="G130" i="3"/>
  <c r="F130" i="3"/>
  <c r="E130" i="3"/>
  <c r="D130" i="3"/>
  <c r="C130" i="3"/>
  <c r="B130" i="3"/>
  <c r="A130" i="3"/>
  <c r="H129" i="3"/>
  <c r="G129" i="3"/>
  <c r="F129" i="3"/>
  <c r="E129" i="3"/>
  <c r="D129" i="3"/>
  <c r="C129" i="3"/>
  <c r="B129" i="3"/>
  <c r="A129" i="3"/>
  <c r="H128" i="3"/>
  <c r="G128" i="3"/>
  <c r="F128" i="3"/>
  <c r="E128" i="3"/>
  <c r="D128" i="3"/>
  <c r="C128" i="3"/>
  <c r="B128" i="3"/>
  <c r="A128" i="3"/>
  <c r="H127" i="3"/>
  <c r="G127" i="3"/>
  <c r="F127" i="3"/>
  <c r="E127" i="3"/>
  <c r="D127" i="3"/>
  <c r="C127" i="3"/>
  <c r="B127" i="3"/>
  <c r="A127" i="3"/>
  <c r="H126" i="3"/>
  <c r="G126" i="3"/>
  <c r="F126" i="3"/>
  <c r="E126" i="3"/>
  <c r="D126" i="3"/>
  <c r="C126" i="3"/>
  <c r="B126" i="3"/>
  <c r="A126" i="3"/>
  <c r="H125" i="3"/>
  <c r="G125" i="3"/>
  <c r="F125" i="3"/>
  <c r="E125" i="3"/>
  <c r="D125" i="3"/>
  <c r="C125" i="3"/>
  <c r="B125" i="3"/>
  <c r="A125" i="3"/>
  <c r="H124" i="3"/>
  <c r="G124" i="3"/>
  <c r="F124" i="3"/>
  <c r="E124" i="3"/>
  <c r="D124" i="3"/>
  <c r="C124" i="3"/>
  <c r="B124" i="3"/>
  <c r="A124" i="3"/>
  <c r="H123" i="3"/>
  <c r="G123" i="3"/>
  <c r="F123" i="3"/>
  <c r="E123" i="3"/>
  <c r="D123" i="3"/>
  <c r="C123" i="3"/>
  <c r="B123" i="3"/>
  <c r="A123" i="3"/>
  <c r="H122" i="3"/>
  <c r="G122" i="3"/>
  <c r="F122" i="3"/>
  <c r="E122" i="3"/>
  <c r="D122" i="3"/>
  <c r="C122" i="3"/>
  <c r="B122" i="3"/>
  <c r="A122" i="3"/>
  <c r="H121" i="3"/>
  <c r="G121" i="3"/>
  <c r="F121" i="3"/>
  <c r="E121" i="3"/>
  <c r="D121" i="3"/>
  <c r="C121" i="3"/>
  <c r="B121" i="3"/>
  <c r="A121" i="3"/>
  <c r="H120" i="3"/>
  <c r="G120" i="3"/>
  <c r="F120" i="3"/>
  <c r="E120" i="3"/>
  <c r="D120" i="3"/>
  <c r="C120" i="3"/>
  <c r="B120" i="3"/>
  <c r="A120" i="3"/>
  <c r="H119" i="3"/>
  <c r="G119" i="3"/>
  <c r="F119" i="3"/>
  <c r="E119" i="3"/>
  <c r="D119" i="3"/>
  <c r="C119" i="3"/>
  <c r="B119" i="3"/>
  <c r="A119" i="3"/>
  <c r="H118" i="3"/>
  <c r="G118" i="3"/>
  <c r="F118" i="3"/>
  <c r="E118" i="3"/>
  <c r="D118" i="3"/>
  <c r="C118" i="3"/>
  <c r="B118" i="3"/>
  <c r="A118" i="3"/>
  <c r="H117" i="3"/>
  <c r="G117" i="3"/>
  <c r="F117" i="3"/>
  <c r="E117" i="3"/>
  <c r="D117" i="3"/>
  <c r="C117" i="3"/>
  <c r="B117" i="3"/>
  <c r="A117" i="3"/>
  <c r="H116" i="3"/>
  <c r="G116" i="3"/>
  <c r="F116" i="3"/>
  <c r="E116" i="3"/>
  <c r="D116" i="3"/>
  <c r="C116" i="3"/>
  <c r="B116" i="3"/>
  <c r="A116" i="3"/>
  <c r="H115" i="3"/>
  <c r="G115" i="3"/>
  <c r="F115" i="3"/>
  <c r="E115" i="3"/>
  <c r="D115" i="3"/>
  <c r="C115" i="3"/>
  <c r="B115" i="3"/>
  <c r="A115" i="3"/>
  <c r="H114" i="3"/>
  <c r="G114" i="3"/>
  <c r="F114" i="3"/>
  <c r="E114" i="3"/>
  <c r="D114" i="3"/>
  <c r="C114" i="3"/>
  <c r="B114" i="3"/>
  <c r="A114" i="3"/>
  <c r="H113" i="3"/>
  <c r="G113" i="3"/>
  <c r="F113" i="3"/>
  <c r="E113" i="3"/>
  <c r="D113" i="3"/>
  <c r="C113" i="3"/>
  <c r="B113" i="3"/>
  <c r="A113" i="3"/>
  <c r="H112" i="3"/>
  <c r="G112" i="3"/>
  <c r="F112" i="3"/>
  <c r="E112" i="3"/>
  <c r="D112" i="3"/>
  <c r="C112" i="3"/>
  <c r="B112" i="3"/>
  <c r="A112" i="3"/>
  <c r="H111" i="3"/>
  <c r="G111" i="3"/>
  <c r="F111" i="3"/>
  <c r="E111" i="3"/>
  <c r="D111" i="3"/>
  <c r="C111" i="3"/>
  <c r="B111" i="3"/>
  <c r="A111" i="3"/>
  <c r="H110" i="3"/>
  <c r="G110" i="3"/>
  <c r="F110" i="3"/>
  <c r="E110" i="3"/>
  <c r="D110" i="3"/>
  <c r="C110" i="3"/>
  <c r="B110" i="3"/>
  <c r="A110" i="3"/>
  <c r="H109" i="3"/>
  <c r="G109" i="3"/>
  <c r="F109" i="3"/>
  <c r="E109" i="3"/>
  <c r="D109" i="3"/>
  <c r="C109" i="3"/>
  <c r="B109" i="3"/>
  <c r="A109" i="3"/>
  <c r="H108" i="3"/>
  <c r="G108" i="3"/>
  <c r="F108" i="3"/>
  <c r="E108" i="3"/>
  <c r="D108" i="3"/>
  <c r="C108" i="3"/>
  <c r="B108" i="3"/>
  <c r="A108" i="3"/>
  <c r="H107" i="3"/>
  <c r="G107" i="3"/>
  <c r="F107" i="3"/>
  <c r="E107" i="3"/>
  <c r="D107" i="3"/>
  <c r="C107" i="3"/>
  <c r="B107" i="3"/>
  <c r="A107" i="3"/>
  <c r="H106" i="3"/>
  <c r="G106" i="3"/>
  <c r="F106" i="3"/>
  <c r="E106" i="3"/>
  <c r="D106" i="3"/>
  <c r="C106" i="3"/>
  <c r="B106" i="3"/>
  <c r="A106" i="3"/>
  <c r="H105" i="3"/>
  <c r="G105" i="3"/>
  <c r="F105" i="3"/>
  <c r="E105" i="3"/>
  <c r="D105" i="3"/>
  <c r="C105" i="3"/>
  <c r="B105" i="3"/>
  <c r="A105" i="3"/>
  <c r="H104" i="3"/>
  <c r="G104" i="3"/>
  <c r="F104" i="3"/>
  <c r="E104" i="3"/>
  <c r="D104" i="3"/>
  <c r="C104" i="3"/>
  <c r="B104" i="3"/>
  <c r="A104" i="3"/>
  <c r="H103" i="3"/>
  <c r="G103" i="3"/>
  <c r="F103" i="3"/>
  <c r="E103" i="3"/>
  <c r="D103" i="3"/>
  <c r="C103" i="3"/>
  <c r="B103" i="3"/>
  <c r="A103" i="3"/>
  <c r="H102" i="3"/>
  <c r="G102" i="3"/>
  <c r="F102" i="3"/>
  <c r="E102" i="3"/>
  <c r="D102" i="3"/>
  <c r="C102" i="3"/>
  <c r="B102" i="3"/>
  <c r="A102" i="3"/>
  <c r="H101" i="3"/>
  <c r="G101" i="3"/>
  <c r="F101" i="3"/>
  <c r="E101" i="3"/>
  <c r="D101" i="3"/>
  <c r="C101" i="3"/>
  <c r="B101" i="3"/>
  <c r="A101" i="3"/>
  <c r="H100" i="3"/>
  <c r="G100" i="3"/>
  <c r="F100" i="3"/>
  <c r="E100" i="3"/>
  <c r="D100" i="3"/>
  <c r="C100" i="3"/>
  <c r="B100" i="3"/>
  <c r="A100" i="3"/>
  <c r="H99" i="3"/>
  <c r="G99" i="3"/>
  <c r="F99" i="3"/>
  <c r="E99" i="3"/>
  <c r="D99" i="3"/>
  <c r="C99" i="3"/>
  <c r="B99" i="3"/>
  <c r="A99" i="3"/>
  <c r="H98" i="3"/>
  <c r="G98" i="3"/>
  <c r="F98" i="3"/>
  <c r="E98" i="3"/>
  <c r="D98" i="3"/>
  <c r="C98" i="3"/>
  <c r="B98" i="3"/>
  <c r="A98" i="3"/>
  <c r="H97" i="3"/>
  <c r="G97" i="3"/>
  <c r="F97" i="3"/>
  <c r="E97" i="3"/>
  <c r="D97" i="3"/>
  <c r="C97" i="3"/>
  <c r="B97" i="3"/>
  <c r="A97" i="3"/>
  <c r="H96" i="3"/>
  <c r="G96" i="3"/>
  <c r="F96" i="3"/>
  <c r="E96" i="3"/>
  <c r="D96" i="3"/>
  <c r="C96" i="3"/>
  <c r="B96" i="3"/>
  <c r="A96" i="3"/>
  <c r="H95" i="3"/>
  <c r="G95" i="3"/>
  <c r="F95" i="3"/>
  <c r="E95" i="3"/>
  <c r="D95" i="3"/>
  <c r="C95" i="3"/>
  <c r="B95" i="3"/>
  <c r="A95" i="3"/>
  <c r="H94" i="3"/>
  <c r="G94" i="3"/>
  <c r="F94" i="3"/>
  <c r="E94" i="3"/>
  <c r="D94" i="3"/>
  <c r="C94" i="3"/>
  <c r="B94" i="3"/>
  <c r="A94" i="3"/>
  <c r="H93" i="3"/>
  <c r="G93" i="3"/>
  <c r="F93" i="3"/>
  <c r="E93" i="3"/>
  <c r="D93" i="3"/>
  <c r="C93" i="3"/>
  <c r="B93" i="3"/>
  <c r="A93" i="3"/>
  <c r="H92" i="3"/>
  <c r="G92" i="3"/>
  <c r="F92" i="3"/>
  <c r="E92" i="3"/>
  <c r="D92" i="3"/>
  <c r="C92" i="3"/>
  <c r="B92" i="3"/>
  <c r="A92" i="3"/>
  <c r="H91" i="3"/>
  <c r="G91" i="3"/>
  <c r="F91" i="3"/>
  <c r="E91" i="3"/>
  <c r="D91" i="3"/>
  <c r="C91" i="3"/>
  <c r="B91" i="3"/>
  <c r="A91" i="3"/>
  <c r="H90" i="3"/>
  <c r="G90" i="3"/>
  <c r="F90" i="3"/>
  <c r="E90" i="3"/>
  <c r="D90" i="3"/>
  <c r="C90" i="3"/>
  <c r="B90" i="3"/>
  <c r="A90" i="3"/>
  <c r="H89" i="3"/>
  <c r="G89" i="3"/>
  <c r="F89" i="3"/>
  <c r="E89" i="3"/>
  <c r="D89" i="3"/>
  <c r="C89" i="3"/>
  <c r="B89" i="3"/>
  <c r="A89" i="3"/>
  <c r="H88" i="3"/>
  <c r="G88" i="3"/>
  <c r="F88" i="3"/>
  <c r="E88" i="3"/>
  <c r="D88" i="3"/>
  <c r="C88" i="3"/>
  <c r="B88" i="3"/>
  <c r="A88" i="3"/>
  <c r="H87" i="3"/>
  <c r="G87" i="3"/>
  <c r="F87" i="3"/>
  <c r="E87" i="3"/>
  <c r="D87" i="3"/>
  <c r="C87" i="3"/>
  <c r="B87" i="3"/>
  <c r="A87" i="3"/>
  <c r="H86" i="3"/>
  <c r="G86" i="3"/>
  <c r="F86" i="3"/>
  <c r="E86" i="3"/>
  <c r="D86" i="3"/>
  <c r="C86" i="3"/>
  <c r="B86" i="3"/>
  <c r="A86" i="3"/>
  <c r="H85" i="3"/>
  <c r="G85" i="3"/>
  <c r="F85" i="3"/>
  <c r="E85" i="3"/>
  <c r="D85" i="3"/>
  <c r="C85" i="3"/>
  <c r="B85" i="3"/>
  <c r="A85" i="3"/>
  <c r="H84" i="3"/>
  <c r="G84" i="3"/>
  <c r="F84" i="3"/>
  <c r="E84" i="3"/>
  <c r="D84" i="3"/>
  <c r="C84" i="3"/>
  <c r="B84" i="3"/>
  <c r="A84" i="3"/>
  <c r="H83" i="3"/>
  <c r="G83" i="3"/>
  <c r="F83" i="3"/>
  <c r="E83" i="3"/>
  <c r="D83" i="3"/>
  <c r="C83" i="3"/>
  <c r="B83" i="3"/>
  <c r="A83" i="3"/>
  <c r="H82" i="3"/>
  <c r="G82" i="3"/>
  <c r="F82" i="3"/>
  <c r="E82" i="3"/>
  <c r="D82" i="3"/>
  <c r="C82" i="3"/>
  <c r="B82" i="3"/>
  <c r="A82" i="3"/>
  <c r="H81" i="3"/>
  <c r="G81" i="3"/>
  <c r="F81" i="3"/>
  <c r="E81" i="3"/>
  <c r="D81" i="3"/>
  <c r="C81" i="3"/>
  <c r="B81" i="3"/>
  <c r="A81" i="3"/>
  <c r="H80" i="3"/>
  <c r="G80" i="3"/>
  <c r="F80" i="3"/>
  <c r="E80" i="3"/>
  <c r="D80" i="3"/>
  <c r="C80" i="3"/>
  <c r="B80" i="3"/>
  <c r="A80" i="3"/>
  <c r="H79" i="3"/>
  <c r="G79" i="3"/>
  <c r="F79" i="3"/>
  <c r="E79" i="3"/>
  <c r="D79" i="3"/>
  <c r="C79" i="3"/>
  <c r="B79" i="3"/>
  <c r="A79" i="3"/>
  <c r="H78" i="3"/>
  <c r="G78" i="3"/>
  <c r="F78" i="3"/>
  <c r="E78" i="3"/>
  <c r="D78" i="3"/>
  <c r="C78" i="3"/>
  <c r="B78" i="3"/>
  <c r="A78" i="3"/>
  <c r="H77" i="3"/>
  <c r="G77" i="3"/>
  <c r="F77" i="3"/>
  <c r="E77" i="3"/>
  <c r="D77" i="3"/>
  <c r="C77" i="3"/>
  <c r="B77" i="3"/>
  <c r="A77" i="3"/>
  <c r="H76" i="3"/>
  <c r="G76" i="3"/>
  <c r="F76" i="3"/>
  <c r="E76" i="3"/>
  <c r="D76" i="3"/>
  <c r="C76" i="3"/>
  <c r="B76" i="3"/>
  <c r="A76" i="3"/>
  <c r="H75" i="3"/>
  <c r="G75" i="3"/>
  <c r="F75" i="3"/>
  <c r="E75" i="3"/>
  <c r="D75" i="3"/>
  <c r="C75" i="3"/>
  <c r="B75" i="3"/>
  <c r="A75" i="3"/>
  <c r="H74" i="3"/>
  <c r="G74" i="3"/>
  <c r="F74" i="3"/>
  <c r="E74" i="3"/>
  <c r="D74" i="3"/>
  <c r="C74" i="3"/>
  <c r="B74" i="3"/>
  <c r="A74" i="3"/>
  <c r="H73" i="3"/>
  <c r="G73" i="3"/>
  <c r="F73" i="3"/>
  <c r="E73" i="3"/>
  <c r="D73" i="3"/>
  <c r="C73" i="3"/>
  <c r="B73" i="3"/>
  <c r="A73" i="3"/>
  <c r="H72" i="3"/>
  <c r="G72" i="3"/>
  <c r="F72" i="3"/>
  <c r="E72" i="3"/>
  <c r="D72" i="3"/>
  <c r="C72" i="3"/>
  <c r="B72" i="3"/>
  <c r="A72" i="3"/>
  <c r="H71" i="3"/>
  <c r="G71" i="3"/>
  <c r="F71" i="3"/>
  <c r="E71" i="3"/>
  <c r="D71" i="3"/>
  <c r="C71" i="3"/>
  <c r="B71" i="3"/>
  <c r="A71" i="3"/>
  <c r="H70" i="3"/>
  <c r="G70" i="3"/>
  <c r="F70" i="3"/>
  <c r="E70" i="3"/>
  <c r="D70" i="3"/>
  <c r="C70" i="3"/>
  <c r="B70" i="3"/>
  <c r="A70" i="3"/>
  <c r="H69" i="3"/>
  <c r="G69" i="3"/>
  <c r="F69" i="3"/>
  <c r="E69" i="3"/>
  <c r="D69" i="3"/>
  <c r="C69" i="3"/>
  <c r="B69" i="3"/>
  <c r="A69" i="3"/>
  <c r="H68" i="3"/>
  <c r="G68" i="3"/>
  <c r="F68" i="3"/>
  <c r="E68" i="3"/>
  <c r="D68" i="3"/>
  <c r="C68" i="3"/>
  <c r="B68" i="3"/>
  <c r="A68" i="3"/>
  <c r="H67" i="3"/>
  <c r="G67" i="3"/>
  <c r="F67" i="3"/>
  <c r="E67" i="3"/>
  <c r="D67" i="3"/>
  <c r="C67" i="3"/>
  <c r="B67" i="3"/>
  <c r="A67" i="3"/>
  <c r="H66" i="3"/>
  <c r="G66" i="3"/>
  <c r="F66" i="3"/>
  <c r="E66" i="3"/>
  <c r="D66" i="3"/>
  <c r="C66" i="3"/>
  <c r="B66" i="3"/>
  <c r="A66" i="3"/>
  <c r="H65" i="3"/>
  <c r="G65" i="3"/>
  <c r="F65" i="3"/>
  <c r="E65" i="3"/>
  <c r="D65" i="3"/>
  <c r="C65" i="3"/>
  <c r="B65" i="3"/>
  <c r="A65" i="3"/>
  <c r="H64" i="3"/>
  <c r="G64" i="3"/>
  <c r="F64" i="3"/>
  <c r="E64" i="3"/>
  <c r="D64" i="3"/>
  <c r="C64" i="3"/>
  <c r="B64" i="3"/>
  <c r="A64" i="3"/>
  <c r="H63" i="3"/>
  <c r="G63" i="3"/>
  <c r="F63" i="3"/>
  <c r="E63" i="3"/>
  <c r="D63" i="3"/>
  <c r="C63" i="3"/>
  <c r="B63" i="3"/>
  <c r="A63" i="3"/>
  <c r="H62" i="3"/>
  <c r="G62" i="3"/>
  <c r="F62" i="3"/>
  <c r="E62" i="3"/>
  <c r="D62" i="3"/>
  <c r="C62" i="3"/>
  <c r="B62" i="3"/>
  <c r="A62" i="3"/>
  <c r="H61" i="3"/>
  <c r="G61" i="3"/>
  <c r="F61" i="3"/>
  <c r="E61" i="3"/>
  <c r="D61" i="3"/>
  <c r="C61" i="3"/>
  <c r="B61" i="3"/>
  <c r="A61" i="3"/>
  <c r="H60" i="3"/>
  <c r="G60" i="3"/>
  <c r="F60" i="3"/>
  <c r="E60" i="3"/>
  <c r="D60" i="3"/>
  <c r="C60" i="3"/>
  <c r="B60" i="3"/>
  <c r="A60" i="3"/>
  <c r="H59" i="3"/>
  <c r="G59" i="3"/>
  <c r="F59" i="3"/>
  <c r="E59" i="3"/>
  <c r="D59" i="3"/>
  <c r="C59" i="3"/>
  <c r="B59" i="3"/>
  <c r="A59" i="3"/>
  <c r="H58" i="3"/>
  <c r="G58" i="3"/>
  <c r="F58" i="3"/>
  <c r="E58" i="3"/>
  <c r="D58" i="3"/>
  <c r="C58" i="3"/>
  <c r="B58" i="3"/>
  <c r="A58" i="3"/>
  <c r="H57" i="3"/>
  <c r="G57" i="3"/>
  <c r="F57" i="3"/>
  <c r="E57" i="3"/>
  <c r="D57" i="3"/>
  <c r="C57" i="3"/>
  <c r="B57" i="3"/>
  <c r="A57" i="3"/>
  <c r="H56" i="3"/>
  <c r="G56" i="3"/>
  <c r="F56" i="3"/>
  <c r="E56" i="3"/>
  <c r="D56" i="3"/>
  <c r="C56" i="3"/>
  <c r="B56" i="3"/>
  <c r="A56" i="3"/>
  <c r="H55" i="3"/>
  <c r="G55" i="3"/>
  <c r="F55" i="3"/>
  <c r="E55" i="3"/>
  <c r="D55" i="3"/>
  <c r="C55" i="3"/>
  <c r="B55" i="3"/>
  <c r="A55" i="3"/>
  <c r="H54" i="3"/>
  <c r="G54" i="3"/>
  <c r="F54" i="3"/>
  <c r="E54" i="3"/>
  <c r="D54" i="3"/>
  <c r="C54" i="3"/>
  <c r="B54" i="3"/>
  <c r="A54" i="3"/>
  <c r="H53" i="3"/>
  <c r="G53" i="3"/>
  <c r="F53" i="3"/>
  <c r="E53" i="3"/>
  <c r="D53" i="3"/>
  <c r="C53" i="3"/>
  <c r="B53" i="3"/>
  <c r="A53" i="3"/>
  <c r="H52" i="3"/>
  <c r="G52" i="3"/>
  <c r="F52" i="3"/>
  <c r="E52" i="3"/>
  <c r="D52" i="3"/>
  <c r="C52" i="3"/>
  <c r="B52" i="3"/>
  <c r="A52" i="3"/>
  <c r="H51" i="3"/>
  <c r="G51" i="3"/>
  <c r="F51" i="3"/>
  <c r="E51" i="3"/>
  <c r="D51" i="3"/>
  <c r="C51" i="3"/>
  <c r="B51" i="3"/>
  <c r="A51" i="3"/>
  <c r="H50" i="3"/>
  <c r="G50" i="3"/>
  <c r="F50" i="3"/>
  <c r="E50" i="3"/>
  <c r="D50" i="3"/>
  <c r="C50" i="3"/>
  <c r="B50" i="3"/>
  <c r="A50" i="3"/>
  <c r="H49" i="3"/>
  <c r="G49" i="3"/>
  <c r="F49" i="3"/>
  <c r="E49" i="3"/>
  <c r="D49" i="3"/>
  <c r="C49" i="3"/>
  <c r="B49" i="3"/>
  <c r="A49" i="3"/>
  <c r="H48" i="3"/>
  <c r="G48" i="3"/>
  <c r="F48" i="3"/>
  <c r="E48" i="3"/>
  <c r="D48" i="3"/>
  <c r="C48" i="3"/>
  <c r="B48" i="3"/>
  <c r="A48" i="3"/>
  <c r="H47" i="3"/>
  <c r="G47" i="3"/>
  <c r="F47" i="3"/>
  <c r="E47" i="3"/>
  <c r="D47" i="3"/>
  <c r="C47" i="3"/>
  <c r="B47" i="3"/>
  <c r="A47" i="3"/>
  <c r="H46" i="3"/>
  <c r="G46" i="3"/>
  <c r="F46" i="3"/>
  <c r="E46" i="3"/>
  <c r="D46" i="3"/>
  <c r="C46" i="3"/>
  <c r="B46" i="3"/>
  <c r="A46" i="3"/>
  <c r="H45" i="3"/>
  <c r="G45" i="3"/>
  <c r="F45" i="3"/>
  <c r="E45" i="3"/>
  <c r="D45" i="3"/>
  <c r="C45" i="3"/>
  <c r="B45" i="3"/>
  <c r="A45" i="3"/>
  <c r="H44" i="3"/>
  <c r="G44" i="3"/>
  <c r="F44" i="3"/>
  <c r="E44" i="3"/>
  <c r="D44" i="3"/>
  <c r="C44" i="3"/>
  <c r="B44" i="3"/>
  <c r="A44" i="3"/>
  <c r="H43" i="3"/>
  <c r="G43" i="3"/>
  <c r="F43" i="3"/>
  <c r="E43" i="3"/>
  <c r="D43" i="3"/>
  <c r="C43" i="3"/>
  <c r="B43" i="3"/>
  <c r="A43" i="3"/>
  <c r="H42" i="3"/>
  <c r="G42" i="3"/>
  <c r="F42" i="3"/>
  <c r="E42" i="3"/>
  <c r="D42" i="3"/>
  <c r="C42" i="3"/>
  <c r="B42" i="3"/>
  <c r="A42" i="3"/>
  <c r="H41" i="3"/>
  <c r="G41" i="3"/>
  <c r="F41" i="3"/>
  <c r="E41" i="3"/>
  <c r="D41" i="3"/>
  <c r="C41" i="3"/>
  <c r="B41" i="3"/>
  <c r="A41" i="3"/>
  <c r="H40" i="3"/>
  <c r="G40" i="3"/>
  <c r="F40" i="3"/>
  <c r="E40" i="3"/>
  <c r="D40" i="3"/>
  <c r="C40" i="3"/>
  <c r="B40" i="3"/>
  <c r="A40" i="3"/>
  <c r="H39" i="3"/>
  <c r="G39" i="3"/>
  <c r="F39" i="3"/>
  <c r="E39" i="3"/>
  <c r="D39" i="3"/>
  <c r="C39" i="3"/>
  <c r="B39" i="3"/>
  <c r="A39" i="3"/>
  <c r="H38" i="3"/>
  <c r="G38" i="3"/>
  <c r="F38" i="3"/>
  <c r="E38" i="3"/>
  <c r="D38" i="3"/>
  <c r="C38" i="3"/>
  <c r="B38" i="3"/>
  <c r="A38" i="3"/>
  <c r="H37" i="3"/>
  <c r="G37" i="3"/>
  <c r="F37" i="3"/>
  <c r="E37" i="3"/>
  <c r="D37" i="3"/>
  <c r="C37" i="3"/>
  <c r="B37" i="3"/>
  <c r="A37" i="3"/>
  <c r="H36" i="3"/>
  <c r="G36" i="3"/>
  <c r="F36" i="3"/>
  <c r="E36" i="3"/>
  <c r="D36" i="3"/>
  <c r="C36" i="3"/>
  <c r="B36" i="3"/>
  <c r="A36" i="3"/>
  <c r="H35" i="3"/>
  <c r="G35" i="3"/>
  <c r="F35" i="3"/>
  <c r="E35" i="3"/>
  <c r="D35" i="3"/>
  <c r="C35" i="3"/>
  <c r="B35" i="3"/>
  <c r="A35" i="3"/>
  <c r="H34" i="3"/>
  <c r="G34" i="3"/>
  <c r="F34" i="3"/>
  <c r="E34" i="3"/>
  <c r="D34" i="3"/>
  <c r="C34" i="3"/>
  <c r="B34" i="3"/>
  <c r="A34" i="3"/>
  <c r="H33" i="3"/>
  <c r="G33" i="3"/>
  <c r="F33" i="3"/>
  <c r="E33" i="3"/>
  <c r="D33" i="3"/>
  <c r="C33" i="3"/>
  <c r="B33" i="3"/>
  <c r="A33" i="3"/>
  <c r="H32" i="3"/>
  <c r="G32" i="3"/>
  <c r="F32" i="3"/>
  <c r="E32" i="3"/>
  <c r="D32" i="3"/>
  <c r="C32" i="3"/>
  <c r="B32" i="3"/>
  <c r="A32" i="3"/>
  <c r="H31" i="3"/>
  <c r="G31" i="3"/>
  <c r="F31" i="3"/>
  <c r="E31" i="3"/>
  <c r="E72" i="10" s="1"/>
  <c r="D31" i="3"/>
  <c r="D72" i="10" s="1"/>
  <c r="C31" i="3"/>
  <c r="C72" i="10" s="1"/>
  <c r="B31" i="3"/>
  <c r="B72" i="10" s="1"/>
  <c r="A31" i="3"/>
  <c r="A72" i="10" s="1"/>
  <c r="H30" i="3"/>
  <c r="G30" i="3"/>
  <c r="F30" i="3"/>
  <c r="E30" i="3"/>
  <c r="E71" i="10" s="1"/>
  <c r="D30" i="3"/>
  <c r="D71" i="10" s="1"/>
  <c r="C30" i="3"/>
  <c r="C71" i="10" s="1"/>
  <c r="B30" i="3"/>
  <c r="B71" i="10" s="1"/>
  <c r="A30" i="3"/>
  <c r="A71" i="10" s="1"/>
  <c r="H29" i="3"/>
  <c r="G29" i="3"/>
  <c r="F29" i="3"/>
  <c r="E29" i="3"/>
  <c r="E70" i="10" s="1"/>
  <c r="D29" i="3"/>
  <c r="D70" i="10" s="1"/>
  <c r="C29" i="3"/>
  <c r="C70" i="10" s="1"/>
  <c r="B29" i="3"/>
  <c r="B70" i="10" s="1"/>
  <c r="A29" i="3"/>
  <c r="A70" i="10" s="1"/>
  <c r="H28" i="3"/>
  <c r="G28" i="3"/>
  <c r="F28" i="3"/>
  <c r="E28" i="3"/>
  <c r="E69" i="10" s="1"/>
  <c r="D28" i="3"/>
  <c r="D69" i="10" s="1"/>
  <c r="C28" i="3"/>
  <c r="C69" i="10" s="1"/>
  <c r="B28" i="3"/>
  <c r="B69" i="10" s="1"/>
  <c r="A28" i="3"/>
  <c r="A69" i="10" s="1"/>
  <c r="H27" i="3"/>
  <c r="G27" i="3"/>
  <c r="F27" i="3"/>
  <c r="E27" i="3"/>
  <c r="E68" i="10" s="1"/>
  <c r="D27" i="3"/>
  <c r="D68" i="10" s="1"/>
  <c r="C27" i="3"/>
  <c r="C68" i="10" s="1"/>
  <c r="B27" i="3"/>
  <c r="B68" i="10" s="1"/>
  <c r="A27" i="3"/>
  <c r="A68" i="10" s="1"/>
  <c r="H26" i="3"/>
  <c r="G26" i="3"/>
  <c r="F26" i="3"/>
  <c r="E26" i="3"/>
  <c r="E67" i="10" s="1"/>
  <c r="D26" i="3"/>
  <c r="D67" i="10" s="1"/>
  <c r="C26" i="3"/>
  <c r="C67" i="10" s="1"/>
  <c r="B26" i="3"/>
  <c r="B67" i="10" s="1"/>
  <c r="A26" i="3"/>
  <c r="A67" i="10" s="1"/>
  <c r="H25" i="3"/>
  <c r="G25" i="3"/>
  <c r="F25" i="3"/>
  <c r="E25" i="3"/>
  <c r="E66" i="10" s="1"/>
  <c r="D25" i="3"/>
  <c r="D66" i="10" s="1"/>
  <c r="C25" i="3"/>
  <c r="C66" i="10" s="1"/>
  <c r="B25" i="3"/>
  <c r="B66" i="10" s="1"/>
  <c r="A25" i="3"/>
  <c r="A66" i="10" s="1"/>
  <c r="H24" i="3"/>
  <c r="G24" i="3"/>
  <c r="F24" i="3"/>
  <c r="E24" i="3"/>
  <c r="E65" i="10" s="1"/>
  <c r="D24" i="3"/>
  <c r="D65" i="10" s="1"/>
  <c r="C24" i="3"/>
  <c r="C65" i="10" s="1"/>
  <c r="B24" i="3"/>
  <c r="B65" i="10" s="1"/>
  <c r="A24" i="3"/>
  <c r="A65" i="10" s="1"/>
  <c r="H23" i="3"/>
  <c r="G23" i="3"/>
  <c r="F23" i="3"/>
  <c r="E23" i="3"/>
  <c r="E64" i="10" s="1"/>
  <c r="D23" i="3"/>
  <c r="D64" i="10" s="1"/>
  <c r="C23" i="3"/>
  <c r="C64" i="10" s="1"/>
  <c r="B23" i="3"/>
  <c r="B64" i="10" s="1"/>
  <c r="A23" i="3"/>
  <c r="A64" i="10" s="1"/>
  <c r="H22" i="3"/>
  <c r="G22" i="3"/>
  <c r="F22" i="3"/>
  <c r="E22" i="3"/>
  <c r="E63" i="10" s="1"/>
  <c r="D22" i="3"/>
  <c r="D63" i="10" s="1"/>
  <c r="C22" i="3"/>
  <c r="C63" i="10" s="1"/>
  <c r="B22" i="3"/>
  <c r="B63" i="10" s="1"/>
  <c r="A22" i="3"/>
  <c r="A63" i="10" s="1"/>
  <c r="H21" i="3"/>
  <c r="G21" i="3"/>
  <c r="F21" i="3"/>
  <c r="E21" i="3"/>
  <c r="E62" i="10" s="1"/>
  <c r="D21" i="3"/>
  <c r="D62" i="10" s="1"/>
  <c r="C21" i="3"/>
  <c r="C62" i="10" s="1"/>
  <c r="B21" i="3"/>
  <c r="B62" i="10" s="1"/>
  <c r="A21" i="3"/>
  <c r="A62" i="10" s="1"/>
  <c r="H20" i="3"/>
  <c r="G20" i="3"/>
  <c r="F20" i="3"/>
  <c r="E20" i="3"/>
  <c r="E61" i="10" s="1"/>
  <c r="D20" i="3"/>
  <c r="D61" i="10" s="1"/>
  <c r="C20" i="3"/>
  <c r="C61" i="10" s="1"/>
  <c r="B20" i="3"/>
  <c r="B61" i="10" s="1"/>
  <c r="A20" i="3"/>
  <c r="A61" i="10" s="1"/>
  <c r="H19" i="3"/>
  <c r="G19" i="3"/>
  <c r="F19" i="3"/>
  <c r="E19" i="3"/>
  <c r="E60" i="10" s="1"/>
  <c r="D19" i="3"/>
  <c r="D60" i="10" s="1"/>
  <c r="C19" i="3"/>
  <c r="C60" i="10" s="1"/>
  <c r="B19" i="3"/>
  <c r="B60" i="10" s="1"/>
  <c r="A19" i="3"/>
  <c r="A60" i="10" s="1"/>
  <c r="H18" i="3"/>
  <c r="G18" i="3"/>
  <c r="F18" i="3"/>
  <c r="E18" i="3"/>
  <c r="E59" i="10" s="1"/>
  <c r="D18" i="3"/>
  <c r="D59" i="10" s="1"/>
  <c r="C18" i="3"/>
  <c r="C59" i="10" s="1"/>
  <c r="B18" i="3"/>
  <c r="B59" i="10" s="1"/>
  <c r="A18" i="3"/>
  <c r="A59" i="10" s="1"/>
  <c r="H17" i="3"/>
  <c r="G17" i="3"/>
  <c r="F17" i="3"/>
  <c r="E17" i="3"/>
  <c r="E58" i="10" s="1"/>
  <c r="D17" i="3"/>
  <c r="D58" i="10" s="1"/>
  <c r="C17" i="3"/>
  <c r="C58" i="10" s="1"/>
  <c r="B17" i="3"/>
  <c r="B58" i="10" s="1"/>
  <c r="A17" i="3"/>
  <c r="A58" i="10" s="1"/>
  <c r="H16" i="3"/>
  <c r="G16" i="3"/>
  <c r="F16" i="3"/>
  <c r="E16" i="3"/>
  <c r="E57" i="10" s="1"/>
  <c r="D16" i="3"/>
  <c r="D57" i="10" s="1"/>
  <c r="C16" i="3"/>
  <c r="C57" i="10" s="1"/>
  <c r="B16" i="3"/>
  <c r="B57" i="10" s="1"/>
  <c r="A16" i="3"/>
  <c r="A57" i="10" s="1"/>
  <c r="H15" i="3"/>
  <c r="G15" i="3"/>
  <c r="F15" i="3"/>
  <c r="E15" i="3"/>
  <c r="E56" i="10" s="1"/>
  <c r="D15" i="3"/>
  <c r="D56" i="10" s="1"/>
  <c r="C15" i="3"/>
  <c r="C56" i="10" s="1"/>
  <c r="B15" i="3"/>
  <c r="B56" i="10" s="1"/>
  <c r="A15" i="3"/>
  <c r="A56" i="10" s="1"/>
  <c r="H14" i="3"/>
  <c r="G14" i="3"/>
  <c r="F14" i="3"/>
  <c r="E14" i="3"/>
  <c r="E55" i="10" s="1"/>
  <c r="D14" i="3"/>
  <c r="D55" i="10" s="1"/>
  <c r="C14" i="3"/>
  <c r="C55" i="10" s="1"/>
  <c r="B14" i="3"/>
  <c r="B55" i="10" s="1"/>
  <c r="A14" i="3"/>
  <c r="A55" i="10" s="1"/>
  <c r="H13" i="3"/>
  <c r="G13" i="3"/>
  <c r="F13" i="3"/>
  <c r="E13" i="3"/>
  <c r="E54" i="10" s="1"/>
  <c r="D13" i="3"/>
  <c r="D54" i="10" s="1"/>
  <c r="C13" i="3"/>
  <c r="C54" i="10" s="1"/>
  <c r="B13" i="3"/>
  <c r="B54" i="10" s="1"/>
  <c r="A13" i="3"/>
  <c r="A54" i="10" s="1"/>
  <c r="H12" i="3"/>
  <c r="G12" i="3"/>
  <c r="F12" i="3"/>
  <c r="E12" i="3"/>
  <c r="E53" i="10" s="1"/>
  <c r="D12" i="3"/>
  <c r="D53" i="10" s="1"/>
  <c r="C12" i="3"/>
  <c r="C53" i="10" s="1"/>
  <c r="B12" i="3"/>
  <c r="B53" i="10" s="1"/>
  <c r="A12" i="3"/>
  <c r="A53" i="10" s="1"/>
  <c r="H11" i="3"/>
  <c r="G11" i="3"/>
  <c r="F11" i="3"/>
  <c r="E11" i="3"/>
  <c r="E52" i="10" s="1"/>
  <c r="D11" i="3"/>
  <c r="D52" i="10" s="1"/>
  <c r="C11" i="3"/>
  <c r="C52" i="10" s="1"/>
  <c r="B11" i="3"/>
  <c r="B52" i="10" s="1"/>
  <c r="A11" i="3"/>
  <c r="A52" i="10" s="1"/>
  <c r="H10" i="3"/>
  <c r="G10" i="3"/>
  <c r="F10" i="3"/>
  <c r="E10" i="3"/>
  <c r="E51" i="10" s="1"/>
  <c r="D10" i="3"/>
  <c r="D51" i="10" s="1"/>
  <c r="C10" i="3"/>
  <c r="C51" i="10" s="1"/>
  <c r="B10" i="3"/>
  <c r="B51" i="10" s="1"/>
  <c r="A10" i="3"/>
  <c r="A51" i="10" s="1"/>
  <c r="H9" i="3"/>
  <c r="G9" i="3"/>
  <c r="F9" i="3"/>
  <c r="E9" i="3"/>
  <c r="E50" i="10" s="1"/>
  <c r="D9" i="3"/>
  <c r="D50" i="10" s="1"/>
  <c r="C9" i="3"/>
  <c r="C50" i="10" s="1"/>
  <c r="B9" i="3"/>
  <c r="B50" i="10" s="1"/>
  <c r="A9" i="3"/>
  <c r="A50" i="10" s="1"/>
  <c r="H8" i="3"/>
  <c r="G8" i="3"/>
  <c r="F8" i="3"/>
  <c r="E8" i="3"/>
  <c r="E49" i="10" s="1"/>
  <c r="D8" i="3"/>
  <c r="D49" i="10" s="1"/>
  <c r="C8" i="3"/>
  <c r="C49" i="10" s="1"/>
  <c r="B8" i="3"/>
  <c r="B49" i="10" s="1"/>
  <c r="A8" i="3"/>
  <c r="A49" i="10" s="1"/>
  <c r="H7" i="3"/>
  <c r="G7" i="3"/>
  <c r="F7" i="3"/>
  <c r="E7" i="3"/>
  <c r="E48" i="10" s="1"/>
  <c r="D7" i="3"/>
  <c r="D48" i="10" s="1"/>
  <c r="C7" i="3"/>
  <c r="C48" i="10" s="1"/>
  <c r="B7" i="3"/>
  <c r="B48" i="10" s="1"/>
  <c r="A7" i="3"/>
  <c r="A48" i="10" s="1"/>
  <c r="H6" i="3"/>
  <c r="G6" i="3"/>
  <c r="F6" i="3"/>
  <c r="E6" i="3"/>
  <c r="E47" i="10" s="1"/>
  <c r="D6" i="3"/>
  <c r="D47" i="10" s="1"/>
  <c r="C6" i="3"/>
  <c r="C47" i="10" s="1"/>
  <c r="B6" i="3"/>
  <c r="B47" i="10" s="1"/>
  <c r="A6" i="3"/>
  <c r="A47" i="10" s="1"/>
  <c r="H5" i="3"/>
  <c r="G5" i="3"/>
  <c r="F5" i="3"/>
  <c r="E5" i="3"/>
  <c r="E46" i="10" s="1"/>
  <c r="D5" i="3"/>
  <c r="D46" i="10" s="1"/>
  <c r="C5" i="3"/>
  <c r="C46" i="10" s="1"/>
  <c r="B5" i="3"/>
  <c r="B46" i="10" s="1"/>
  <c r="A5" i="3"/>
  <c r="A46" i="10" s="1"/>
  <c r="H4" i="3"/>
  <c r="G4" i="3"/>
  <c r="F4" i="3"/>
  <c r="E4" i="3"/>
  <c r="E45" i="10" s="1"/>
  <c r="D4" i="3"/>
  <c r="D45" i="10" s="1"/>
  <c r="C4" i="3"/>
  <c r="C45" i="10" s="1"/>
  <c r="B4" i="3"/>
  <c r="B45" i="10" s="1"/>
  <c r="A4" i="3"/>
  <c r="A45" i="10" s="1"/>
  <c r="H3" i="3"/>
  <c r="G3" i="3"/>
  <c r="F3" i="3"/>
  <c r="E3" i="3"/>
  <c r="E44" i="10" s="1"/>
  <c r="D3" i="3"/>
  <c r="D44" i="10" s="1"/>
  <c r="C3" i="3"/>
  <c r="C44" i="10" s="1"/>
  <c r="B3" i="3"/>
  <c r="B44" i="10" s="1"/>
  <c r="A3" i="3"/>
  <c r="A44" i="10" s="1"/>
  <c r="H2" i="3"/>
  <c r="G2" i="3"/>
  <c r="F2" i="3"/>
  <c r="E2" i="3"/>
  <c r="E43" i="10" s="1"/>
  <c r="D2" i="3"/>
  <c r="D43" i="10" s="1"/>
  <c r="C2" i="3"/>
  <c r="C43" i="10" s="1"/>
  <c r="B2" i="3"/>
  <c r="B43" i="10" s="1"/>
  <c r="A2" i="3"/>
  <c r="A43" i="10" s="1"/>
  <c r="D64" i="7" l="1"/>
  <c r="D49" i="7"/>
  <c r="D53" i="7"/>
  <c r="D65" i="7"/>
  <c r="D69" i="7"/>
  <c r="D73" i="7"/>
  <c r="D50" i="7"/>
  <c r="D66" i="7"/>
  <c r="D43" i="7"/>
  <c r="D55" i="7"/>
  <c r="D59" i="7"/>
  <c r="D71" i="7"/>
  <c r="B39" i="8"/>
  <c r="D75" i="7"/>
  <c r="C39" i="8"/>
  <c r="D48" i="7"/>
  <c r="D52" i="7"/>
  <c r="D56" i="7"/>
  <c r="D68" i="7"/>
  <c r="D72" i="7"/>
  <c r="D57" i="7"/>
  <c r="D54" i="7"/>
  <c r="D70" i="7"/>
  <c r="D51" i="7"/>
  <c r="D67" i="7"/>
  <c r="F12" i="5"/>
  <c r="B46" i="6"/>
  <c r="D44" i="7"/>
  <c r="D58" i="7"/>
  <c r="D61" i="7"/>
  <c r="G12" i="5"/>
  <c r="C46" i="6"/>
  <c r="E39" i="8"/>
  <c r="C39" i="11"/>
  <c r="B39" i="11"/>
  <c r="B52" i="6"/>
  <c r="D45" i="7"/>
  <c r="D62" i="7"/>
  <c r="B39" i="10"/>
  <c r="D39" i="10"/>
  <c r="D39" i="11"/>
  <c r="B24" i="9"/>
  <c r="C39" i="10"/>
  <c r="D46" i="7"/>
  <c r="D63" i="7"/>
  <c r="D39" i="8"/>
  <c r="C15" i="9"/>
  <c r="D47" i="7"/>
  <c r="D60" i="7"/>
  <c r="D74" i="7"/>
  <c r="B11" i="9"/>
</calcChain>
</file>

<file path=xl/sharedStrings.xml><?xml version="1.0" encoding="utf-8"?>
<sst xmlns="http://schemas.openxmlformats.org/spreadsheetml/2006/main" count="3299" uniqueCount="1831">
  <si>
    <t>Programa estratégico</t>
  </si>
  <si>
    <t>Sistema productivo</t>
  </si>
  <si>
    <t>Área temática</t>
  </si>
  <si>
    <t>Nombre del proyecto</t>
  </si>
  <si>
    <t>Investigador líder</t>
  </si>
  <si>
    <t>Rol CI Palmira</t>
  </si>
  <si>
    <t>Institución ejecutora</t>
  </si>
  <si>
    <t>Aliados estratégicos</t>
  </si>
  <si>
    <t>Rol del aliado</t>
  </si>
  <si>
    <t>Problema abordado</t>
  </si>
  <si>
    <t>Objetivo del proyecto</t>
  </si>
  <si>
    <t>Justificación estratégica</t>
  </si>
  <si>
    <t>Política pública asociada</t>
  </si>
  <si>
    <t>Metodología principal</t>
  </si>
  <si>
    <t>Variables evaluadas</t>
  </si>
  <si>
    <t>Tipo de intervención (I+D+i, Canales OT, Fortalecimiento)</t>
  </si>
  <si>
    <t>Resultados principales</t>
  </si>
  <si>
    <t>Productos generados</t>
  </si>
  <si>
    <t>Publicaciones</t>
  </si>
  <si>
    <t>Oferta tecnológica</t>
  </si>
  <si>
    <t>Tipo de tecnología</t>
  </si>
  <si>
    <t>TRL inicial</t>
  </si>
  <si>
    <t>TRL final</t>
  </si>
  <si>
    <t>Estado tecnológico</t>
  </si>
  <si>
    <t>Impacto técnico</t>
  </si>
  <si>
    <t>Impacto económico</t>
  </si>
  <si>
    <t>Impacto social</t>
  </si>
  <si>
    <t>Impacto ambiental</t>
  </si>
  <si>
    <t>Departamentos</t>
  </si>
  <si>
    <t>Municipios</t>
  </si>
  <si>
    <t>Tipo de beneficiarios</t>
  </si>
  <si>
    <t>Beneficiarios directos</t>
  </si>
  <si>
    <t>Beneficiarios indirectos</t>
  </si>
  <si>
    <t>Área potenciales de adopción</t>
  </si>
  <si>
    <t>Activos generados</t>
  </si>
  <si>
    <t>Estado propiedad intelectual</t>
  </si>
  <si>
    <t>Financiador</t>
  </si>
  <si>
    <t>Monto del proyecto</t>
  </si>
  <si>
    <t>Año inicio</t>
  </si>
  <si>
    <t>Año final</t>
  </si>
  <si>
    <t>Estado del proyecto</t>
  </si>
  <si>
    <t>Capacidad_emergente</t>
  </si>
  <si>
    <t>Capacidad_consolidada</t>
  </si>
  <si>
    <t>Capacidad_distintiva</t>
  </si>
  <si>
    <t>Bioeconomía: Prácticas de agricultura sostenible</t>
  </si>
  <si>
    <t>Aguacate Hass</t>
  </si>
  <si>
    <t>Fisiología vegetal y nutrición</t>
  </si>
  <si>
    <t xml:space="preserve">Convenio 1790. Manejo integrado del cultivo </t>
  </si>
  <si>
    <t>Alexander Rebolledo Roa</t>
  </si>
  <si>
    <t>Ejecutor</t>
  </si>
  <si>
    <t>AGROSAVIA</t>
  </si>
  <si>
    <t>1. Colciencias
2. Aproare
3. Asfruher</t>
  </si>
  <si>
    <t>1. Financiador
2 y 3. Vertice sociedad civil organizada</t>
  </si>
  <si>
    <t>Desconocimiento de factores hídricos y nutricionales asociados a productividad del cultivo (Abscisión, cuajado, rendimiento y calidad de fruto)</t>
  </si>
  <si>
    <t>Optimizar la floración y productividad del aguacate Hass mediante manejo hídrico y nutricional.</t>
  </si>
  <si>
    <t>Los bajos rendimientos del aguacate combinado con la proyección de nuevas zonas de siembra para incrementar la participación en el mercado internacional, requieren del desarrollo de tecnologías que conduzcan a un incremento en la productividad.</t>
  </si>
  <si>
    <t>CONPES 3582 DEL 25 DE ABRIL DE 2009 "Política Nacional de Ciencia, Tecnología e Innovación"</t>
  </si>
  <si>
    <t>Nutrición. metodología
del índice de balance de nutrientes (ibn) Kenworthy .
Riego. cálculo de la ETo por el método de la FAO-Penman Monteith (Allen et al., 2006) y el cálculo de la lámina de riego con base en el balance hídrico.</t>
  </si>
  <si>
    <t>1. Abscisión
2. Crecimiento del fruto (MS, diámetro, Peso).
3. Estados fenológicos
4. Variables climáticas
5. Contenido nutrientes del suelo
6. Contenido mineral del fruto</t>
  </si>
  <si>
    <t>Investigación</t>
  </si>
  <si>
    <t>1. Caracterización de la fenología floral (140 días a antesis), 
2. Abscisión global. 99,85 % (276.455 flores)
3. Cuajado. 0,15 % 
4. Incremento en rendimiento con manejo de IBN + riego. de 7,5 a 14 t/ha y la producción por planta de 61 a 98 kg.</t>
  </si>
  <si>
    <t>1. Protocolo aplicación láminas de riego Antioquia, Tolima, Cauca (Fase 1. Palmira)
2. Protocolo para manejo de la fertilización  (Antioquia, Tolima, Cauca) (Fase 1).</t>
  </si>
  <si>
    <t>Artículo científico. Pattern of flower and fruit abscision and fruit growth of hass avocado under tropical conditions
chrome-extension://efaidnbmnnnibpcajpcglclefindmkaj/
https://www.cropj.com/Roa_18_09_2024_547_554.pdf
Libros.
1. Criterios para la definición de planes de fertilización en el cultivo de aguacate Hass con un enfoque tecnificado https://doi.org/10.21930/agrosavia.manual.7402384
2. Requerimientos hídricos del cultivo de aguacate (Persea americana) variedad Hass en zonas productoras de Colombia https://doi.org/10.21930/agrosavia.manual.7402322</t>
  </si>
  <si>
    <t xml:space="preserve">Resultado de investigación </t>
  </si>
  <si>
    <t>No definido</t>
  </si>
  <si>
    <t>1. Disponibilidad de proocolos estandarizados para aplicación de nutrición y riego.
2. Incremento den rendimiento</t>
  </si>
  <si>
    <t>ncremento de la productividad del cultivo (de 7,5 a 14 t/ha), mejorando la rentabilidad del sistema productivo de aguacate Hass.</t>
  </si>
  <si>
    <t>Fortalecimiento de las capacidades de manejo productivo de los agricultores mediante prácticas de riego y nutrición más eficientes.</t>
  </si>
  <si>
    <t>Uso más eficiente del agua y de los nutrientes mediante manejo hídrico y nutricional basado en criterios técnicos.</t>
  </si>
  <si>
    <t>Antioquia, Tolima, Cauca</t>
  </si>
  <si>
    <t>Rionegro, Herveo, Morales</t>
  </si>
  <si>
    <t>Asociación de productores</t>
  </si>
  <si>
    <t>Asociación de Productores de Frutas y Hortalizas de Herveo (ASFRUHER)
Asociación de Productores de Aguacate de El Retiro (APROARE)</t>
  </si>
  <si>
    <t>Productores de aguacate Hass de Herveo (Tolima) y El Retiro (Antioquia), técnicos y otros productores de las zonas productoras de aguacate en Colombia.</t>
  </si>
  <si>
    <t xml:space="preserve">Zonas productoras de aguacate Hass a nivel nacional </t>
  </si>
  <si>
    <t>NA</t>
  </si>
  <si>
    <t>Colciencias</t>
  </si>
  <si>
    <t>Finalizado</t>
  </si>
  <si>
    <t>Indicadores de sostenibilidad ambiental</t>
  </si>
  <si>
    <t>Bioeconomía:  Biodiversidad</t>
  </si>
  <si>
    <t>Agraz</t>
  </si>
  <si>
    <t>Aprovechamiento sostenible de agraz en el Cauca</t>
  </si>
  <si>
    <t>Entes Nacionales y Territoriales</t>
  </si>
  <si>
    <t>Material de siembra y mejoramiento genético</t>
  </si>
  <si>
    <t>ACI:Productividad agrícola agroambientalmente eficiente e integralmente sostenible</t>
  </si>
  <si>
    <t xml:space="preserve">Convenio 1929. Desarrollo y validación de tecnologías para incrementar la productividad del cultivo </t>
  </si>
  <si>
    <t>1. Gobernación del Cauca, 2. Universidad del Cauca</t>
  </si>
  <si>
    <t>1. Supervisor. 2. Cojejecutor Vertice Institución de educación superior</t>
  </si>
  <si>
    <t xml:space="preserve">Baja disponibilidad de opciones tecnológicas para el manejo de riego y nutrición </t>
  </si>
  <si>
    <t>Validar tecnologías de nutrición y riego para incrementar productividad del aguacate Hass en el Cauca</t>
  </si>
  <si>
    <t>Mejora la eficiencia hídrica y nutricional en aguacate Hass, reduciendo alternancia de cosechas y aumentando rendimiento en zonas productoras del Cauca</t>
  </si>
  <si>
    <t>CONPES 3582 — Política Nacional de Ciencia, Tecnología e Innovación; Plan Nacional de Desarrollo</t>
  </si>
  <si>
    <t>IBN de Kenworthy (1973); ETo FAO-Penman-Monteith (Allen et al., 2006); lámina de riego por balance hídrico; escala fenológica BBCH (Alcaraz et al., 2013)</t>
  </si>
  <si>
    <t>Diámetro de fruto, peso fresco, peso seco, materia seca, abscisión, cuajado, estados fenológicos BBCH, IBN foliar, ETo, lámina de riego</t>
  </si>
  <si>
    <t>Desarrollo</t>
  </si>
  <si>
    <t>Fertilización basada en IBN incrementó diámetro de fruto (T2: 61,43 mm vs T1: 54,77 mm). Abscisión 98–99,9%. Cuajado 0,15–0,87%. Riego 0,75 ETo mejoró peso seco del mesocarpo</t>
  </si>
  <si>
    <t>Protocolo de fertilización basada en IBN para aguacate Hass Cauca, protocolo de riego por balance hídrico, modelo fenológico BBCH, aplicativo web de recomendación nutricional e hídrica</t>
  </si>
  <si>
    <t>1. Criterios para la definición de planes de manejo de la fertilización y para la aplicación de riego en cultivos de aguacate Hass con un enfoque tecnificado. https://editorial.agrosavia.co/index.php/publicaciones/catalog/book/355.
2. Prácticas de manejo sostenible para fertilización y riego de aguacate Hass en el departamento del Cauca. https://editorial.agrosavia.co/index.php/publicaciones/catalog/book/357
3. Nutrient balance in Hass avocado trees as a tool to optimize crop fertilization management. https://www.mdpi.com/2073-4395/13/8/1956
4. Rodríguez P., Villamizar J., Rebolledo A. (2025). Impact of Fruit Development Age on Postharvest Quality of Hass Avocado. Int J Fruit Sci, 25, 18–35. DOI: 10.1080/15538362.2025.2480570
Rebolledo-Roa A., Burbano-Díaz R.A., Medina-Cano C.I. (2024).</t>
  </si>
  <si>
    <t>Sistema Experto TecnoHass</t>
  </si>
  <si>
    <t>Aplicativo Web</t>
  </si>
  <si>
    <t>Incremento de 12% en diámetro de fruto con fertilización IBN; reducción de abscisión ~1,4% con fertilización foliar B+N en estado fenológico coliflor EF515</t>
  </si>
  <si>
    <t>Mayor proporción de frutos en calibres comerciales de alto valor (178–325 g/fruto) con fertilización IBN; rendimiento de hasta 17 t/ha en finca con riego vs promedios menores sin manejo</t>
  </si>
  <si>
    <t>1.440 productores de aguacate Hass de Morales, El Tambo y municipios del Cauca beneficiados con tecnologías de nutrición y riego de alta precisión y bajo costo de implementación</t>
  </si>
  <si>
    <t>Uso eficiente del agua con riego 0,75 ETo; reducción de fertilizantes excesivos mediante IBN, disminuyendo riesgo de lixiviación de nutrientes y contaminación de fuentes hídricas</t>
  </si>
  <si>
    <t>Cauca</t>
  </si>
  <si>
    <t>Morales, Cajibío, Piendamó, Caldono, Tambo, Timbío, Popayán, Sotará, Caloto, Corinto, Toribío.</t>
  </si>
  <si>
    <t>Productores de aguacate Hass de zonas productoras del Cauca y regiones andinas colombianas con condiciones agroecológicas similares</t>
  </si>
  <si>
    <t>Departamento del Cauca y zonas productoras de aguacate Hass en regiones andinas colombianas</t>
  </si>
  <si>
    <t>Sistema General de Regalías-Cauca</t>
  </si>
  <si>
    <t>En ejecución</t>
  </si>
  <si>
    <t>Fertilización por sitio específico</t>
  </si>
  <si>
    <t>Líder</t>
  </si>
  <si>
    <t xml:space="preserve">SENA CEAI, Universidad Cooperativa de Colombia, CREATIC, BIOINNOVA, Cámara de Comercio de Palmira, CITRIVIVEROS, Alcaldías de Popayán, Piendamó, El Tambo, Sotará, Palmira, Caicedonia, Versalles, San José del Palmar, asociaciones de productores locales </t>
  </si>
  <si>
    <t>SENA CEAI: coejecución en actividades de apropiación social del conocimiento y fortalecimiento TIC. Universidad Cooperativa de Colombia: coejecución en cursos de formación sobre plataforma TecnoHass. CREATIC: desarrollo y mejora de plataformas digitales. BIOINNOVA: apropiación social del conocimiento. Cámara de Comercio de Palmira: vinculación tecnológica y fortalecimiento de modelos de negocio.</t>
  </si>
  <si>
    <t>Deficiente orientación técnica en fertilización y riego en aguacate Hass y Lorena en Cauca y Valle del Cauca</t>
  </si>
  <si>
    <t>Validar tecnologías de fertilización y riego para aguacate Hass y Lorena en Cauca y Valle del Cauca</t>
  </si>
  <si>
    <t>Escala tecnologías IBN y balance hídrico de Hass hacia Lorena, ampliando cobertura a Valle del Cauca y cerrando brecha tecnológica en ambos sistemas productivos</t>
  </si>
  <si>
    <t>PND 2022-2026 'Colombia Potencia Mundial de la Vida', Convergencia Regional; CONPES 4069 de 2021 CTI; Planes de Desarrollo Departamentales Cauca y Valle del Cauca</t>
  </si>
  <si>
    <t>IBN de Kenworthy (1973); ETo FAO-Penman Monteith (Allen et al., 2006); escala BBCH (Salazar-García et al., 1998); monitoreo Agro 4.0 de variables climáticas</t>
  </si>
  <si>
    <t>Diámetro y peso del fruto, materia seca, calibre Codex, rendimiento kg/árbol, abscisión, cuajado, IBN foliar, ETo y lámina de riego, estados fenológicos BBCH</t>
  </si>
  <si>
    <t>Innovación</t>
  </si>
  <si>
    <t>Fertilización IBN incrementó producción de 7 a 14 t/ha; lámina 75% ETo fue óptima; fertilización foliar N+B aumentó producción en 14 t/ha; rendimiento de hasta 20 kg/árbol con IBN</t>
  </si>
  <si>
    <t>Planes de manejo de nutrición y riego (Hass y Lorena, Cauca y Valle del Cauca), módulo fertilización y riego TecnoHass (TRL 8), manuales técnicos, artículos científicos indexados</t>
  </si>
  <si>
    <t>Rebolledo A. y Dorado J. (2017). Manejo de la fertilización y del riego en cultivos de aguacate Hass en Cauca. AGROSAVIA. Rebolledo A. y Burbano R.A. (2023). Nutrición basada en IBN para aguacate Hass en condiciones tropicales colombianas. AGROSAVIA. Rodríguez P. et al. (2023). Factores territoriales y calidad del fruto en sistemas de aguacate en la región pacífico. AGROSAVIA.</t>
  </si>
  <si>
    <t>Protocolos de fertilización y riego para aguacate Hass y Lorena integrados en plataforma TecnoHass (Cauca y Valle del Cauca)</t>
  </si>
  <si>
    <t>Resultado de investigación / Herramienta tecnológica digital (aplicativo web)</t>
  </si>
  <si>
    <t>Incremento de 7 a 14 t/ha con IBN + riego 75% ETo; mayor proporción calibre 22 (165–196 g); menor descarte</t>
  </si>
  <si>
    <t>Reducción de descarte en planta exportadora del 6%; incremento de 20 kg/árbol con IBN (segundo año de cosecha); potencial de reducción de pérdidas poscosecha del 60%</t>
  </si>
  <si>
    <t>889 productores (Hass y Lorena) en Cauca y Valle del Cauca con acceso a tecnologías de nutrición y riego de precisión</t>
  </si>
  <si>
    <t>Reducción del uso indiscriminado de fertilizantes de síntesis química; uso eficiente del agua (riego por ETo vs gravedad); disminución de escorrentía y riesgo de lixiviación de nutrientes</t>
  </si>
  <si>
    <t>Chocó, Cauca, Valle del Cauca</t>
  </si>
  <si>
    <t>San José del Palmar, El Tambo, Piendamó, Sotará, Popayán, Caicedonia, Versalles, Palmira</t>
  </si>
  <si>
    <t>Productores de aguacate Hass y Lorena en subregiones del Cauca y Valle del Cauca no incluidos directamente; asistentes técnicos y extensionistas agropecuarios de la región</t>
  </si>
  <si>
    <t>Zonas productoras de aguacate Hass (exportación) y Lorena (consumo interno) en Cauca y Valle del Cauca; extensible a región pacífico</t>
  </si>
  <si>
    <t>Aplicativo web TecnoHass — módulo fertilización y riego (TRL 8); protocolos de manejo nutricional y de riego para aguacate Hass y Lorena; bases de datos de extracción de nutrientes y curvas de crecimiento de fruto</t>
  </si>
  <si>
    <t>Nutrición y riego para aguacate de consumo interno (Lorena)</t>
  </si>
  <si>
    <t>Fertilización por sitio específico (IBN) y riego por balance hídrico</t>
  </si>
  <si>
    <t>Global Green SAS</t>
  </si>
  <si>
    <t>Financiador y co-ejecutor técnico de apoyo logístico en campo; propietario de los activos instalados (estaciones climáticas)</t>
  </si>
  <si>
    <t>Ausencia de modelo fenológico predictivo para aguacate Hass en gradiente altitudinal andino del Quindío que dificulta el manejo oportuno del cultivo</t>
  </si>
  <si>
    <t>Desarrollar un modelo fenológico predictivo basado en GDD para aguacate Hass en gradiente altitudinal de Pijao, Quindío</t>
  </si>
  <si>
    <t>Permite anticipar eventos críticos (floración, cosecha) con base en temperatura acumulada, optimizando manejo agronómico y reduciendo incertidumbre productiva</t>
  </si>
  <si>
    <t>Plan Nacional de Desarrollo — Bioeconomía; CONPES 3582 — Política Nacional CTI; Pacto por Colombia — Pacto por la productividad agropecuaria</t>
  </si>
  <si>
    <t>Escala fenológica BBCH (Alcaraz et al., 2013); grados-día de crecimiento GDD (base 10°C, Aubert 1972); análisis factorial confirmatorio CFA; estadística circular; estaciones GeoCampo/NASA</t>
  </si>
  <si>
    <t>Estados fenológicos BBCH (EF010–EF719), GDD acumulados, temperatura máx/mín/media, humedad relativa, velocidad del viento, diámetro ecuatorial de fruto, peso fresco, peso seco, materia seca</t>
  </si>
  <si>
    <t>Gradiente térmico-hídrico determina sincronía fenológica. Altitud ~2200 m es óptima (antesis ρ=0,82). GDD predice progresión fenológica. L3 (~2056 m): 20,58 kg/árbol cosecha 2, materia seca 22,8 %</t>
  </si>
  <si>
    <t>Documento técnico con modelo fenológico GDD, caracterización climática altitudinal y clasificación Codex; 1 artículo científico sometido a revista indexada; 2 estaciones climáticas automatizadas instaladas</t>
  </si>
  <si>
    <t>Rebolledo, A., Burbano, R., Villamizar, J., &amp; Corrales, D. (2025). Climatic Drivers of Flowering Synchrony in ‘Hass’ Avocado Under Tropical Andean Conditions. Plants, 14(24), 3822.</t>
  </si>
  <si>
    <t>Modelo fenológico predictivo basado en GDD para aguacate Hass en gradiente altitudinal andino tropical del Quindío</t>
  </si>
  <si>
    <t>Resultado de investigación</t>
  </si>
  <si>
    <t>GDD predice progresión fenológica con alta precisión (CFI=0,976); sincronía óptima en ~2200 m (ρ=0,82); L3 produce frutos 62–64 mm vs L5 55–59 mm</t>
  </si>
  <si>
    <t>L3 produce materia seca 22,8 % y aceite 58,5 % base seca (cosecha tardía); rendimiento 20,58 kg/árbol cosecha 2; segmentación de mercado por altitud y momento de cosecha optimiza valor comercial</t>
  </si>
  <si>
    <t>115 beneficiarios directos (productores de aguacate de Pijao, Quindío) con acceso a modelo fenológico que mejora planificación de cosecha y reducción de pérdidas por asincronía floral</t>
  </si>
  <si>
    <t>Manejo basado en señales térmicas reales reduce aplicaciones innecesarias de insumos; monitoreo microclimático continuo aporta base para adaptación al cambio climático en sistemas andinos tropicales</t>
  </si>
  <si>
    <t>Quindío</t>
  </si>
  <si>
    <t>Pijao</t>
  </si>
  <si>
    <t>Otro</t>
  </si>
  <si>
    <t>Productores de aguacate Hass en zonas andinas colombianas con gradiente altitudinal 1600–2500 m.s.n.m.</t>
  </si>
  <si>
    <t>Zonas productoras de aguacate Hass en gradiente altitudinal andino 1600–2500 m.s.n.m. en Colombia</t>
  </si>
  <si>
    <t>Sector privado</t>
  </si>
  <si>
    <t>Modelación fenológica con acumulación térmica (GDD) en sistemas frutícolas altoandinos</t>
  </si>
  <si>
    <t>Manejo sanitario y fitosanitario</t>
  </si>
  <si>
    <t>Actividad 6. Generar practicas de manejo fitosanitario de plags de importancia cuarentenaria validadas en regiones productoras del departamento.</t>
  </si>
  <si>
    <t>ACI: Adaptación y resiliencia de los sistemas productivos agropecuarios frente a condiciones de clima cambiante</t>
  </si>
  <si>
    <t>Manejo ambiental y sostenibilidad</t>
  </si>
  <si>
    <t>convenio 1929. Actividad 1. Valoración de la oferta biofísica y caracterización socioeconómica de sistemas de producción de aguacate para la identificación de nichos productivos y tecnología requerida en el desarrollo de cultivos de aguacate Hass en el Departamento del Cauca.  Lider: Diana Lucia Correa Moreno</t>
  </si>
  <si>
    <t>Inclusión social en el desarrollo tecnológico: Apropiación social del conocimiento desde la ciencia ciudadana y la ciencia comunitaria</t>
  </si>
  <si>
    <t>convenio 1929. Actividad 6. Divulgación de la oferta tecnológica disponible del sistema productivo de aguacate y las tecnologías validadas .  Lider: Diana Lucia Correa Moreno</t>
  </si>
  <si>
    <t>Aumento de la productividad del aguacate mediante el uso de polinizadores en tres zonas productoras de Colombia.</t>
  </si>
  <si>
    <t>Reducción del riesgo y adaptación al cambio climático_Modelos de adaptación agroclimática (MAPA). Aguacate Hass (Persea americana Mill.) var. Hass. Facilitadora Regional MAPA: Diana Lucia Correa Moreno</t>
  </si>
  <si>
    <t xml:space="preserve">Identificación de ácaros e insectos escamas y sus enemigos naturales promisorios para una producción competitiva de aguacate en Colombia. </t>
  </si>
  <si>
    <t>Bases tecnológicas para la producción de material de siembra de aguacate de alta calidad Fase 1</t>
  </si>
  <si>
    <t>Bases tecnológicas para la producción de material de siembra de aguacate de alta calidad Fase 2</t>
  </si>
  <si>
    <t>Bioeconomía: Economía circular</t>
  </si>
  <si>
    <t>Bases tecnológicas para la producción de material de siembra de aguacate de alta calidad Fase 3</t>
  </si>
  <si>
    <t>Validación metodológica para caracterizar las condiciones biofísicas, socioeconómicas y productivas a escala 1:25.000, para el cultivo de aguacate en la región productora del Tolima, como soporte para el desarrollo de tecnologías de manejo agronómico del cultivo. Lider: Diana Lucia Correa Moreno</t>
  </si>
  <si>
    <t>Tolima</t>
  </si>
  <si>
    <t>Condiciones biofísicas  y socioeconómicas del sistema productivo de aguacate -  variedad Lorena caracterizadas en la región productora del Tolima, como soporte para el desarrollo de tecnologías de manejo agronómico específicas. Lider: Diana Lucia Correa Moreno</t>
  </si>
  <si>
    <t>Caracterización de áreas potenciales con enfoque territorial y de adaptación para el desarrollo y producción de cultivos de aguacate con atributos de valor. Lider: Diana Lucia Correa Moreno</t>
  </si>
  <si>
    <t>Ají</t>
  </si>
  <si>
    <t>Selección de materiales de Capsicum spp. con atributos diferenciales y ventajas competitivas agronómicas y agroindustriales</t>
  </si>
  <si>
    <t>Bancos de Germoplasma</t>
  </si>
  <si>
    <t>2025 BGA Conservación en Campo BG Vegetal ID 1003076</t>
  </si>
  <si>
    <t>Cacao</t>
  </si>
  <si>
    <t>Identificación de atributos agronómicos en cacao cuya expresión es afectada por el patrón con miras a establecer un programa de mejoramiento genético de patrones que contribuya a realzar el comportamiento de clones de interés</t>
  </si>
  <si>
    <t>Entes Internacionales</t>
  </si>
  <si>
    <t>Selección de patrones de cacao mediante la identificación de atributos agronómicos cuya expresión es afectada por el patrón, con miras a establecer un programa de mejoramiento genético de patrones que contribuya a realzar el comportamiento de clones de interés.</t>
  </si>
  <si>
    <t>Evaluación de la acumulación de cadmio de genotipos de cacao, bajo diferentes condiciones edafoclimáticas, como estrategia de mitigación del impacto de contenidos de cadmio biodisponible en suelo</t>
  </si>
  <si>
    <t>Fase II Cacao para la paz</t>
  </si>
  <si>
    <t>Manejo de sistemas productivos</t>
  </si>
  <si>
    <t>Implementación de recomendaciones tecnológicas orientadas al fortalecimiento de capacidades y desarrollo sostenible del sistema productivo de cacao en el suroccidente colombiano a partir de estrategias participativas</t>
  </si>
  <si>
    <t>Merging eco-physiology and ML to select drought tolerant cacao genotypes</t>
  </si>
  <si>
    <t>Proyecto 88352 - Aplicación y validación de tecnologías para potencializar la competitividad del sistema productivo de cacao en 8 municipios priorizados del departamento del Cauca</t>
  </si>
  <si>
    <t>Manejo cosecha, poscosecha y transformación</t>
  </si>
  <si>
    <t>1002666: Viabilidad centros de fermentación en las regiones cacaoteras de Caldas, Huila y Tolima.</t>
  </si>
  <si>
    <t>Jader Rodríguez Cortina</t>
  </si>
  <si>
    <t>Asociaciones de cacaocultores de Caldas, Huila y Tolima: APROCALG, ASOCAGIGANTE, ASOCAPOTRERILLOS, ASOCARECREO, ASOPECA, ASOPROCAR, ASOCACAO, ASOCATES, APROCAPAL, COCOAGRO, ASOPROBEL, ASOVICA, ASOCAMELIAS, AGROCAMUS, ASPRAFAL, ASOCANORA, ASOCANORCA, ASOSEMILLAS DEL CAMPO, ACA SANDIEGO, AMUCCOL, ASOCAT, ASOESTRELLA, ASOPEP, ASOPROLOMAT, ATACONDOR, RENACER LAS BLANCAS, ASAGROLT, ASOACAS, ASOPEROTOL, AGROEMPORTEGA, AMOCAL, APROCAMAITO, APROCASURT, ASOPROSINEV, ASOCATOL, ASOPARAISO ALTAMIRA, ASOPROMECOL, ECOAPROACIM</t>
  </si>
  <si>
    <t>Beneficiarios</t>
  </si>
  <si>
    <t>Baja disponibilidad de herramientas para establecer la viabilidad para establecer centros comunitarios de valorización poscosecha en Caldas, Huila y Tolima</t>
  </si>
  <si>
    <t>Desarrollar de una herramienta en excel para establecer la viabilidad para establecer centros comunitarios de valorización poscosecha en Caldas, Huila y Tolima</t>
  </si>
  <si>
    <t>Aumentar las capacidades de planificación en transporte, procesamiento, análisis de utilidades y escenarios de establecimientos de centros comunitarios de valorización poscosecha en Caldas, Huila y Tolima</t>
  </si>
  <si>
    <t>Plan Nacional de Desarrollo, Planes departamentales de Desarrollo, PECTIA y CONPES</t>
  </si>
  <si>
    <t>Modelación matemática para transporte, procesamiento poscosecha y análisis de utilidades (a corto y largo plazo) y escenarios de análisis. Desarrrolo de herramienta en Microsoft Excel utilizando Visual Basic for Applications (VBA), Análisis agroclimático, georreferenciación, modelación espacial</t>
  </si>
  <si>
    <t xml:space="preserve">Temperatura máxima, temperatura mínima, temperatura media, precipitación, radiación solar, velocidad del viento, presión de vapor, productividad, rendimiento en grano, calidad organoléptica. </t>
  </si>
  <si>
    <t>I+D+i</t>
  </si>
  <si>
    <t>Una (1) zonificación agroclimática, Una (1) herramienta de excel para la planificación en transporte, procesamiento, análisis de utilidades y escenarios de establecimientos de centros comunitarios de valorización poscosecha en Caldas, Huila y Tolima</t>
  </si>
  <si>
    <t>Una (1) herramienta de excel para la planificación en transporte, procesamiento, análisis de utilidades y escenarios de establecimientos de centros comunitarios de valorización poscosecha en Caldas, Huila y Tolima, mapas agroclimáticos, base de datos georreferenciada, estudio de viabilidad, modelo logístico</t>
  </si>
  <si>
    <t>Modelo de centros regionales de fermentación para cacao con enfoque agroclimático y logístico</t>
  </si>
  <si>
    <t>Software</t>
  </si>
  <si>
    <t>Mejora en la toma de decisiones para optimizar la fermentación, logística y calidad diferenciada del cacao regional.</t>
  </si>
  <si>
    <t>Potencial incremento de ingresos mediante valorización del cacao y aprovechamiento comercial de subproductos poscosecha.</t>
  </si>
  <si>
    <t>Beneficio a asociaciones cacaoteras de Caldas, Huila y Tolima mediante fortalecimiento organizacional y acceso a modelos asociativos de valor agregado.</t>
  </si>
  <si>
    <t>Promueve aprovechamiento de subproductos del cacao y reducción de pérdidas poscosecha mediante modelos sostenibles de transformación regional.</t>
  </si>
  <si>
    <t>Caldas, Huila y Tolima</t>
  </si>
  <si>
    <t>Gigante, Rivera, Tesalia, Ospina Pérez, Belalcazar, Mariquita, Norcasia, Santiago Pérez, Ortega, Chaparral</t>
  </si>
  <si>
    <t>Asociaciones de cacaocultores y extensionistas</t>
  </si>
  <si>
    <t xml:space="preserve">600 productores  y/o asistentes técnicos </t>
  </si>
  <si>
    <t>2.500 beneficiarios: productores, comercializadores, transformadores y actores regionales de la cadena de valor</t>
  </si>
  <si>
    <t>Zonas cacaoteras en Colombia</t>
  </si>
  <si>
    <t>Una (1) herramienta de excel para la planificación en transporte, procesamiento, análisis de utilidades y escenarios de establecimientos de centros comunitarios de valorización poscosecha en Caldas, Huila y Tolima</t>
  </si>
  <si>
    <t>Desarrollo de oferta tecnológica transferible
Capacidad de convertir ciencia en productos de valor</t>
  </si>
  <si>
    <t xml:space="preserve">ID: 1002667. Establecimiento de protocolos apropiados de fermentación basados en perfiles sensoriales del cacao en Caldas, Huila y Tolima. </t>
  </si>
  <si>
    <t xml:space="preserve">Baja disponibilidad de protocolos de fermentación enfocados en obtención de cacao de calidad superior en Caldas, Huila y Tolima  </t>
  </si>
  <si>
    <t>Desarrollar protocolos de fermentación basados en perfiles sensoriales del cacao de Caldas, Huila y Tolima.</t>
  </si>
  <si>
    <t>Aumentar la visibilización y valorización comercial del potencial de calidad del cacao regional en Caldas, Huila y Tolima a través de la aplicación de adecuadas prácticas poscosecha</t>
  </si>
  <si>
    <t>Metodología de fermentación espontánea con monitoreo de temperatura y pH, y análisis descriptivo de calidad sensorial en cacao según estándares internacionales COEX y CIRAD, Tipificación agroecológica</t>
  </si>
  <si>
    <t>Zonas agroecológicas, tiempo de fermentación, temperatura de tostado</t>
  </si>
  <si>
    <t>200 Perfiles sensoriales de calidad de 10 zonas agroecológicas en Caldas, Huila y Tolima y recomendaciones de buenas prácticas poscosecha para potenciar la calidad</t>
  </si>
  <si>
    <t>200 Perfiles sensoriales de calidad de 10 zonas agroecológicas en Caldas, Huila y Tolima, recomendaciones de buenas prácticas poscosecha para potenciar la calidad, protocolos de fermentación, base de datos espacial, mapas agroecológicos</t>
  </si>
  <si>
    <t>Protocolos regionales de fermentación para cacao basados en perfiles sensoriales y zonificación agroecológica.</t>
  </si>
  <si>
    <t>Protocolos</t>
  </si>
  <si>
    <t>Estandarización de fermentación y diferenciación sensorial del cacao en 10 zonas agroecológicas en Caldas, Huila y Tolima.</t>
  </si>
  <si>
    <t>Potencial incremento de ingresos mediante comercialización de cacao diferenciado con perfiles sensoriales demandados por mercados internacionales.</t>
  </si>
  <si>
    <t>Beneficio a productores cacaoteros de Caldas, Huila y Tolima mediante fortalecimiento de capacidades para producir cacao diferenciado de calidad superior y de mayor valor comercial.</t>
  </si>
  <si>
    <t>Promueve manejo poscosecha adaptado a condiciones agroecológicas regionales, favoreciendo uso eficiente de recursos y valorización territorial del cacao.</t>
  </si>
  <si>
    <t>Equipos para transformación bean to bar de la minichocolatería de la planta de poscosecha</t>
  </si>
  <si>
    <t>Calidad sensorial de cacao
Protocolos de fermentación y secado</t>
  </si>
  <si>
    <t>ID: 1002841. Implementación de un modelo para el aprovechamiento integral de las mazorcas de cacao para la generación de productos de valor agregado por medio de alternativas biotecnológicas</t>
  </si>
  <si>
    <t>Asociación de productores campesinos de Cisneros</t>
  </si>
  <si>
    <t>Alta generación y subutilización de residuos de mazorca de cacao, causando impactos ambientales y baja valorización en sistemas productivos cacaoteros rurales.</t>
  </si>
  <si>
    <t>Implementar alternativas biotecnológicas para valorizar residuos de mazorca de cacao mediante compostaje, digestión anaerobia y pirólisis</t>
  </si>
  <si>
    <t>Fortalece la economía circular y la sostenibilidad rural mediante valorización de residuos, generación de bioinsumos y reducción de impactos ambientales en territorios PDET.</t>
  </si>
  <si>
    <t xml:space="preserve">Plan Nacional de Desarrollo, Plan departamental de Desarrollo el Valle del Cauca, y PECTIA </t>
  </si>
  <si>
    <t>Pirólisis para producción de biochar, compostaje y digestión anaerobia; caracterización fisicoquímica, diseño experimental de mezclas, análisis multicriterio TOPSIS y evaluación agronómica (Parra et al 2022)</t>
  </si>
  <si>
    <t>Temperatura, sólidos totales, ácidos grasos volátiles, metales pesados, nutrientes (NPK), acidez, pH, humedad, conductividad eléctrica, carbono orgánico total, sólidos volátiles, nitrógeno total, fósforo total, producción de metano, índice de germinación, biomasa aérea.</t>
  </si>
  <si>
    <t>Obtención de biochar, compost y digestato valorizados; implementación de prototipos piloto y validación agronómica de bioinsumos derivados de residuos de cacao.</t>
  </si>
  <si>
    <t>1 prototipo de reactor anaerobio, 1 protocolo de operación, 1 artículo científico, 1 herramienta multicriterio para la selección de biomasa</t>
  </si>
  <si>
    <t>Parra-Orobio, B., Rodríguez-Cortina, J., Serna-Jiménez, J., Escobar-Parra, S.,   Santander-Muñoz, M., Martínez-Ruiz, Y.,  Álvarez-Trujillo, J.D., Soto-Paz, J. Hybrid decision-making tool for selecting co-substrates for the energy and agricultural valorization of cacao pod husk residues within a circular economy model.</t>
  </si>
  <si>
    <t>Equipos y protocolos</t>
  </si>
  <si>
    <t>Implementación piloto de tecnologías biotecnológicas para valorización de residuos, generando bioinsumos y bioproductos con potencial de aplicación agrícola y energética.</t>
  </si>
  <si>
    <t>Generación de productos de valor agregado y reducción potencial de costos asociados al manejo de residuos y fertilización convencional</t>
  </si>
  <si>
    <t>Beneficio a asociaciones cacaoteras rurales PDET y ZOMAC mediante transferencia tecnológica, fortalecimiento comunitario y participación de mujeres, jóvenes y grupos étnicos</t>
  </si>
  <si>
    <t>Reducción de residuos agrícolas y mitigación de impactos sobre suelo mediante aprovechamiento circular, producción de biofertilizantes y disminución potencial de emisiones GEI</t>
  </si>
  <si>
    <t>Valle del Cauca</t>
  </si>
  <si>
    <t>Cisneros</t>
  </si>
  <si>
    <t>Asociaciones de cacaocultores y extensionistas, comunidad académica y de investigación</t>
  </si>
  <si>
    <t xml:space="preserve">350 productores  y/o asistentes técnicos </t>
  </si>
  <si>
    <t>1.800 beneficiarios</t>
  </si>
  <si>
    <t>Sistema de biodigestión Anaerobia escala piloto, zona de compostaje a escala laboratorio</t>
  </si>
  <si>
    <t>Valorización de subproductos
Diseño de equipos de poscosecha
 Escalamiento de tecnologías en cacao</t>
  </si>
  <si>
    <t>Enfoque de bioeconomía en cacao
Desarrollo de oferta tecnológica transferible
Capacidad de convertir ciencia en productos de valor</t>
  </si>
  <si>
    <t>Idea. 0007950. Estrategia poscosecha para la inocuidad y comercio del cacao colombiano</t>
  </si>
  <si>
    <t>Margareth Santander</t>
  </si>
  <si>
    <t>IICA, Asociaciones de cacaocultores de Tumaco</t>
  </si>
  <si>
    <t>Idea. 0007978. Bioeconomía en cacao</t>
  </si>
  <si>
    <t>CIRAD, Asociaciones de cacaocultores de Caldas y Nariño</t>
  </si>
  <si>
    <t>Proyecto 95883. IMPLEMENTACIÓN DE INNOVACIONES TECNOLÓGICAS BAJO UN MODELO DE ECONOMÍA CIRCULAR, SOCIAL Y SOLIDARIA COMO APORTE A LA SEGURIDAD ALIMENTARIA Y A LA TRANSICIÓN SOSTENIBLE HACIA UN DESARROLLO AGRÍCOLA Y AGROINDUSTRIAL EN 4 MUNICIPIOS DEL DEPARTAMENTO DEL VALLE DEL CAUCA</t>
  </si>
  <si>
    <t xml:space="preserve">ID 001451: SGR Arauca poscosecha </t>
  </si>
  <si>
    <t>Asociaciones de cacaocultores de Arauca: COOMPROCAR, Coopcacao y CABEFAMI, Fedecacao, CIRAD</t>
  </si>
  <si>
    <t>Beneficiarios, aliados científicos para análisis de calidad, y aliados para trabajo en territorio</t>
  </si>
  <si>
    <t>Baja innovación tecnológica en productividad, inocuidad, calidad poscosecha y articulación empresarial de la cadena cacaotera en Arauca</t>
  </si>
  <si>
    <t>Implementar estrategias agroforestales y tecnologías agronómicas y poscosecha para mejorar productividad, inocuidad y calidad del cacao en Arauca.</t>
  </si>
  <si>
    <t>Fortalece la competitividad del cacao especial mediante innovación tecnológica, sostenibilidad productiva y acceso a mercados diferenciados con mayor valor agregado</t>
  </si>
  <si>
    <t xml:space="preserve">Plan Nacional de Desarrollo, Plan departamental de Desarrollo de Arauca, Planes municipales de desarrollo y PECTIA </t>
  </si>
  <si>
    <t>Modelización agroforestal, agricultura de precisión, geoeléctrica, geomicrobiología, metabolómica, análisis sensorial, evaluación molecular y validación participativa de tecnologías poscosecha</t>
  </si>
  <si>
    <t>Temperatura, pH, metabolitos precursores del flavour, metabolitos responsables del flavour, compuestos orgánicos volátiles, atributos sensoriales</t>
  </si>
  <si>
    <t>Equipos poscosecha, protocolos de fermentación para obtención de cacao de calidad superior</t>
  </si>
  <si>
    <t>Planta de bioeconomía en cacao, equipos de valorización poscosecha: Fermentador rotatorio, fermentador tipo biorreactor con control de variables de proceso, secador de alta eficiencia energética, secador por ventana refractiva, publicaciones científicas</t>
  </si>
  <si>
    <t>Llano, S., Zorro, A., Santander, M., Vaillant, F., Boulanger, R., Ocampo, D. M., &amp; Escobar, S. (2025). Metabolomic insights into flavour precursor dynamics during fermentation of cacao beans cultivated in diverse climatic production zones in colombia. 
Food Research International, 115978. https://doi.org/10.1016/j.foodres.2025.115978
Gonzalez-Orozco, C., Porcel, M., Escobar, S., Bravo, D., Gutierrez Lopez, Y., Yockteng, R., Vaillant, F., Santander, M., Llano, S., Parra, K., Briceño, E., Carmona, J., Torres, S., Contreras, R., Otero, A., Pesca, A., &amp; Carrillo, G. (2023). Cacao (Theobroma cacao L.) climate zones and its associated agrobiodiversity in Arauca, Colombia. Biodiversity Data Journal, 11. https://doi.org/10.3897/BDJ.11.e112771
Llano, S., Vaillant, F., Santander, M., Zorro-González, A., González-Orozco, C. E., Maraval, I., Boulanger, R., &amp; Escobar, S. (2024). Exploring the Impact of Fermentation Time and Climate on Quality of Cocoa Bean-Derived Chocolate: Sensorial Profile and Volatilome Analysis. Foods, 13(16). https://doi.org/10.3390/foods13162614
Quintero, I., Ceccaldi, A., Martínez, H., Santander, M., Rodríguez, J., &amp; Escobar, S. 
Dry cacao pulp in chocolate bars: a sustainable, nutrient-rich sweetener with enhanced sensory quality through refractance windows drying. (2025). Applied Food Research, 5(1). https://doi.org/10.1016/j.afres.2025.100700
Santander, M., Chica, V., Correa, H. A. M., Rodríguez, J., Villagran, E., Vaillant, F., &amp; Escobar, S. (2025). Unravelling cocoa drying technology: a comprehensive review of the influence on flavor formation and quality. Foods, 14(5), 721. 
https://doi.org/10.3390/foods14050721
Santander, M., Leguizamón, L., Vaillant, F., Boulanger, R., Zuluaga, M., Maraval, I., Rodríguez, J., Llano, S., Sommerer, N., Meter, A., Escobar, S., &amp; Meudec, E. (2025). Influence of driven fermentation of cacao in bioreactors on quality: decoding the effect of temperature, mixing, and ph on metabolomic, sensory, and volatile profiles. LWT-Food Science and Technology, 231, 1–12. https://doi.org/doi.org/10.1016/j.lwt.2025.118313
Zuluaga, M., Santander, M., Escobar, S., Vaillant, F. (2025). Metabolomics and peptidomics in cocoa: scientometrics analysis and systematic review of flavor-related chemical compounds in postharvest transformation. Journal of Scientometric Research; 14(3):716-731. https://jscires.org/10.5530/jscires.20251393</t>
  </si>
  <si>
    <t>1. Cajón compartimentado de madera para fermentación de cacao
2. Fermentador giratorio para tranformación poscosecha de cacao
3. Secador de alta eficiencia energética 
4. Pirolizador</t>
  </si>
  <si>
    <t>Mejora de calidad e inocuidad mediante  tecnologías poscosecha estandarizadas</t>
  </si>
  <si>
    <t>Incremento potencial de ingresos por acceso a mercados de cacao especial con primas superiores a US$1.000 por tonelada.</t>
  </si>
  <si>
    <t>Beneficio directo a asociaciones cacaoteras de Arauca mediante fortalecimiento empresarial, transferencia tecnológica y formación de capital humano rural.</t>
  </si>
  <si>
    <t>Impacto positivo al medio ambiente por uso de energías renovables (solar) en los equipos de varlozación poscosecha</t>
  </si>
  <si>
    <t>Arauca</t>
  </si>
  <si>
    <t>Arauquita, Saravena, Tame y Fortúl</t>
  </si>
  <si>
    <t>Asociaciones de cacaocultores</t>
  </si>
  <si>
    <t xml:space="preserve">480 productores y/o asistentes técnicos </t>
  </si>
  <si>
    <t>3.500  beneficiarios: productores, comercializadores, transformadores y actores regionales de la cadena de cacao en Arauca.</t>
  </si>
  <si>
    <t>Planta de Bioeconomía en cacao, Equipos de valorización poscosecha: Fermentador rotatorio, fermentador tipo biorreactor con control de variables de proceso, secador de alta eficiencia energética, secador por ventana refractiva</t>
  </si>
  <si>
    <t>22.000.000</t>
  </si>
  <si>
    <t>Calidad sensorial de cacao
Protocolos de fermentación y secado
Evaluación sensorial y química
Escalamiento de tecnologías en cacao
Diseño de equipos de poscosecha</t>
  </si>
  <si>
    <t>Desarrollo de oferta tecnológica transferible
Modelos territoriales replicables
Capacidad de convertir ciencia en productos de valor</t>
  </si>
  <si>
    <t>Chontaduro</t>
  </si>
  <si>
    <t>Reducción del riesgo y adaptación al cambio climático_Modelos de adaptación agroclimática (MAPA). Chontaduro (Bactris gasipae)</t>
  </si>
  <si>
    <t>Transf. de tecnologia, asist. técnica e innovación</t>
  </si>
  <si>
    <t>Gestión del conocimiento para el fortalecimiento productivo de los frutales del Valle del Cauca: Programa integral de Fruticultura PIF. FASE 2</t>
  </si>
  <si>
    <t>Programa de fortalecimiento al sistema nacional de semillas producto de la intervención de sistemas locales de semillas: PLAN NACIONAL DE SEMILLAS</t>
  </si>
  <si>
    <t>Desarrollo de estrategias para la recuperación de los sistemas productivos de Chontaduro (Bactris gasipaes) en sistemas agroforestales en zona rural del distrito de Buenaventura</t>
  </si>
  <si>
    <t>Coco</t>
  </si>
  <si>
    <t>Colección de trabajo de materiales regionales de cocotero como base para repoblamiento y conservación de variabilidad genética.</t>
  </si>
  <si>
    <t>Aunar esfuerzos económicos, técnicos, logísticos y humanos para el fortalecimiento del sistema de producción del cocotero en la costa pacífica colombiana a partir de la implementación de las buenas prácticas agrícolas (BPA), transferencia de tecnología en actividades de producción y manejo de viveros en los municipios de Tumaco, el Charco, Francisco Pizarro, La Tola, Mosquera, Santa Bárbara de Iscuande y Olaya Herrera del departamento de Nariño</t>
  </si>
  <si>
    <t>Fique</t>
  </si>
  <si>
    <t>Bases tecnologicas para el programa de mejoramiento del fique</t>
  </si>
  <si>
    <t>Áreas seleccionadas, especies priorizadas en diferentes regiones y viveros establecidos -Protocolos de producción del material vegetal y establecimiento.</t>
  </si>
  <si>
    <t>Forestal</t>
  </si>
  <si>
    <t>Establecimientos de arboretums en los centros de investigación utilizando material vegetal producido en el año anterior. RA: Diana Lucia Correa Moreno</t>
  </si>
  <si>
    <t>Datos de crecimiento de las especies en cada uno de los arboretums y sus proyecciones frente al comportamiento en otras regiones tradicionales de uso de las mismas. RA: Diana Lucia Correa Moreno</t>
  </si>
  <si>
    <t xml:space="preserve">Materiales nativos e introducidos de especies arbóreas caracterizados y evaluados para uso múltiple. RA: Diana Lucia Correa Moreno </t>
  </si>
  <si>
    <t>Meta: Estudio fenológico y pruebas de germinación preliminares de las especies nativas seleccionadas y priorizadas. RA: Diana Lucia Correa Moreno</t>
  </si>
  <si>
    <t>Meta: Protocolos de germinación estandarizados para 5 especies nativas. RA: Diana Lucia Correa Moreno</t>
  </si>
  <si>
    <t>Meta: Modelo alométrico preliminar por localidad para la predicción del crecimiento en diámetro y altura de especies forestales en sus primeras fases vegetativas. RA: Diana Lucia Correa Moreno</t>
  </si>
  <si>
    <t>Meta: Fichas técnicas de especies forestales caracterizadas y evaluadas para uso múltiple en diferentes zonas agroecológicas. RA: Diana Lucia Correa Moreno</t>
  </si>
  <si>
    <t>Proyecto: Evaluación de especies arbustivas y arbóreas para uso múltiple. RA: Diana Lucia Correa Moreno</t>
  </si>
  <si>
    <t>Meta: Servicios ecosistémicos de especies forestales. RA: Diana Lucia Correa Moreno</t>
  </si>
  <si>
    <t>Meta:  Protocolos de germinación y métodos de dispersión de semillas. RA: Diana Lucia Correa Moreno</t>
  </si>
  <si>
    <t>NSA(MPIyS): Sistemas alimentarios regenerativos</t>
  </si>
  <si>
    <t>Ruta Etnica_Forestales_ Cauca. RA: Diana Lucia Correa Moreno</t>
  </si>
  <si>
    <t>Guanábana</t>
  </si>
  <si>
    <t>Evaluación de clones de promisorios de guanábana para aumentar la oferta de materiales mejorados para el productor agropecuario</t>
  </si>
  <si>
    <t>Plan de Vinculación: Agrosavia Fecunda y Agrosavia Tesoro: dos nuevos cultivares de guanábana como alternativa de producción para los agricultores colombianos</t>
  </si>
  <si>
    <t>Agrosavia Fecunda y Agrosavia Tesoro: dos nuevos cultivares de guanábana como alternativa de producción para los agricultores colombianos</t>
  </si>
  <si>
    <t>Guayaba</t>
  </si>
  <si>
    <t>Nuevas variedades y materiales promisorios de guayaba identificadas para Colombia con potencial de rendimiento y calidad nutricional e industrial.</t>
  </si>
  <si>
    <t>Ofertas varietales de guayaba generadas para Colombia con potencial productivo para el consumo fresco e industrial (Valle del Cauca, Santander, Boyacá, Meta, Eje Cafetero, Tolima y Caribe).</t>
  </si>
  <si>
    <t>Estudio de la adaptación de cultivares comerciales y regionales de guayaba para uso industrial y consumo en fresco en diferentes zonas agroecológicas de Colombia</t>
  </si>
  <si>
    <t>Material de siembra con calidad de las Variedades de guayaba AGROSAVIA Carmín 0328 y AGROSAVIA Rosa-C</t>
  </si>
  <si>
    <t>Producto Parcial 25. Fase 1: Lotes experimentales seleccionados y aplicada primera poda de producción, para validación del manejo de la estacionalidad de la producción en guayaba.   Lider: Diana Lucia Correa Moreno</t>
  </si>
  <si>
    <t>Técnicas  validadas para el manejo de estacionalidad en guayaba a través de plan de podas, fertilización y riego. Fase 2: Primer ciclo de evaluación. Fase 3: Segundo ciclo de evaluación. Valle - Santander.  Lider: Diana Lucia Correa Moreno</t>
  </si>
  <si>
    <t>Densidades de siembra adecuadas a zonas agroecológicas y a variedades regionales de guayaba determinadas.   Santander.  Lider: Diana Lucia Correa Moreno</t>
  </si>
  <si>
    <t>Planes de fertilización en fase de establecimiento, en cultivos de Guayaba evaluados.  Lider: Diana Lucia Correa Moreno</t>
  </si>
  <si>
    <t>Estrategias para la producción sostenible de guayaba en zonas productoras de Colombia.  Lider: Diana Lucia Correa Moreno</t>
  </si>
  <si>
    <t>Manejo de suelos y aguas</t>
  </si>
  <si>
    <t>Meta 0 (Fase 1:  2018 – 2019). Análisis preliminar de extracción de nutrientes en guayaba.  Lider: Diana Lucia Correa Moreno</t>
  </si>
  <si>
    <t>Meta 1 (Fase 2:  2019 – 2020). Línea base extracción de nutrientes y rangos de suficiencia estimados para ajuste de fertilización en cultivos tecnificados de guayaba.  Lider: Diana Lucia Correa Moreno</t>
  </si>
  <si>
    <t>Meta 2 (Fase 3:  2023 – 2025). Prácticas de manejo integral de la fertilidad (Química, física y biológica) y provisión de servicios ecosistémicos en cultivos de guayaba evaluadas. Fases Establecimiento y Producción.  Lider: Diana Lucia Correa Moreno</t>
  </si>
  <si>
    <t>Fertilización bajo manejo  de la nutrición por sitio especifico (MNSE) evaluada y validada para el mejoramiento de la productividad en cultivos tecnificados de guayaba.  Lider: Diana Lucia Correa Moreno</t>
  </si>
  <si>
    <t>Zonas potenciales para el sistema de producción de guayaba con enfoque territorial y adaptación del cultivo.  Lider: Diana Lucia Correa Moreno</t>
  </si>
  <si>
    <t>Sistema de información experto (SE) para los sistemas de producción de la guayaba.  Lider: Diana Lucia Correa Moreno</t>
  </si>
  <si>
    <t>Tecnologías para la producción de plántulas de guayaba en vivero.  Lider: Diana Lucia Correa Moreno</t>
  </si>
  <si>
    <t>Modelo de estrategias generado para la producción sostenible de guayaba  basado en criterios de planificación y manejo agronómico del cultivo.  Lider: Diana Lucia Correa Moreno</t>
  </si>
  <si>
    <t>Sistema de información de índices espectrales de vegetación asociados a estrés abiótico en cultivos de guayaba (Psidium guajava).  Lider: Diana Lucia Correa Moreno</t>
  </si>
  <si>
    <t>Lima Acida Tahití</t>
  </si>
  <si>
    <t>Convenio 1991. Piloto Tecnológico Análisis Tecnologías Precisión</t>
  </si>
  <si>
    <t>Convenio 2217. Agricultura tropical 4,0: Uso eficiente del agua</t>
  </si>
  <si>
    <t>Convenio S421. Validación de un sensor tipo dendrómetro para fruto</t>
  </si>
  <si>
    <t>Recomendaciones de  uso para  patrones de  lima ácida Tahití en diferentes zonas del país entregadas</t>
  </si>
  <si>
    <t>Desarrollo de los modelos productivos regionales de cítricos.</t>
  </si>
  <si>
    <t>Validación y ajuste  de tecnología para el manejo de la nutricion, el riego y la poda en lima ácida Tahití en el Valle del Cauca.</t>
  </si>
  <si>
    <t>Desarrollo de los procesos de indexación de material de siembra frente a las principales enfermedades, para el aseguramiento de la sanidad de los cítricos en Colombia.</t>
  </si>
  <si>
    <t>Convenio derivado No. 3, Líneas Epidemiología y modelos para la mitigación de plagas, del convenio marco interadministrativo no. GGC- 017-2023,.</t>
  </si>
  <si>
    <t>Limón Pajarito</t>
  </si>
  <si>
    <t>Reducción del riesgo y adaptación al cambio climático_Modelos de adaptación agroclimática (MAPA). Limón pajárito (Citrus aurantifolia). Facilitadora Regional MAPA: Diana Lucia Correa Moreno</t>
  </si>
  <si>
    <t xml:space="preserve">Cultivares y patrones de cítricos adaptados a diferentes núcleos productivos en Colombia. </t>
  </si>
  <si>
    <t>Evaluación participativa de cítricos promisorios para su uso como copas o patrones en los principales núcleos de producción.</t>
  </si>
  <si>
    <t>Fortalecer el programa nacional de conservación y multiplicación del material vegetal de cítricos en las categorías genética, básica y registrada como estrategia de prevención fitosanitaria al HLB para garantizar la continuidad del programa de certificación</t>
  </si>
  <si>
    <t>Maracuya</t>
  </si>
  <si>
    <t>Desarrollo de componentes de manejo integrado de Dasiops inedulis (Diptera: Lonchaeidae) en maracuyá en el Valle del Cauca.</t>
  </si>
  <si>
    <t>Seguridad alimentaria, nutricional y salud humana y animal</t>
  </si>
  <si>
    <t xml:space="preserve">Evaluación y selección de genotipos élite maracuyá </t>
  </si>
  <si>
    <t>Universidad Nacional</t>
  </si>
  <si>
    <t>Melón</t>
  </si>
  <si>
    <t>Reducción del riesgo y adaptación al cambio climático_Modelos de adaptación agroclimática (MAPA). Melón (Cucumis melo B). Facilitadora Regional MAPA: Diana Lucia Correa Moreno</t>
  </si>
  <si>
    <t>Mora</t>
  </si>
  <si>
    <t>Reducción del riesgo y adaptación al cambio climático_Modelos de adaptación agroclimática (MAPA). Mora (Rubus glaucus B). Facilitadora Regional MAPA: Diana Lucia Correa Moreno</t>
  </si>
  <si>
    <t>Naranjas</t>
  </si>
  <si>
    <t xml:space="preserve">Validación de estrategias de manejo de poblaciones de Compsus viridivitattus, y ácaros como aporte del componente entomológico a la construcción del modelo productivo en cítricos.   </t>
  </si>
  <si>
    <t>Manejo de viveros y bases tecnológicas para la certificación genética, fisiológica y sanitaria</t>
  </si>
  <si>
    <t>Evaluación de entomopatógenos y productos químicos para el control de Diaphorina citri Kuwayama (Hemiptera: Liviidae) y estudios biológicos de D. citri y su enemigo natural principal Tamarixia radiata (Waterston) (Hymenoptera: Eulophidae).</t>
  </si>
  <si>
    <t>Generación de esquemas de indexación a enfermedades sistémicas de cítricos para asegurar la sanidad del material de siembra en Colombia</t>
  </si>
  <si>
    <t>Cultivares y patrones de cítricos adaptados a diferentes núcleos productivos en Colombia Fase 1.</t>
  </si>
  <si>
    <t>Cultivares y patrones de cítricos adaptados a diferentes núcleos productivos en Colombia Fase 2.</t>
  </si>
  <si>
    <t>Cultivares y patrones de cítricos adaptados a diferentes núcleos productivos en Colombia Fase 3.</t>
  </si>
  <si>
    <t>Cultivares y patrones de cítricos adaptados a diferentes núcleos productivos en Colombia Fase 4.</t>
  </si>
  <si>
    <t>Proyecto Agroecologico Colombo Aleman (PACA)</t>
  </si>
  <si>
    <t>NSA(MPIyS): Sistemas agroalimentarios globales</t>
  </si>
  <si>
    <t xml:space="preserve">Plataforma regional para impulsar la competitividad del aguacate andino </t>
  </si>
  <si>
    <t>N/A</t>
  </si>
  <si>
    <t>Palma de aceite Africana</t>
  </si>
  <si>
    <t>Selección de progenitores Dura y Pisífera de la palma de aceite (Elaeis guineensis) como apoyo a la producción de los cultivares híbridos OxG Corpoica y Ténera Corpoica de segunda generación</t>
  </si>
  <si>
    <t>Practicas de manejo agronómico y seguimiento experimentos palma de aceite. Fase I</t>
  </si>
  <si>
    <t>Practicas de manejo agronómico y seguimiento experimentos palma de aceite. Fase II</t>
  </si>
  <si>
    <t>Practicas de manejo agronómico y seguimiento experimentos palma de aceite</t>
  </si>
  <si>
    <t>Palma de aceite Americana</t>
  </si>
  <si>
    <t>Evaluación de progenies F2 de Elaeis Oleifera</t>
  </si>
  <si>
    <t>Palmaceas</t>
  </si>
  <si>
    <t>Control biológico y químico de la cochinilla acanalada Crypticerya multicicatrices Kondo &amp; Unruh (Hemiptera: Monophlebidae).</t>
  </si>
  <si>
    <t>Piña</t>
  </si>
  <si>
    <t>Producción de semilla de calidad para Casanare</t>
  </si>
  <si>
    <t>Bolívar: Asociación de Agricultores Campesinos Chitacorral (Agrocazan), La Vega: Asociación Productora  de  Quinua  Resguardo  de Pancitara (Asproquinpa), La Vega: Asociación Productora  de  Quinua  Resguardo  de Pancitara (Asproquinpa), Totoró: Asociación  de  Productores  de  Quinua (Asoquinua), Silvia: Cooperativa Multiactiva Indígena de Las Delicias</t>
  </si>
  <si>
    <t>Bolívar, La Vega, Silvia, Totoró</t>
  </si>
  <si>
    <t>Comunidad campesina</t>
  </si>
  <si>
    <t>Estrategias de manejo agronómico para la piña MD2 para sistemas productivos del departamento del Valle del Cauca, potenciando parámetros de adaptación y sostenibilidad.</t>
  </si>
  <si>
    <t>Estrategias para el manejo integrado de las principales enfermedades y plagas que se presentan en el cultivo de piña (cultivar MD2) en los departamentos del Valle del Cauca y Santander. Fase I y Fase II.</t>
  </si>
  <si>
    <t>Identificación de accesiones de piña (Ananas spp.) por su potencial para la obtención de fibra de la hoja para uso agroindustrial.</t>
  </si>
  <si>
    <t>Pitaya Amarilla</t>
  </si>
  <si>
    <t>Desarrollo de estrategias de manejo integrado de la mosca del botón floral de la pitaya Dasiops sp. en el Valle del Cauca.</t>
  </si>
  <si>
    <t>Recomendaciones de manejo agronómico y fitosanitario del cultivo de la Pitaya Amarilla para las regiones productoras de Colombia.</t>
  </si>
  <si>
    <t>Platano</t>
  </si>
  <si>
    <t>Propuesta enviada a convocatoria Fontagro2025. Transformación digital del cultivo de plátano: hacia la eficiencia productiva y el relevo generacional</t>
  </si>
  <si>
    <t>Transformación digital del cultivo de plátano: hacia la eficiencia productiva y el relevo generacional</t>
  </si>
  <si>
    <t>Sanidad Prevención y Control Enfermedades Plátano F1 y F2</t>
  </si>
  <si>
    <t>ICA</t>
  </si>
  <si>
    <t>Caldas, Risaralda, Cauca y Valle del Cauca</t>
  </si>
  <si>
    <t>Quinua</t>
  </si>
  <si>
    <t>Alternativas tecnológicas para el cultivo de la quinua en el departamento del Cauca</t>
  </si>
  <si>
    <t>Desarrollo de modelos de producción de semilla promisorias Quinua en  Cauca PNS</t>
  </si>
  <si>
    <t>San Andres y Providencia.</t>
  </si>
  <si>
    <t>ICESI, Hugo Restrepo, Utedé</t>
  </si>
  <si>
    <t>Antioquia, Valle del Cauca y Cauca</t>
  </si>
  <si>
    <t>Rionegro, Campamento, Palmira, Buga y Timbío</t>
  </si>
  <si>
    <t>Desarrollo   de   nuevas   recomendaciones   tecnológicas   para   contribuir   con   la   competitividad  y  la  sostenibilidad  del  sector  quinuero  del  departamento   del   Cauca, Convenio 1983, Actividad 8: Caracterizar los problemas de enfermedades del cultivo de quinua en el departamento del Cauca (Fase 1), Diana Milena Rodríguez Mora</t>
  </si>
  <si>
    <t>Asociación de Agricultores Campesinos  de  la  Zanja  Chitacorral(Agrocazan),  Asociación  Productora  de  Quinua  Resguardo  de  Pancitará  (Asproquinpa), Asociación de Productores de Quinua (Asoquinua) y Cooperativa  Multiactiva  Indígena  de  Las Delicias</t>
  </si>
  <si>
    <t>Comunidad Indígena</t>
  </si>
  <si>
    <t>792 personas</t>
  </si>
  <si>
    <t>ACI: Gestión eficiente de los recursos agua, nutrientes, suelo y energía para la mitigación de GEI en los sistemas de producción agrícola</t>
  </si>
  <si>
    <t>Actividad 4.2: Utilización de coberturas vegetales y mitigación de gases de efecto invernadero GEI. RA: Diana Lucia Correa Moreno</t>
  </si>
  <si>
    <t>Yuca</t>
  </si>
  <si>
    <t>Material de siembra con calidad de las Variedades de yuca AGROSAVIA Cumbre 3 y AGROSAVIA La Francesa</t>
  </si>
  <si>
    <t>Fedecoco</t>
  </si>
  <si>
    <t>Nariño</t>
  </si>
  <si>
    <t>Tumaco, el Charco, Francisco Pizarro, La Tola, Mosquera, Santa Bárbara de Iscuande y Olaya Herrera</t>
  </si>
  <si>
    <t>Comunidad Afrocolombiana</t>
  </si>
  <si>
    <t>Ruta Agroecológica_Valle del Cauca. RA: Diana Lucia Correa Moreno</t>
  </si>
  <si>
    <t>Valle</t>
  </si>
  <si>
    <t>Mujer rural:conservación de semillas. Lider: Diana Lucia Correa Moreno</t>
  </si>
  <si>
    <t>NSA(MPIyS): Restauración de los ecosistemas</t>
  </si>
  <si>
    <t>Restauración participativa de ecosistemas y fortalecimiento de la gobernanza ambiental y resiliencia climática en territorios afrocolombianos de la Cuenca del Rio San Jorge (Alto Patia - Cauca) afectados por deforestación, desertificación y sequía. Lider: Diana Lucia Correa Moreno</t>
  </si>
  <si>
    <t>Fortalecimiento de las capacidades de I+D+i del centro de investigación Palmira</t>
  </si>
  <si>
    <t>Estrategias de prevención y manejo de enfermedades limitantes en la producción de Aguacate en las principales zonas productoras.</t>
  </si>
  <si>
    <t>Viveristas y comercializadores de aguacate, ICA</t>
  </si>
  <si>
    <t>Cauca, Quindío, Risaralda, Valle del Cauca</t>
  </si>
  <si>
    <t>Cauca (Timbío), Quindío (Calarcá, La Tebaida, Quimbaya), Risaralda (Cerritos, Pereira), Valle del Cauca (Andalucía, Bolívar, Caicedonia, Candelaria, Cerrito, La Unión, La Victoria, Palmira, Sevilla)</t>
  </si>
  <si>
    <t>Opciones de manejo para reducir los principales problemas del cultivo de la Pitaya en el Valle del Cauca</t>
  </si>
  <si>
    <t>Asoppitaya: Asociación de productores de pitaya- Ingenieros Agrónomos Asociados</t>
  </si>
  <si>
    <t>Municipios de Palmira-Darien-Riofrio</t>
  </si>
  <si>
    <t>Idea: Proyecto 95883. IMPLEMENTACIÓN DE INNOVACIONES TECNOLÓGICAS BAJO UN MODELO DE ECONOMÍA CIRCULAR, SOCIAL Y SOLIDARIA COMO APORTE A LA SEGURIDAD ALIMENTARIA Y A LA TRANSICIÓN SOSTENIBLE HACIA UN DESARROLLO AGRÍCOLA Y AGROINDUSTRIAL EN 4 MUNICIPIOS DEL DEPARTAMENTO DEL VALLE DEL CAUCA</t>
  </si>
  <si>
    <t>Categoría</t>
  </si>
  <si>
    <t>Capacidad</t>
  </si>
  <si>
    <t>Enfermedades</t>
  </si>
  <si>
    <t>Emergente</t>
  </si>
  <si>
    <t>Monitoreo fitosanitario con herramientas digitales</t>
  </si>
  <si>
    <t>Agricultura con enfoque agroecológico</t>
  </si>
  <si>
    <t>Estudios de salud del suelo (microbioma)</t>
  </si>
  <si>
    <t>Evaluación de impacto ambiental de PQUAs</t>
  </si>
  <si>
    <t>Implementación de esquemas de aseguramiento fitosanitario (EAS)</t>
  </si>
  <si>
    <t>Estudios de resistencia genética a patógenos</t>
  </si>
  <si>
    <t>Consolidada</t>
  </si>
  <si>
    <t>Diagnóstico y caracterización de patógenos</t>
  </si>
  <si>
    <t>Indexación de enfermedades</t>
  </si>
  <si>
    <t>Limpieza fitosanitaria de material vegetal</t>
  </si>
  <si>
    <t>Implementación de MIE en múltiples cultivos</t>
  </si>
  <si>
    <t>Evaluación de resistencia de plantas</t>
  </si>
  <si>
    <t>Estudios epidemiológicos</t>
  </si>
  <si>
    <t>Distintiva</t>
  </si>
  <si>
    <t>Experiencia en MIE en frutales tropicales</t>
  </si>
  <si>
    <t>Integración investigación + transferencia</t>
  </si>
  <si>
    <t>Trabajo articulado con productores</t>
  </si>
  <si>
    <t>Plataforma de transferencia tecnológica en sanidad vegetal</t>
  </si>
  <si>
    <t>Cobertura territorial estratégica (Cauca, Valle, Chocó)</t>
  </si>
  <si>
    <t>Plagas</t>
  </si>
  <si>
    <t>Uso de herramientas digitales para monitoreo</t>
  </si>
  <si>
    <t>Evaluación de bioinsumos comerciales</t>
  </si>
  <si>
    <t>Enfoque agroecológico y servicios ecosistémicos</t>
  </si>
  <si>
    <t>Diagnóstico y caracterización de plagas</t>
  </si>
  <si>
    <t>Implementación de estrategias MIP</t>
  </si>
  <si>
    <t>Evaluación de control biológico</t>
  </si>
  <si>
    <t>Ensayos de eficacia de productos</t>
  </si>
  <si>
    <t>Monitoreo poblacional</t>
  </si>
  <si>
    <t>Validación en campo con productores</t>
  </si>
  <si>
    <t>Experiencia multisectorial en frutales tropicales</t>
  </si>
  <si>
    <t>Integración investigación aplicada + transferencia</t>
  </si>
  <si>
    <t>Articulación con sistemas productivos reales</t>
  </si>
  <si>
    <t>Enfoque en reducción de plaguicidas y sostenibilidad</t>
  </si>
  <si>
    <t>Mejoramiento genético</t>
  </si>
  <si>
    <t>Variabilidad genética inducida (mutagénesis, radiación)</t>
  </si>
  <si>
    <t>Modelamiento genotipo × ambiente</t>
  </si>
  <si>
    <t>Gestión avanzada de riesgos sanitarios</t>
  </si>
  <si>
    <t>Producción clonal sistemática</t>
  </si>
  <si>
    <t>Integración fisiología–propagación</t>
  </si>
  <si>
    <t>Mejoramiento genético (perennes y transitorios)</t>
  </si>
  <si>
    <t>Evaluación multiambiente y multilocal</t>
  </si>
  <si>
    <t>Fenotipado agronómico sistemático</t>
  </si>
  <si>
    <t>Producción y escalamiento de semilla</t>
  </si>
  <si>
    <t>Ensayos experimentales robustos</t>
  </si>
  <si>
    <t>Análisis genotipo × ambiente</t>
  </si>
  <si>
    <t>Producción en ambiente controlado</t>
  </si>
  <si>
    <t>Mejoramiento en especies perennes</t>
  </si>
  <si>
    <t>Producción de material vegetal de alta calidad</t>
  </si>
  <si>
    <t>Integración germoplasma–propagación–injerto</t>
  </si>
  <si>
    <t>Registro de cultivares</t>
  </si>
  <si>
    <t>Protocolos técnicos por genotipo</t>
  </si>
  <si>
    <t>Recomendaciones cuantificadas</t>
  </si>
  <si>
    <t>Fisiología y suelos</t>
  </si>
  <si>
    <t>Modelos agroecológicos</t>
  </si>
  <si>
    <t>Manejo bajo cambio climático</t>
  </si>
  <si>
    <t>Agricultura de conservación</t>
  </si>
  <si>
    <t>Fertilización alternativa (orgánica/foliar)</t>
  </si>
  <si>
    <t>Salud del suelo y servicios ecosistémicos</t>
  </si>
  <si>
    <t>Zonificación de cultivos</t>
  </si>
  <si>
    <t>Evaluación de tierras (UPRA)</t>
  </si>
  <si>
    <t>Balance hídrico</t>
  </si>
  <si>
    <t>Balance de nutrientes</t>
  </si>
  <si>
    <t>Nutrición por sitio específico</t>
  </si>
  <si>
    <t>Monitoreo con sensores</t>
  </si>
  <si>
    <t>Uso de IoT</t>
  </si>
  <si>
    <t>Investigación participativa</t>
  </si>
  <si>
    <t>Uso eficiente de agua basado en balance hídrico</t>
  </si>
  <si>
    <t>Zonificación productiva</t>
  </si>
  <si>
    <t>Evaluación de riesgo agroclimático</t>
  </si>
  <si>
    <t>Enfoque suelo–planta–agua integrado</t>
  </si>
  <si>
    <t>Poscosecha</t>
  </si>
  <si>
    <t>Bioprocesos (fermentaciones dirigidas)</t>
  </si>
  <si>
    <t>Desarrollo de bioproductos</t>
  </si>
  <si>
    <t>Valorización de biomasa no alimentaria</t>
  </si>
  <si>
    <t>Ingredientes funcionales</t>
  </si>
  <si>
    <t>Uso de cultivos iniciadores (starters)</t>
  </si>
  <si>
    <t>Calidad sensorial de cacao</t>
  </si>
  <si>
    <t>Protocolos de fermentación y secado</t>
  </si>
  <si>
    <t>Evaluación sensorial y química</t>
  </si>
  <si>
    <t>Diseño de equipos de poscosecha</t>
  </si>
  <si>
    <t>Valorización de subproductos</t>
  </si>
  <si>
    <t>Escalamiento de tecnologías en cacao</t>
  </si>
  <si>
    <t>Enfoque de bioeconomía en cacao</t>
  </si>
  <si>
    <t>Integración producción–poscosecha–mercado</t>
  </si>
  <si>
    <t>Desarrollo de oferta tecnológica transferible</t>
  </si>
  <si>
    <t>Modelos territoriales replicables</t>
  </si>
  <si>
    <t>Capacidad de convertir ciencia en productos de valor</t>
  </si>
  <si>
    <t>ID capacidad</t>
  </si>
  <si>
    <t>Proyecto asociado</t>
  </si>
  <si>
    <t>C.I. Palmira — Dashboard Gerencial del Portafolio de I+D+i</t>
  </si>
  <si>
    <t>Resumen ejecutivo automático. Todos los indicadores se actualizan al diligenciar Portafolio_Proyectos. Para análisis detallado, consulte las Vistas V1 a V8.</t>
  </si>
  <si>
    <t>Indicadores clave del portafolio</t>
  </si>
  <si>
    <t>Total proyectos</t>
  </si>
  <si>
    <t>Sistemas productivos</t>
  </si>
  <si>
    <t>Proyectos activos</t>
  </si>
  <si>
    <t>Con impacto social</t>
  </si>
  <si>
    <t>Depts. cubiertos</t>
  </si>
  <si>
    <t>Con TRL registrado</t>
  </si>
  <si>
    <t>Top 10 — sistemas con más proyectos</t>
  </si>
  <si>
    <t>Completitud del portafolio (%)</t>
  </si>
  <si>
    <t>Campo crítico</t>
  </si>
  <si>
    <t>% diligenciado</t>
  </si>
  <si>
    <t>Guía de navegación — Vistas del portafolio</t>
  </si>
  <si>
    <t>V1_Impacto_Territorial</t>
  </si>
  <si>
    <t>Cobertura geográfica y beneficiarios por departamento</t>
  </si>
  <si>
    <t>V2_Impacto_Demostrado</t>
  </si>
  <si>
    <t>Impactos técnicos, económicos, sociales y ambientales</t>
  </si>
  <si>
    <t>V3_Trayectoria_TRL</t>
  </si>
  <si>
    <t>Niveles de madurez tecnológica por sistema productivo</t>
  </si>
  <si>
    <t>V4_Red_Alianzas</t>
  </si>
  <si>
    <t>Aliados, financiadores y rol institucional</t>
  </si>
  <si>
    <t>V5_Portafolio_Activo</t>
  </si>
  <si>
    <t>Estado del portafolio: activo, finalizado, pipeline</t>
  </si>
  <si>
    <t>V6_Capacidades_Cientificas</t>
  </si>
  <si>
    <t>Mapa de capacidades emergentes, consolidadas y distintivas</t>
  </si>
  <si>
    <t>V7_Productividad_Cientifica</t>
  </si>
  <si>
    <t>Publicaciones, productos tecnológicos y propiedad intelectual</t>
  </si>
  <si>
    <t>V8_Ficha_Proyecto</t>
  </si>
  <si>
    <t>Ficha ejecutiva completa de un proyecto (seleccionable)</t>
  </si>
  <si>
    <t>Vista 1 — Cobertura territorial del portafolio</t>
  </si>
  <si>
    <t>Muestra cuántos proyectos operan en cada departamento. Se actualiza automáticamente. NOTA: el campo Departamentos permite múltiples valores; se contabilizan proyectos que mencionen el departamento.</t>
  </si>
  <si>
    <t>A. Proyectos por departamento</t>
  </si>
  <si>
    <t>B. Proyectos por tipo de beneficiario</t>
  </si>
  <si>
    <t>Departamento</t>
  </si>
  <si>
    <t>N° proyectos</t>
  </si>
  <si>
    <t>% del total</t>
  </si>
  <si>
    <t>Tipo de beneficiario</t>
  </si>
  <si>
    <t>Beneficiarios directos (suma)</t>
  </si>
  <si>
    <t>AMAZONAS</t>
  </si>
  <si>
    <t>ANTIOQUIA</t>
  </si>
  <si>
    <t>ARAUCA</t>
  </si>
  <si>
    <t>ARCHIPIELAGO DE SAN ANDRES</t>
  </si>
  <si>
    <t>ATLÁNTICO</t>
  </si>
  <si>
    <t>Comunidad científica</t>
  </si>
  <si>
    <t>BOGOTÁ D.C.</t>
  </si>
  <si>
    <t>BOLIVAR</t>
  </si>
  <si>
    <t>TOTAL</t>
  </si>
  <si>
    <t>BOYACÁ</t>
  </si>
  <si>
    <t>C. Presencia territorial — top 10 sistemas productivos × departamento (proyectos)</t>
  </si>
  <si>
    <t>Banano</t>
  </si>
  <si>
    <t>CALDAS</t>
  </si>
  <si>
    <t>CAQUETA</t>
  </si>
  <si>
    <t>CASANARE</t>
  </si>
  <si>
    <t>CAUCA</t>
  </si>
  <si>
    <t>CESAR</t>
  </si>
  <si>
    <t>CHOCO</t>
  </si>
  <si>
    <t>CORDOBA</t>
  </si>
  <si>
    <t>CUNDINAMARCA</t>
  </si>
  <si>
    <t>GUAINIA</t>
  </si>
  <si>
    <t>GUAVÍARE</t>
  </si>
  <si>
    <t>HUILA</t>
  </si>
  <si>
    <t>LA GUAJIRA</t>
  </si>
  <si>
    <t>MAGDALENA</t>
  </si>
  <si>
    <t>META</t>
  </si>
  <si>
    <t>NARIÑO</t>
  </si>
  <si>
    <t>NORTE DE SANTANDER</t>
  </si>
  <si>
    <t>PUTUMAYO</t>
  </si>
  <si>
    <t>QUINDIO</t>
  </si>
  <si>
    <t>RISARALDA</t>
  </si>
  <si>
    <t>SANTANDER</t>
  </si>
  <si>
    <t>SUCRE</t>
  </si>
  <si>
    <t>TOLIMA</t>
  </si>
  <si>
    <t>VALLE DEL CAUCA</t>
  </si>
  <si>
    <t>VAUPÉS</t>
  </si>
  <si>
    <t>VICHADA</t>
  </si>
  <si>
    <t>Vista 2 — Impactos demostrados por el portafolio</t>
  </si>
  <si>
    <t>Esta vista consolida los proyectos que tienen impactos registrados (técnico, económico, social, ambiental). Se actualiza al completar la Capa 1.</t>
  </si>
  <si>
    <t>A. Proyectos con impactos registrados</t>
  </si>
  <si>
    <t>C. Proyectos con impacto social registrado × área temática</t>
  </si>
  <si>
    <t>Tipo de impacto</t>
  </si>
  <si>
    <t>Proyectos con dato</t>
  </si>
  <si>
    <t>% del portafolio</t>
  </si>
  <si>
    <t>B. Beneficiarios registrados por sistema productivo</t>
  </si>
  <si>
    <t>Calidad e inocuidad de insumos y productos</t>
  </si>
  <si>
    <t>Maiz</t>
  </si>
  <si>
    <t>Frijol</t>
  </si>
  <si>
    <t>Cebolla</t>
  </si>
  <si>
    <t xml:space="preserve">Ganaderia </t>
  </si>
  <si>
    <t>Apicola</t>
  </si>
  <si>
    <t>Caña panelera</t>
  </si>
  <si>
    <t>D. Recursos movilizados (suma de montos registrados)</t>
  </si>
  <si>
    <t>Indicador</t>
  </si>
  <si>
    <t>Valor</t>
  </si>
  <si>
    <t>Nota</t>
  </si>
  <si>
    <t>Total proyectos con monto registrado</t>
  </si>
  <si>
    <t>Proyectos</t>
  </si>
  <si>
    <t>Suma total de montos registrados (COP)</t>
  </si>
  <si>
    <t>Se completa al diligenciar campo Monto</t>
  </si>
  <si>
    <t>Monto promedio por proyecto (COP)</t>
  </si>
  <si>
    <t>Solo proyectos con monto registrado</t>
  </si>
  <si>
    <t>Vista 3 — Trayectoria tecnológica (niveles TRL)</t>
  </si>
  <si>
    <t>TRL: Technology Readiness Level (1=idea básica → 9=tecnología adoptada). Muestra dónde inician y terminan los proyectos. Se activa al completar TRL inicial y final en Capa 1.</t>
  </si>
  <si>
    <t>A. Escala TRL de referencia</t>
  </si>
  <si>
    <t>B. Distribución TRL final por sistema productivo</t>
  </si>
  <si>
    <t>Nivel TRL</t>
  </si>
  <si>
    <t>Descripción</t>
  </si>
  <si>
    <t>TRL 1</t>
  </si>
  <si>
    <t>TRL 2</t>
  </si>
  <si>
    <t>TRL 3</t>
  </si>
  <si>
    <t>TRL 4</t>
  </si>
  <si>
    <t>TRL 5</t>
  </si>
  <si>
    <t>TRL 6</t>
  </si>
  <si>
    <t>TRL 7</t>
  </si>
  <si>
    <t>TRL 8</t>
  </si>
  <si>
    <t>TRL 9</t>
  </si>
  <si>
    <t>Investigación básica</t>
  </si>
  <si>
    <t>Principios científicos observados</t>
  </si>
  <si>
    <t>Concepto formulado</t>
  </si>
  <si>
    <t>Concepto tecnológico formulado</t>
  </si>
  <si>
    <t>Prueba de concepto</t>
  </si>
  <si>
    <t>Demostración experimental en laboratorio</t>
  </si>
  <si>
    <t>Validación en laboratorio</t>
  </si>
  <si>
    <t>Componentes validados en condiciones controladas</t>
  </si>
  <si>
    <t>Validación relevante</t>
  </si>
  <si>
    <t>Componentes validados en condiciones relevantes</t>
  </si>
  <si>
    <t>Demostración relevante</t>
  </si>
  <si>
    <t>Prototipo demostrado en condiciones relevantes</t>
  </si>
  <si>
    <t>Demostración en campo</t>
  </si>
  <si>
    <t>Sistema demostrado en condiciones reales</t>
  </si>
  <si>
    <t>Completado y calificado</t>
  </si>
  <si>
    <t>Sistema completo y calificado</t>
  </si>
  <si>
    <t>Adopción exitosa</t>
  </si>
  <si>
    <t>Sistema adoptado exitosamente</t>
  </si>
  <si>
    <t>C. Avance promedio TRL (final − inicial) por sistema productivo</t>
  </si>
  <si>
    <t>TRL inicial prom.</t>
  </si>
  <si>
    <t>TRL final prom.</t>
  </si>
  <si>
    <t>Avance promedio</t>
  </si>
  <si>
    <t>D. Resumen global del portafolio por TRL final</t>
  </si>
  <si>
    <t>% del total con TRL</t>
  </si>
  <si>
    <t>Por diligenciar</t>
  </si>
  <si>
    <t>1</t>
  </si>
  <si>
    <t>2</t>
  </si>
  <si>
    <t>Concepto</t>
  </si>
  <si>
    <t>3</t>
  </si>
  <si>
    <t>Lab.</t>
  </si>
  <si>
    <t>4</t>
  </si>
  <si>
    <t>Val. lab.</t>
  </si>
  <si>
    <t>5</t>
  </si>
  <si>
    <t>Val. relevante</t>
  </si>
  <si>
    <t>6</t>
  </si>
  <si>
    <t>Demo. relevante</t>
  </si>
  <si>
    <t>7</t>
  </si>
  <si>
    <t>Demo. campo</t>
  </si>
  <si>
    <t>8</t>
  </si>
  <si>
    <t>Calificado</t>
  </si>
  <si>
    <t>9</t>
  </si>
  <si>
    <t>Adoptado</t>
  </si>
  <si>
    <t>Vista 4 — Red de alianzas estratégicas</t>
  </si>
  <si>
    <t>Muestra la diversidad y tipo de aliados del portafolio. Se activa al completar los campos Aliados estratégicos, Rol del aliado, Rol CI Palmira e Institución ejecutora en Capa 1.</t>
  </si>
  <si>
    <t>A. Proyectos por tipo de financiador × sistema productivo</t>
  </si>
  <si>
    <t>D. Concentración por financiador (total portafolio)</t>
  </si>
  <si>
    <t>Entes Nacionales y Ter</t>
  </si>
  <si>
    <t>Agremiaciónes</t>
  </si>
  <si>
    <t>Instituciones de Educación Superior</t>
  </si>
  <si>
    <t>Sociedad civil organizada</t>
  </si>
  <si>
    <t>Centros de Investigación</t>
  </si>
  <si>
    <t>B. Rol del C.I. Palmira en los proyectos</t>
  </si>
  <si>
    <t>Co-ejecutor</t>
  </si>
  <si>
    <t>Apoyo</t>
  </si>
  <si>
    <t>C. Proyectos con aliados registrados por sistema productivo</t>
  </si>
  <si>
    <t>Con aliados registrados</t>
  </si>
  <si>
    <t>Sin aliados registrados</t>
  </si>
  <si>
    <t>Vista 5 — Estado del portafolio y pipeline de proyectos</t>
  </si>
  <si>
    <t>Se actualiza automáticamente desde Portafolio_Proyectos. Muestra el estado actual de todos los proyectos registrados.</t>
  </si>
  <si>
    <t>A. Proyectos por estado</t>
  </si>
  <si>
    <t>C. Proyectos por estado × sistema productivo</t>
  </si>
  <si>
    <t>Estado</t>
  </si>
  <si>
    <t>Portafolio</t>
  </si>
  <si>
    <t>Servicio técnico especializado</t>
  </si>
  <si>
    <t>Formulación</t>
  </si>
  <si>
    <t>B. Proyectos por fuente de financiación</t>
  </si>
  <si>
    <t>Vista 6 — Mapa de capacidades científicas del C.I. Palmira</t>
  </si>
  <si>
    <t>Clasifica las capacidades del centro en emergentes, consolidadas y distintivas por sistema productivo y área temática. Se activa al completar campos Capacidad_emergente, _consolidada, _distintiva en Capa 1.</t>
  </si>
  <si>
    <t>A. Capacidades por sistema productivo</t>
  </si>
  <si>
    <t>B. Capacidades por área temática</t>
  </si>
  <si>
    <t>Emergentes</t>
  </si>
  <si>
    <t>Consolidadas</t>
  </si>
  <si>
    <t>Distintivas</t>
  </si>
  <si>
    <t>C. Registro de capacidades identificadas (desde Capacidades_CI)</t>
  </si>
  <si>
    <t>ID</t>
  </si>
  <si>
    <t>Vista 7 — Productividad científica y propiedad intelectual</t>
  </si>
  <si>
    <t>Muestra publicaciones, productos tecnológicos y activos de PI generados. Se activa al completar Publicaciones, Productos generados, Activos generados y Estado propiedad intelectual en Capa 1.</t>
  </si>
  <si>
    <t>A. Producción científica y tecnológica por sistema productivo</t>
  </si>
  <si>
    <t>D. Indicadores globales de productividad</t>
  </si>
  <si>
    <t>Con publicaciones</t>
  </si>
  <si>
    <t>Con productos generados</t>
  </si>
  <si>
    <t>Con oferta tecnológica</t>
  </si>
  <si>
    <t>Total proyectos con publicaciones</t>
  </si>
  <si>
    <t>Total proyectos con productos gen.</t>
  </si>
  <si>
    <t>Total proyectos con oferta tecnol.</t>
  </si>
  <si>
    <t>Total proyectos con activos gen.</t>
  </si>
  <si>
    <t>Total proyectos con PI registrada</t>
  </si>
  <si>
    <t>% portafolio con algún producto</t>
  </si>
  <si>
    <t>B. Estado de propiedad intelectual</t>
  </si>
  <si>
    <t>Estado PI</t>
  </si>
  <si>
    <t>Con registro</t>
  </si>
  <si>
    <t>En trámite</t>
  </si>
  <si>
    <t>Sin PI</t>
  </si>
  <si>
    <t>No aplica</t>
  </si>
  <si>
    <t>Con PI registrado (cualquiera)</t>
  </si>
  <si>
    <t>C. Proyectos por tipo de tecnología</t>
  </si>
  <si>
    <t>Variedad</t>
  </si>
  <si>
    <t>Protocolo</t>
  </si>
  <si>
    <t>Modelo</t>
  </si>
  <si>
    <t>Servicio</t>
  </si>
  <si>
    <t>Vista 8 — Ficha ejecutiva por proyecto</t>
  </si>
  <si>
    <t>Instrucción: Ingrese en la celda amarilla (C4) el número del proyecto. 1 = primer proyecto, 2 = segundo, y así sucesivamente.</t>
  </si>
  <si>
    <t>Total proyectos disponibles:</t>
  </si>
  <si>
    <t>Número de fila del proyecto (Portafolio_Proyectos):</t>
  </si>
  <si>
    <t>← Ingresa el número del proyecto (1, 2, 3...)</t>
  </si>
  <si>
    <t>IDENTIFICACIÓN</t>
  </si>
  <si>
    <t>PROBLEMA Y OBJETIVO</t>
  </si>
  <si>
    <t>Demanda atendida</t>
  </si>
  <si>
    <t>METODOLOGÍA Y RESULTADOS</t>
  </si>
  <si>
    <t>Tipo de intervención</t>
  </si>
  <si>
    <t>TECNOLOGÍA</t>
  </si>
  <si>
    <t>IMPACTOS</t>
  </si>
  <si>
    <t>COBERTURA Y BENEFICIARIOS</t>
  </si>
  <si>
    <t>ALIANZAS</t>
  </si>
  <si>
    <t>CAPACIDADES IDENTIFICADAS</t>
  </si>
  <si>
    <t>Capacidad emergente</t>
  </si>
  <si>
    <t>Capacidad consolidada</t>
  </si>
  <si>
    <t>Capacidad distintiva</t>
  </si>
  <si>
    <t>Sistema productivo y/o agroalimentario</t>
  </si>
  <si>
    <t>Línea Temática</t>
  </si>
  <si>
    <t xml:space="preserve">Proyectos </t>
  </si>
  <si>
    <t>Enfoque Estratégico</t>
  </si>
  <si>
    <t>Fuente de Financiación</t>
  </si>
  <si>
    <t>Comentario y/o Soporte</t>
  </si>
  <si>
    <t>Política Pública</t>
  </si>
  <si>
    <t>Componente I+D+i</t>
  </si>
  <si>
    <t>Zona de ejecución - Municipio(s)</t>
  </si>
  <si>
    <t>Aliado (s)</t>
  </si>
  <si>
    <t>No. Beneficiarios</t>
  </si>
  <si>
    <t>Tipo de comunidad</t>
  </si>
  <si>
    <t>Capacidades</t>
  </si>
  <si>
    <t>Plan Nacional de Desarrollo</t>
  </si>
  <si>
    <t>EL ENCANTO</t>
  </si>
  <si>
    <t>COMPES</t>
  </si>
  <si>
    <t>LA CHORRERA</t>
  </si>
  <si>
    <t>Plan Departamental de Desarrollo</t>
  </si>
  <si>
    <t>LA PEDRERA</t>
  </si>
  <si>
    <t xml:space="preserve">Servicio técnico especializado </t>
  </si>
  <si>
    <t>Bioeconomía:  Bioproductos</t>
  </si>
  <si>
    <t>Plan de Gestión Ambiental</t>
  </si>
  <si>
    <t>LA VICTORIA</t>
  </si>
  <si>
    <t>Plan Sectorial MADR</t>
  </si>
  <si>
    <t>LETICIA</t>
  </si>
  <si>
    <t xml:space="preserve">Centros de Investigación </t>
  </si>
  <si>
    <t>MIRITI - PARANÁ</t>
  </si>
  <si>
    <t>PUERTO ALEGRIA</t>
  </si>
  <si>
    <t>PUERTO ARICA</t>
  </si>
  <si>
    <t>PUERTO NARIÑO</t>
  </si>
  <si>
    <t>PUERTO SANTANDER</t>
  </si>
  <si>
    <t>NSA(MPIyS): Consumo sostenible</t>
  </si>
  <si>
    <t>TARAPACÁ</t>
  </si>
  <si>
    <t>NSA(MPIyS):  Limites Naturales o Planetarios</t>
  </si>
  <si>
    <t>CÁCERES</t>
  </si>
  <si>
    <t>CAUCASIA</t>
  </si>
  <si>
    <t>Inclusión social en el desarrollo tecnológico: Investigación transdisciplinar para la innovación social</t>
  </si>
  <si>
    <t>EL BAGRE</t>
  </si>
  <si>
    <t>NECHÍ</t>
  </si>
  <si>
    <t>Inclusión social en el desarrollo tecnológico: Gestión de la ciencia (Diplomacia y asesoría científica)</t>
  </si>
  <si>
    <t>TARAZÁ</t>
  </si>
  <si>
    <t>Inclusión social en el desarrollo tecnológico: Análisis territorial e interseccionalidad</t>
  </si>
  <si>
    <t>ZARAGOZA</t>
  </si>
  <si>
    <t>Inclusión social en el desarrollo tecnológico: Metodologías de transferencia y extensión rural</t>
  </si>
  <si>
    <t>CARACOLÍ</t>
  </si>
  <si>
    <t>GUAVIARE</t>
  </si>
  <si>
    <t>MACEO</t>
  </si>
  <si>
    <t>PUERTO BERRiO</t>
  </si>
  <si>
    <t>PUERTO NARE</t>
  </si>
  <si>
    <t>PUERTO TRIUNFO</t>
  </si>
  <si>
    <t>YONDÓ</t>
  </si>
  <si>
    <t>AMALFI</t>
  </si>
  <si>
    <t>ANORÍ</t>
  </si>
  <si>
    <t>CISNEROS</t>
  </si>
  <si>
    <t>REMEDIOS</t>
  </si>
  <si>
    <t>SAN ROQUE</t>
  </si>
  <si>
    <t>SANTO DOMINGO</t>
  </si>
  <si>
    <t>SEGOVIA</t>
  </si>
  <si>
    <t>VEGACHÍ</t>
  </si>
  <si>
    <t>YALÍ</t>
  </si>
  <si>
    <t>VAUPES</t>
  </si>
  <si>
    <t>YOLOMBÓ</t>
  </si>
  <si>
    <t>ANGOSTURA</t>
  </si>
  <si>
    <t>BELMIRA</t>
  </si>
  <si>
    <t>BRICEÑO</t>
  </si>
  <si>
    <t>CAMPAMENTO</t>
  </si>
  <si>
    <t>CAROLINA</t>
  </si>
  <si>
    <t>DON MATiAS</t>
  </si>
  <si>
    <t>ENTRERRIOS</t>
  </si>
  <si>
    <t>GÓMEZ PLATA</t>
  </si>
  <si>
    <t>GUADALUPE</t>
  </si>
  <si>
    <t>ITUANGO</t>
  </si>
  <si>
    <t>SAN ANDRÉS</t>
  </si>
  <si>
    <t>SAN JOSÉ DE LA MONTAÑA</t>
  </si>
  <si>
    <t>SAN PEDRO</t>
  </si>
  <si>
    <t>SANTA ROSA de osos</t>
  </si>
  <si>
    <t>TOLEDO</t>
  </si>
  <si>
    <t>VALDIVIA</t>
  </si>
  <si>
    <t>YARUMAL</t>
  </si>
  <si>
    <t>ABRIAQUÍ</t>
  </si>
  <si>
    <t>ANZA</t>
  </si>
  <si>
    <t>ARMENIA</t>
  </si>
  <si>
    <t>BURITICÁ</t>
  </si>
  <si>
    <t>CAÑASGORDAS</t>
  </si>
  <si>
    <t>DABEIBA</t>
  </si>
  <si>
    <t>EBÉJICO</t>
  </si>
  <si>
    <t>FRONTINO</t>
  </si>
  <si>
    <t>GIRALDO</t>
  </si>
  <si>
    <t>HELICONIA</t>
  </si>
  <si>
    <t>LIBORINA</t>
  </si>
  <si>
    <t>OLAYA</t>
  </si>
  <si>
    <t>PEQUE</t>
  </si>
  <si>
    <t>SABANALARGA</t>
  </si>
  <si>
    <t>SAN JERÓNIMO</t>
  </si>
  <si>
    <t>SANTAFÉ DE ANTIOQUIA</t>
  </si>
  <si>
    <t>SOPETRaN</t>
  </si>
  <si>
    <t>URAMITA</t>
  </si>
  <si>
    <t>ABEJORRAL</t>
  </si>
  <si>
    <t>ALEJANDRÍA</t>
  </si>
  <si>
    <t>ARGELIA</t>
  </si>
  <si>
    <t>CARMEN DE VIBORAL</t>
  </si>
  <si>
    <t>COCORNÁ</t>
  </si>
  <si>
    <t>CONCEPCIÓN</t>
  </si>
  <si>
    <t>GRANADA</t>
  </si>
  <si>
    <t>GUARNE</t>
  </si>
  <si>
    <t>GUATAPE</t>
  </si>
  <si>
    <t>LA CEJA</t>
  </si>
  <si>
    <t>LA UNIÓN</t>
  </si>
  <si>
    <t>MARINILLA</t>
  </si>
  <si>
    <t>PEÑOL</t>
  </si>
  <si>
    <t>RETIRO</t>
  </si>
  <si>
    <t>RIONEGRO</t>
  </si>
  <si>
    <t>SAN CARLOS</t>
  </si>
  <si>
    <t>SAN FRANCISCO</t>
  </si>
  <si>
    <t>SAN LUIS</t>
  </si>
  <si>
    <t>SAN RAFAEL</t>
  </si>
  <si>
    <t>SAN VICENTE</t>
  </si>
  <si>
    <t>SANTUARIO</t>
  </si>
  <si>
    <t>SONSON</t>
  </si>
  <si>
    <t>AMAGa</t>
  </si>
  <si>
    <t>ANDES</t>
  </si>
  <si>
    <t>ANGELOPOLIS</t>
  </si>
  <si>
    <t>BETANIA</t>
  </si>
  <si>
    <t>BETULIA</t>
  </si>
  <si>
    <t>CAICEDO</t>
  </si>
  <si>
    <t>CARAMANTA</t>
  </si>
  <si>
    <t>CIUDAD BOLÍVAR</t>
  </si>
  <si>
    <t>CONCORDIA</t>
  </si>
  <si>
    <t>FREDONIA</t>
  </si>
  <si>
    <t>HISPANIA</t>
  </si>
  <si>
    <t>JARDÍN</t>
  </si>
  <si>
    <t>JERICÓ</t>
  </si>
  <si>
    <t>LA PINTADA</t>
  </si>
  <si>
    <t>MONTEBELLO</t>
  </si>
  <si>
    <t>PUEBLORRICO</t>
  </si>
  <si>
    <t>SALGAR</t>
  </si>
  <si>
    <t>SANTA BaRBARA</t>
  </si>
  <si>
    <t>TÁMESIS</t>
  </si>
  <si>
    <t>TARSO</t>
  </si>
  <si>
    <t>TITIRIBÍ</t>
  </si>
  <si>
    <t>URRAO</t>
  </si>
  <si>
    <t>VALPARAISO</t>
  </si>
  <si>
    <t>VENECIA</t>
  </si>
  <si>
    <t>APARTADÓ</t>
  </si>
  <si>
    <t>ARBOLETES</t>
  </si>
  <si>
    <t>CAREPA</t>
  </si>
  <si>
    <t>CHIGORODÓ</t>
  </si>
  <si>
    <t>MURINDÓ</t>
  </si>
  <si>
    <t>MUTATA</t>
  </si>
  <si>
    <t>NECOCLÍ</t>
  </si>
  <si>
    <t>SAN JUAN DE URABA</t>
  </si>
  <si>
    <t>SAN PEDRO DE URABA</t>
  </si>
  <si>
    <t>TURBO</t>
  </si>
  <si>
    <t>VIGÍA DEL FUERTE</t>
  </si>
  <si>
    <t>BARBOSA</t>
  </si>
  <si>
    <t>BELLO</t>
  </si>
  <si>
    <t>COPACABANA</t>
  </si>
  <si>
    <t>ENVIGADO</t>
  </si>
  <si>
    <t>GIRARDOTA</t>
  </si>
  <si>
    <t>ITAGUI</t>
  </si>
  <si>
    <t>LA ESTRELLA</t>
  </si>
  <si>
    <t>MEDELLÍN</t>
  </si>
  <si>
    <t>SABANETA</t>
  </si>
  <si>
    <t>ARAUQUITA</t>
  </si>
  <si>
    <t>CRAVO NORTE</t>
  </si>
  <si>
    <t>FORTUL</t>
  </si>
  <si>
    <t>PUERTO RONDÓN</t>
  </si>
  <si>
    <t>SARAVENA</t>
  </si>
  <si>
    <t>TAME</t>
  </si>
  <si>
    <t>PROVIDENCIA Y SANTA CATALINA</t>
  </si>
  <si>
    <t>SAN ANDReS</t>
  </si>
  <si>
    <t>BARRANQUILLA</t>
  </si>
  <si>
    <t>GALAPA</t>
  </si>
  <si>
    <t>MALAMBO</t>
  </si>
  <si>
    <t>PUERTO COLOMBIA</t>
  </si>
  <si>
    <t>SOLEDAD</t>
  </si>
  <si>
    <t>CAMPO DE LA CRUZ</t>
  </si>
  <si>
    <t>CANDELARIA</t>
  </si>
  <si>
    <t>LURUACO</t>
  </si>
  <si>
    <t>MANATi</t>
  </si>
  <si>
    <t>REPELON</t>
  </si>
  <si>
    <t>SANTA LUCiA</t>
  </si>
  <si>
    <t>SUAN</t>
  </si>
  <si>
    <t>BARANOA</t>
  </si>
  <si>
    <t>PALMAR DE VARELA</t>
  </si>
  <si>
    <t>POLONUEVO</t>
  </si>
  <si>
    <t>PONEDERA</t>
  </si>
  <si>
    <t>Sabanagrande</t>
  </si>
  <si>
    <t>Santo Tomas</t>
  </si>
  <si>
    <t>JUAN DE ACOSTA</t>
  </si>
  <si>
    <t>PIOJÓ</t>
  </si>
  <si>
    <t>TUBARA</t>
  </si>
  <si>
    <t>USIACURi</t>
  </si>
  <si>
    <t>BOGOTA D.C.</t>
  </si>
  <si>
    <t>CICUCO</t>
  </si>
  <si>
    <t>HATILLO DE LOBA</t>
  </si>
  <si>
    <t>MARGARITA</t>
  </si>
  <si>
    <t>MOMPÓS</t>
  </si>
  <si>
    <t>SAN FERNANDO</t>
  </si>
  <si>
    <t>TALAIGUA NUEVO</t>
  </si>
  <si>
    <t>ARJONA</t>
  </si>
  <si>
    <t>ARROYOHONDO</t>
  </si>
  <si>
    <t>CALAMAR</t>
  </si>
  <si>
    <t>CARTAGENA</t>
  </si>
  <si>
    <t>CLEMENCIA</t>
  </si>
  <si>
    <t>MAHATES</t>
  </si>
  <si>
    <t>SAN CRISTOBAL</t>
  </si>
  <si>
    <t>SAN ESTANISLAO</t>
  </si>
  <si>
    <t>SANTA CATALINA</t>
  </si>
  <si>
    <t>SANTA ROSA DE LIMA</t>
  </si>
  <si>
    <t>SOPLAVIENTO</t>
  </si>
  <si>
    <t>TURBACO</t>
  </si>
  <si>
    <t>TURBANA</t>
  </si>
  <si>
    <t>VILLANUEVA</t>
  </si>
  <si>
    <t>ALTOS DEL ROSARIO</t>
  </si>
  <si>
    <t>BARRANCO DE LOBA</t>
  </si>
  <si>
    <t>EL PEÑON</t>
  </si>
  <si>
    <t>REGIDOR</t>
  </si>
  <si>
    <t>RÍO VIEJO</t>
  </si>
  <si>
    <t>SAN MARTIN DE LOBA</t>
  </si>
  <si>
    <t>ARENAL</t>
  </si>
  <si>
    <t>CANTAGALLO</t>
  </si>
  <si>
    <t>MORALES</t>
  </si>
  <si>
    <t>SAN PABLO</t>
  </si>
  <si>
    <t>SANTA ROSA DEL SUR</t>
  </si>
  <si>
    <t>SIMITÍ</t>
  </si>
  <si>
    <t>ACHÍ</t>
  </si>
  <si>
    <t>MAGANGUÉ</t>
  </si>
  <si>
    <t>MONTECRISTO</t>
  </si>
  <si>
    <t>PINILLOS</t>
  </si>
  <si>
    <t>SAN JACINTO DEL CAUCA</t>
  </si>
  <si>
    <t>TIQUISIO</t>
  </si>
  <si>
    <t>CARMEN DE BOLÍVAR</t>
  </si>
  <si>
    <t>CÓRDOBA</t>
  </si>
  <si>
    <t>EL GUAMO</t>
  </si>
  <si>
    <t>MARÍA LA BAJA</t>
  </si>
  <si>
    <t>SAN JACINTO</t>
  </si>
  <si>
    <t>SAN JUAN NEPOMUCENO</t>
  </si>
  <si>
    <t>ZAMBRANO</t>
  </si>
  <si>
    <t>CHÍQUIZA</t>
  </si>
  <si>
    <t>CHIVATÁ</t>
  </si>
  <si>
    <t>CÓMBITA</t>
  </si>
  <si>
    <t>CUCAITA</t>
  </si>
  <si>
    <t>MOTAVITA</t>
  </si>
  <si>
    <t>OICATÁ</t>
  </si>
  <si>
    <t>SAMACÁ</t>
  </si>
  <si>
    <t>SIACHOQUE</t>
  </si>
  <si>
    <t>SORA</t>
  </si>
  <si>
    <t>SORACÁ</t>
  </si>
  <si>
    <t>SOTAQUIRÁ</t>
  </si>
  <si>
    <t>TOCA</t>
  </si>
  <si>
    <t>TUNJA</t>
  </si>
  <si>
    <t>TUTA</t>
  </si>
  <si>
    <t>VENTAQUEMADA</t>
  </si>
  <si>
    <t>CHISCAS</t>
  </si>
  <si>
    <t>CUBARÁ</t>
  </si>
  <si>
    <t>EL COCUY</t>
  </si>
  <si>
    <t>EL ESPINO</t>
  </si>
  <si>
    <t>GUACAMAYAS</t>
  </si>
  <si>
    <t>GÜICÁN</t>
  </si>
  <si>
    <t>PANQUEBA</t>
  </si>
  <si>
    <t>LABRANZAGRANDE</t>
  </si>
  <si>
    <t>PAJARITO</t>
  </si>
  <si>
    <t>PAYA</t>
  </si>
  <si>
    <t>PISBA</t>
  </si>
  <si>
    <t>BERBEO</t>
  </si>
  <si>
    <t>CAMPOHERMOSO</t>
  </si>
  <si>
    <t>MIRAFLORES</t>
  </si>
  <si>
    <t>PÁEZ</t>
  </si>
  <si>
    <t>SAN EDUARDO</t>
  </si>
  <si>
    <t>ZETAQUIRA</t>
  </si>
  <si>
    <t>CIÉNEGA</t>
  </si>
  <si>
    <t>JENESANO</t>
  </si>
  <si>
    <t>NUEVO COLÓN</t>
  </si>
  <si>
    <t>RAMIRIQUÍ</t>
  </si>
  <si>
    <t>RONDÓN</t>
  </si>
  <si>
    <t>TIBANÁ</t>
  </si>
  <si>
    <t>TURMEQUÉ</t>
  </si>
  <si>
    <t>UMBITA</t>
  </si>
  <si>
    <t>VIRACACHÁ</t>
  </si>
  <si>
    <t>CHINAVITA</t>
  </si>
  <si>
    <t>GARAGOA</t>
  </si>
  <si>
    <t>MACANAL</t>
  </si>
  <si>
    <t>PACHAVITA</t>
  </si>
  <si>
    <t>SAN LUIS DE GACENO</t>
  </si>
  <si>
    <t>SANTA MARÍA</t>
  </si>
  <si>
    <t>BOAVITA</t>
  </si>
  <si>
    <t>COVARACHÍA</t>
  </si>
  <si>
    <t>LA UVITA</t>
  </si>
  <si>
    <t>SAN MATEO</t>
  </si>
  <si>
    <t>SATIVANORTE</t>
  </si>
  <si>
    <t>SATIVASUR</t>
  </si>
  <si>
    <t>SOATÁ</t>
  </si>
  <si>
    <t>SUSACÓN</t>
  </si>
  <si>
    <t>TIPACOQUE</t>
  </si>
  <si>
    <t>BUENAVISTA</t>
  </si>
  <si>
    <t>CHIQUINQUIRÁ</t>
  </si>
  <si>
    <t>COPER</t>
  </si>
  <si>
    <t>MARIPÍ</t>
  </si>
  <si>
    <t>MUZO</t>
  </si>
  <si>
    <t>OTANCHE</t>
  </si>
  <si>
    <t>PAUNA</t>
  </si>
  <si>
    <t>PUERTO BOYACa</t>
  </si>
  <si>
    <t>QUÍPAMA</t>
  </si>
  <si>
    <t>SABOYÁ</t>
  </si>
  <si>
    <t>SAN MIGUEL DE SEMA</t>
  </si>
  <si>
    <t>SAN PABLO BORBUR</t>
  </si>
  <si>
    <t>TUNUNGUÁ</t>
  </si>
  <si>
    <t>ALMEIDA</t>
  </si>
  <si>
    <t>CHIVOR</t>
  </si>
  <si>
    <t>GUATEQUE</t>
  </si>
  <si>
    <t>GUAYATÁ</t>
  </si>
  <si>
    <t>LA CAPILLA</t>
  </si>
  <si>
    <t>SOMONDOCO</t>
  </si>
  <si>
    <t>SUTATENZA</t>
  </si>
  <si>
    <t>TENZA</t>
  </si>
  <si>
    <t>ARCABUCO</t>
  </si>
  <si>
    <t>CHITARAQUE</t>
  </si>
  <si>
    <t>GACHANTIVÁ</t>
  </si>
  <si>
    <t>MONIQUIRÁ</t>
  </si>
  <si>
    <t>RÁQUIRA</t>
  </si>
  <si>
    <t>SÁCHICA</t>
  </si>
  <si>
    <t>SAN JOSÉ DE PARE</t>
  </si>
  <si>
    <t>SANTA SOFÍA</t>
  </si>
  <si>
    <t>SANTANA</t>
  </si>
  <si>
    <t>SUTAMARCHÁN</t>
  </si>
  <si>
    <t>TINJACÁ</t>
  </si>
  <si>
    <t>TOGÜÍ</t>
  </si>
  <si>
    <t>VILLA DE LEYVA</t>
  </si>
  <si>
    <t>AQUITANIA</t>
  </si>
  <si>
    <t>CUÍTIVA</t>
  </si>
  <si>
    <t>FIRAVITOBA</t>
  </si>
  <si>
    <t>GAMEZA</t>
  </si>
  <si>
    <t>IZA</t>
  </si>
  <si>
    <t>MONGUA</t>
  </si>
  <si>
    <t>MONGUÍ</t>
  </si>
  <si>
    <t>NOBSA</t>
  </si>
  <si>
    <t>PESCA</t>
  </si>
  <si>
    <t>SOGAMOSO</t>
  </si>
  <si>
    <t>TIBASOSA</t>
  </si>
  <si>
    <t>TÓPAGA</t>
  </si>
  <si>
    <t>TOTA</t>
  </si>
  <si>
    <t>BELÉN</t>
  </si>
  <si>
    <t>BUSBANZÁ</t>
  </si>
  <si>
    <t>CERINZA</t>
  </si>
  <si>
    <t>CORRALES</t>
  </si>
  <si>
    <t>DUITAMA</t>
  </si>
  <si>
    <t>FLORESTA</t>
  </si>
  <si>
    <t>PAIPA</t>
  </si>
  <si>
    <t>SAN ROSA VITERBO</t>
  </si>
  <si>
    <t>TUTAZÁ</t>
  </si>
  <si>
    <t>BETÉITIVA</t>
  </si>
  <si>
    <t>CHITA</t>
  </si>
  <si>
    <t>PAZ DE RÍO</t>
  </si>
  <si>
    <t>SOCHA</t>
  </si>
  <si>
    <t>SOCOTÁ</t>
  </si>
  <si>
    <t>TASCO</t>
  </si>
  <si>
    <t>FILADELFIA</t>
  </si>
  <si>
    <t>LA MERCED</t>
  </si>
  <si>
    <t>MARMATO</t>
  </si>
  <si>
    <t>RIOSUCIO</t>
  </si>
  <si>
    <t>SUPÍA</t>
  </si>
  <si>
    <t>MANZANARES</t>
  </si>
  <si>
    <t>MARQUETALIA</t>
  </si>
  <si>
    <t>MARULANDA</t>
  </si>
  <si>
    <t>PENSILVANIA</t>
  </si>
  <si>
    <t>ANSERMA</t>
  </si>
  <si>
    <t>BELALCÁZAR</t>
  </si>
  <si>
    <t>SAN JOSÉ</t>
  </si>
  <si>
    <t>VITERBO</t>
  </si>
  <si>
    <t>CHINCHINa</t>
  </si>
  <si>
    <t>MANIZALES</t>
  </si>
  <si>
    <t>NEIRA</t>
  </si>
  <si>
    <t>PALESTINA</t>
  </si>
  <si>
    <t>VILLAMARiA</t>
  </si>
  <si>
    <t>AGUADAS</t>
  </si>
  <si>
    <t>ARANZAZU</t>
  </si>
  <si>
    <t>PÁCORA</t>
  </si>
  <si>
    <t>SALAMINA</t>
  </si>
  <si>
    <t>LA DORADA</t>
  </si>
  <si>
    <t>NORCASIA</t>
  </si>
  <si>
    <t>SAMANÁ</t>
  </si>
  <si>
    <t>VICTORIA</t>
  </si>
  <si>
    <t>ALBANIA</t>
  </si>
  <si>
    <t>BELÉN DE LOS ANDAQUIES</t>
  </si>
  <si>
    <t>CARTAGENA DEL CHAIRÁ</t>
  </si>
  <si>
    <t>CURRILLO</t>
  </si>
  <si>
    <t>EL DONCELLO</t>
  </si>
  <si>
    <t>EL PAUJIL</t>
  </si>
  <si>
    <t>FLORENCIA</t>
  </si>
  <si>
    <t>LA MONTAÑITA</t>
  </si>
  <si>
    <t>MILaN</t>
  </si>
  <si>
    <t>MORELIA</t>
  </si>
  <si>
    <t>PUERTO RICO</t>
  </si>
  <si>
    <t>SAN JOSE DEL FRAGUA</t>
  </si>
  <si>
    <t>SAN VICENTE DEL CAGUÁN</t>
  </si>
  <si>
    <t>SOLANO</t>
  </si>
  <si>
    <t>SOLITA</t>
  </si>
  <si>
    <t>AGUAZUL</t>
  </si>
  <si>
    <t>CHAMEZA</t>
  </si>
  <si>
    <t>HATO COROZAL</t>
  </si>
  <si>
    <t>LA SALINA</t>
  </si>
  <si>
    <t>MANÍ</t>
  </si>
  <si>
    <t>MONTERREY</t>
  </si>
  <si>
    <t>NUNCHÍA</t>
  </si>
  <si>
    <t>OROCUÉ</t>
  </si>
  <si>
    <t>PAZ DE ARIPORO</t>
  </si>
  <si>
    <t>PORE</t>
  </si>
  <si>
    <t>RECETOR</t>
  </si>
  <si>
    <t>SÁCAMA</t>
  </si>
  <si>
    <t>SAN LUIS DE PALENQUE</t>
  </si>
  <si>
    <t>TÁMARA</t>
  </si>
  <si>
    <t>TAURAMENA</t>
  </si>
  <si>
    <t>TRINIDAD</t>
  </si>
  <si>
    <t>YOPAL</t>
  </si>
  <si>
    <t>CAJIBÍO</t>
  </si>
  <si>
    <t>EL TAMBO</t>
  </si>
  <si>
    <t>LA SIERRA</t>
  </si>
  <si>
    <t>PIENDAMO</t>
  </si>
  <si>
    <t>POPAYÁN</t>
  </si>
  <si>
    <t>ROSAS</t>
  </si>
  <si>
    <t>SOTARA</t>
  </si>
  <si>
    <t>TIMBIO</t>
  </si>
  <si>
    <t>BUENOS AIRES</t>
  </si>
  <si>
    <t>CALOTO</t>
  </si>
  <si>
    <t>CORINTO</t>
  </si>
  <si>
    <t>MIRANDA</t>
  </si>
  <si>
    <t>PADILLA</t>
  </si>
  <si>
    <t>PUERTO TEJADA</t>
  </si>
  <si>
    <t>SANTANDER DE QUILICHAO</t>
  </si>
  <si>
    <t>SUAREZ</t>
  </si>
  <si>
    <t>VILLA RICA</t>
  </si>
  <si>
    <t>GUAPI</t>
  </si>
  <si>
    <t>LOPEZ</t>
  </si>
  <si>
    <t>TIMBIQUI</t>
  </si>
  <si>
    <t>CALDONO</t>
  </si>
  <si>
    <t>INZÁ</t>
  </si>
  <si>
    <t>JAMBALO</t>
  </si>
  <si>
    <t>PAEZ</t>
  </si>
  <si>
    <t>PURACE</t>
  </si>
  <si>
    <t>Silvia</t>
  </si>
  <si>
    <t>TORIBIO</t>
  </si>
  <si>
    <t>TOTORO</t>
  </si>
  <si>
    <t>ALMAGUER</t>
  </si>
  <si>
    <t>BALBOA</t>
  </si>
  <si>
    <t>BOLÍVAR</t>
  </si>
  <si>
    <t>LA VEGA</t>
  </si>
  <si>
    <t>MERCADERES</t>
  </si>
  <si>
    <t>PATIA</t>
  </si>
  <si>
    <t>PIAMONTE</t>
  </si>
  <si>
    <t>SAN SEBASTIAN</t>
  </si>
  <si>
    <t>SANTA ROSA</t>
  </si>
  <si>
    <t>BECERRIL</t>
  </si>
  <si>
    <t>CHIMICHAGUA</t>
  </si>
  <si>
    <t>CHIRIGUANA</t>
  </si>
  <si>
    <t>CURUMANÍ</t>
  </si>
  <si>
    <t>LA JAGUA DE IBIRICO</t>
  </si>
  <si>
    <t>PAILITAS</t>
  </si>
  <si>
    <t>TAMALAMEQUE</t>
  </si>
  <si>
    <t>ASTREA</t>
  </si>
  <si>
    <t>BOSCONIA</t>
  </si>
  <si>
    <t>EL COPEY</t>
  </si>
  <si>
    <t>EL PASO</t>
  </si>
  <si>
    <t>AGUSTÍN CODAZZI</t>
  </si>
  <si>
    <t>LA PAZ</t>
  </si>
  <si>
    <t>MANAURE</t>
  </si>
  <si>
    <t>PUEBLO BELLO</t>
  </si>
  <si>
    <t>SAN DIEGO</t>
  </si>
  <si>
    <t>VALLEDUPAR</t>
  </si>
  <si>
    <t>AGUACHICA</t>
  </si>
  <si>
    <t>GAMARRA</t>
  </si>
  <si>
    <t>GONZÁLEZ</t>
  </si>
  <si>
    <t>LA GLORIA</t>
  </si>
  <si>
    <t>PELAYA</t>
  </si>
  <si>
    <t>RÍO DE ORO</t>
  </si>
  <si>
    <t>SAN ALBERTO</t>
  </si>
  <si>
    <t>SAN MARTÍN</t>
  </si>
  <si>
    <t>ATRATO</t>
  </si>
  <si>
    <t>BAGADÓ</t>
  </si>
  <si>
    <t>BOJAYA</t>
  </si>
  <si>
    <t>EL CARMEN DE ATRATO</t>
  </si>
  <si>
    <t>LLORÓ</t>
  </si>
  <si>
    <t>MEDIO ATRATO</t>
  </si>
  <si>
    <t>QUIBDÓ</t>
  </si>
  <si>
    <t>RIO QUITO</t>
  </si>
  <si>
    <t>ACANDÍ</t>
  </si>
  <si>
    <t>BELÉN DE BAJIRA</t>
  </si>
  <si>
    <t>CARMÉN DEL DARIÉN</t>
  </si>
  <si>
    <t>UNGUÍA</t>
  </si>
  <si>
    <t>BAHÍA SOLANO</t>
  </si>
  <si>
    <t>JURADÓ</t>
  </si>
  <si>
    <t>NUQUÍ</t>
  </si>
  <si>
    <t>ALTO BAUDÓ</t>
  </si>
  <si>
    <t>BAJO BAUDÓ</t>
  </si>
  <si>
    <t>El Litoral del San Juan</t>
  </si>
  <si>
    <t>MEDIO BAUDÓ</t>
  </si>
  <si>
    <t>CANTON DE SAN PABLO</t>
  </si>
  <si>
    <t>CERTEGUI</t>
  </si>
  <si>
    <t>CONDOTO</t>
  </si>
  <si>
    <t>ITSMINA</t>
  </si>
  <si>
    <t>MEDIO SAN JUAN</t>
  </si>
  <si>
    <t>NÓVITA</t>
  </si>
  <si>
    <t>RÍO FRÍO</t>
  </si>
  <si>
    <t>SAN JOSÉ DEL PALMAR</t>
  </si>
  <si>
    <t>SIPÍ</t>
  </si>
  <si>
    <t>TADÓ</t>
  </si>
  <si>
    <t>UNION PANAMERICANA</t>
  </si>
  <si>
    <t>TIERRALTA</t>
  </si>
  <si>
    <t>VALENCIA</t>
  </si>
  <si>
    <t>CHIMÁ</t>
  </si>
  <si>
    <t>COTORRA</t>
  </si>
  <si>
    <t>LORICA</t>
  </si>
  <si>
    <t>MOMIL</t>
  </si>
  <si>
    <t>PURÍSIMA</t>
  </si>
  <si>
    <t>MONTERÍA</t>
  </si>
  <si>
    <t>CANALETE</t>
  </si>
  <si>
    <t>LOS CÓRDOBAS</t>
  </si>
  <si>
    <t>MOÑITOS</t>
  </si>
  <si>
    <t>PUERTO ESCONDIDO</t>
  </si>
  <si>
    <t>SAN ANTERO</t>
  </si>
  <si>
    <t>SAN BERNARDO DEL VIENTO</t>
  </si>
  <si>
    <t>CHINÚ</t>
  </si>
  <si>
    <t>SAHAGÚN</t>
  </si>
  <si>
    <t>SAN ANDRÉS SOTAVENTO</t>
  </si>
  <si>
    <t>AYAPEL</t>
  </si>
  <si>
    <t>LA APARTADA</t>
  </si>
  <si>
    <t>MONTELÍBANO</t>
  </si>
  <si>
    <t>PLANETA RICA</t>
  </si>
  <si>
    <t>PUEBLO NUEVO</t>
  </si>
  <si>
    <t>PUERTO LIBERTADOR</t>
  </si>
  <si>
    <t>CERETÉ</t>
  </si>
  <si>
    <t>CIÉNAGA DE ORO</t>
  </si>
  <si>
    <t>SAN PELAYO</t>
  </si>
  <si>
    <t>CHOCONTÁ</t>
  </si>
  <si>
    <t>MACHETA</t>
  </si>
  <si>
    <t>MANTA</t>
  </si>
  <si>
    <t>SESQUILÉ</t>
  </si>
  <si>
    <t>SUESCA</t>
  </si>
  <si>
    <t>TIBIRITA</t>
  </si>
  <si>
    <t>VILLAPINZÓN</t>
  </si>
  <si>
    <t>AGUA DE DIOS</t>
  </si>
  <si>
    <t>GIRARDOT</t>
  </si>
  <si>
    <t>GUATAQUÍ</t>
  </si>
  <si>
    <t>JERUSALÉN</t>
  </si>
  <si>
    <t>NILO</t>
  </si>
  <si>
    <t>RICAURTE</t>
  </si>
  <si>
    <t>TOCAIMA</t>
  </si>
  <si>
    <t>CAPARRAPÍ</t>
  </si>
  <si>
    <t>GUADUAS</t>
  </si>
  <si>
    <t>PUERTO SALGAR</t>
  </si>
  <si>
    <t>ALBÁN</t>
  </si>
  <si>
    <t>LA PEÑA</t>
  </si>
  <si>
    <t>NIMAIMA</t>
  </si>
  <si>
    <t>NOCAIMA</t>
  </si>
  <si>
    <t>QUEBRADANEGRA</t>
  </si>
  <si>
    <t>SASAIMA</t>
  </si>
  <si>
    <t>SUPATÁ</t>
  </si>
  <si>
    <t>ÚTICA</t>
  </si>
  <si>
    <t>VERGARA</t>
  </si>
  <si>
    <t>VILLETA</t>
  </si>
  <si>
    <t>GACHALA</t>
  </si>
  <si>
    <t>GACHETA</t>
  </si>
  <si>
    <t>GAMA</t>
  </si>
  <si>
    <t>GUASCA</t>
  </si>
  <si>
    <t>GUATAVITA</t>
  </si>
  <si>
    <t>JUNÍN</t>
  </si>
  <si>
    <t>LA CALERA</t>
  </si>
  <si>
    <t>UBALÁ</t>
  </si>
  <si>
    <t>BELTRÁN</t>
  </si>
  <si>
    <t>BITUIMA</t>
  </si>
  <si>
    <t>CHAGUANÍ</t>
  </si>
  <si>
    <t>GUAYABAL DE SIQUIMA</t>
  </si>
  <si>
    <t>PULI</t>
  </si>
  <si>
    <t>SAN JUAN DE RÍO SECO</t>
  </si>
  <si>
    <t>VIANÍ</t>
  </si>
  <si>
    <t>MEDINA</t>
  </si>
  <si>
    <t>PARATEBUENO</t>
  </si>
  <si>
    <t>CAQUEZA</t>
  </si>
  <si>
    <t>CHIPAQUE</t>
  </si>
  <si>
    <t>CHOACHÍ</t>
  </si>
  <si>
    <t>FOMEQUE</t>
  </si>
  <si>
    <t>FOSCA</t>
  </si>
  <si>
    <t>GUAYABETAL</t>
  </si>
  <si>
    <t>GUTIÉRREZ</t>
  </si>
  <si>
    <t>QUETAME</t>
  </si>
  <si>
    <t>UBAQUE</t>
  </si>
  <si>
    <t>UNE</t>
  </si>
  <si>
    <t>EL PEÑÓN</t>
  </si>
  <si>
    <t>LA PALMA</t>
  </si>
  <si>
    <t>PACHO</t>
  </si>
  <si>
    <t>PAIME</t>
  </si>
  <si>
    <t>SAN CAYETANO</t>
  </si>
  <si>
    <t>TOPAIPI</t>
  </si>
  <si>
    <t>VILLAGOMEZ</t>
  </si>
  <si>
    <t>YACOPÍ</t>
  </si>
  <si>
    <t>CAJICÁ</t>
  </si>
  <si>
    <t>CHÍA</t>
  </si>
  <si>
    <t>COGUA</t>
  </si>
  <si>
    <t>GACHANCIPÁ</t>
  </si>
  <si>
    <t>NEMOCoN</t>
  </si>
  <si>
    <t>SOPÓ</t>
  </si>
  <si>
    <t>TABIO</t>
  </si>
  <si>
    <t>TOCANCIPÁ</t>
  </si>
  <si>
    <t>ZIPAQUIRÁ</t>
  </si>
  <si>
    <t>BOJACÁ</t>
  </si>
  <si>
    <t>COTA</t>
  </si>
  <si>
    <t>EL ROSAL</t>
  </si>
  <si>
    <t>FACATATIVÁ</t>
  </si>
  <si>
    <t>FUNZA</t>
  </si>
  <si>
    <t>MADRID</t>
  </si>
  <si>
    <t>MOSQUERA</t>
  </si>
  <si>
    <t>SUBACHOQUE</t>
  </si>
  <si>
    <t>TENJO</t>
  </si>
  <si>
    <t>ZIPACoN</t>
  </si>
  <si>
    <t>SIBATÉ</t>
  </si>
  <si>
    <t>SOACHA</t>
  </si>
  <si>
    <t>ARBELÁEZ</t>
  </si>
  <si>
    <t>CABRERA</t>
  </si>
  <si>
    <t>FUSAGASUGÁ</t>
  </si>
  <si>
    <t>PANDI</t>
  </si>
  <si>
    <t>PASCA</t>
  </si>
  <si>
    <t>SAN BERNARDO</t>
  </si>
  <si>
    <t>SILVANIA</t>
  </si>
  <si>
    <t>TIBACUY</t>
  </si>
  <si>
    <t>ANAPOIMA</t>
  </si>
  <si>
    <t>ANOLAIMA</t>
  </si>
  <si>
    <t>APULO</t>
  </si>
  <si>
    <t>CACHIPAY</t>
  </si>
  <si>
    <t>EL COLEGIO</t>
  </si>
  <si>
    <t>LA MESA</t>
  </si>
  <si>
    <t>QUIPILE</t>
  </si>
  <si>
    <t>SAN ANTONIO DE TEQUENDAMA</t>
  </si>
  <si>
    <t>TENA</t>
  </si>
  <si>
    <t>VIOTÁ</t>
  </si>
  <si>
    <t>CARMEN DE CARUPA</t>
  </si>
  <si>
    <t>CUCUNUBÁ</t>
  </si>
  <si>
    <t>FÚQUENE</t>
  </si>
  <si>
    <t>GUACHETÁ</t>
  </si>
  <si>
    <t>LENGUAZAQUE</t>
  </si>
  <si>
    <t>SIMIJACA</t>
  </si>
  <si>
    <t>SUSA</t>
  </si>
  <si>
    <t>SUTATAUSA</t>
  </si>
  <si>
    <t>TAUSA</t>
  </si>
  <si>
    <t>UBATE</t>
  </si>
  <si>
    <t>BARRANCO MINA</t>
  </si>
  <si>
    <t>CACAHUAL</t>
  </si>
  <si>
    <t>INÍRIDA</t>
  </si>
  <si>
    <t>LA GUADALUPE</t>
  </si>
  <si>
    <t>MAPIRIPaN</t>
  </si>
  <si>
    <t>MORICHAL</t>
  </si>
  <si>
    <t>PANA PANA</t>
  </si>
  <si>
    <t>SAN FELIPE</t>
  </si>
  <si>
    <t>EL RETORNO</t>
  </si>
  <si>
    <t>SAN JOSÉ DEL GUAVIARE</t>
  </si>
  <si>
    <t>AGRADO</t>
  </si>
  <si>
    <t>ALTAMIRA</t>
  </si>
  <si>
    <t>GARZÓN</t>
  </si>
  <si>
    <t>GIGANTE</t>
  </si>
  <si>
    <t>PITAL</t>
  </si>
  <si>
    <t>SUAZA</t>
  </si>
  <si>
    <t>TARQUI</t>
  </si>
  <si>
    <t>AIPE</t>
  </si>
  <si>
    <t>ALGECIRAS</t>
  </si>
  <si>
    <t>BARAYA</t>
  </si>
  <si>
    <t>CAMPOALEGRE</t>
  </si>
  <si>
    <t>COLOMBIA</t>
  </si>
  <si>
    <t>HOBO</t>
  </si>
  <si>
    <t>IQUIRA</t>
  </si>
  <si>
    <t>NEIVA</t>
  </si>
  <si>
    <t>PALERMO</t>
  </si>
  <si>
    <t>RIVERA</t>
  </si>
  <si>
    <t>TELLO</t>
  </si>
  <si>
    <t>TERUEL</t>
  </si>
  <si>
    <t>VILLAVIEJA</t>
  </si>
  <si>
    <t>YAGUARÁ</t>
  </si>
  <si>
    <t>LA ARGENTINA</t>
  </si>
  <si>
    <t>LA PLATA</t>
  </si>
  <si>
    <t>NÁTAGA</t>
  </si>
  <si>
    <t>PAICOL</t>
  </si>
  <si>
    <t>TESALIA</t>
  </si>
  <si>
    <t>ACEVEDO</t>
  </si>
  <si>
    <t>ELÍAS</t>
  </si>
  <si>
    <t>ISNOS</t>
  </si>
  <si>
    <t>OPORAPA</t>
  </si>
  <si>
    <t>PITALITO</t>
  </si>
  <si>
    <t>SALADOBLANCO</t>
  </si>
  <si>
    <t>SAN AGUSTÍN</t>
  </si>
  <si>
    <t>TIMANÁ</t>
  </si>
  <si>
    <t>DIBULLA</t>
  </si>
  <si>
    <t>MAICAO</t>
  </si>
  <si>
    <t>RIOHACHA</t>
  </si>
  <si>
    <t>URIBIA</t>
  </si>
  <si>
    <t>BARRANCAS</t>
  </si>
  <si>
    <t>DISTRACCION</t>
  </si>
  <si>
    <t>EL MOLINO</t>
  </si>
  <si>
    <t>FONSECA</t>
  </si>
  <si>
    <t>HATONUEVO</t>
  </si>
  <si>
    <t>LA JAGUA DEL PILAR</t>
  </si>
  <si>
    <t>SAN JUAN DEL CESAR</t>
  </si>
  <si>
    <t>URUMITA</t>
  </si>
  <si>
    <t>ARIGUANÍ</t>
  </si>
  <si>
    <t>CHIBOLO</t>
  </si>
  <si>
    <t>NUEVA GRANADA</t>
  </si>
  <si>
    <t>PLATO</t>
  </si>
  <si>
    <t>SABANAS DE SAN ANGEL</t>
  </si>
  <si>
    <t>TENERIFE</t>
  </si>
  <si>
    <t>ALGARROBO</t>
  </si>
  <si>
    <t>ARACATACA</t>
  </si>
  <si>
    <t>CIÉNAGA</t>
  </si>
  <si>
    <t>EL RETEN</t>
  </si>
  <si>
    <t>FUNDACION</t>
  </si>
  <si>
    <t>PUEBLO VIEJO</t>
  </si>
  <si>
    <t>ZONA BANANERA</t>
  </si>
  <si>
    <t>CERRO SAN ANTONIO</t>
  </si>
  <si>
    <t>EL PIÑON</t>
  </si>
  <si>
    <t>PEDRAZA</t>
  </si>
  <si>
    <t>PIVIJAY</t>
  </si>
  <si>
    <t>REMOLINO</t>
  </si>
  <si>
    <t>SITIONUEVO</t>
  </si>
  <si>
    <t>ZAPAYAN</t>
  </si>
  <si>
    <t>SANTA MARTA</t>
  </si>
  <si>
    <t>EL BANCO</t>
  </si>
  <si>
    <t>GUAMAL</t>
  </si>
  <si>
    <t>PIJIÑO DEL CARMEN</t>
  </si>
  <si>
    <t>SAN SEBASTIAN DE BUENAVISTA</t>
  </si>
  <si>
    <t>SAN ZENON</t>
  </si>
  <si>
    <t>SANTA ANA</t>
  </si>
  <si>
    <t>SANTA BARBARA DE PINTO</t>
  </si>
  <si>
    <t>EL CASTILLO</t>
  </si>
  <si>
    <t>EL DORADO</t>
  </si>
  <si>
    <t>FUENTE DE ORO</t>
  </si>
  <si>
    <t>LA MACARENA</t>
  </si>
  <si>
    <t>LA URIBE</t>
  </si>
  <si>
    <t>LEJANÍAS</t>
  </si>
  <si>
    <t>MESETAS</t>
  </si>
  <si>
    <t>PUERTO CONCORDIA</t>
  </si>
  <si>
    <t>PUERTO LLERAS</t>
  </si>
  <si>
    <t>SAN JUAN DE ARAMA</t>
  </si>
  <si>
    <t>VISTA HERMOSA</t>
  </si>
  <si>
    <t>VILLAVICENCIO</t>
  </si>
  <si>
    <t>ACACiAS</t>
  </si>
  <si>
    <t>BARRANCA DE UPIA</t>
  </si>
  <si>
    <t>CASTILLA LA NUEVA</t>
  </si>
  <si>
    <t>CUMARAL</t>
  </si>
  <si>
    <t>EL CALVARIO</t>
  </si>
  <si>
    <t>RESTREPO</t>
  </si>
  <si>
    <t>SAN CARLOS GUAROA</t>
  </si>
  <si>
    <t>SAN JUANITO</t>
  </si>
  <si>
    <t>SAN LUIS DE CUBARRAL</t>
  </si>
  <si>
    <t>CABUYARO</t>
  </si>
  <si>
    <t>PUERTO GAITÁN</t>
  </si>
  <si>
    <t>PUERTO LoPEZ</t>
  </si>
  <si>
    <t>CHACHAGUI</t>
  </si>
  <si>
    <t>CONSACA</t>
  </si>
  <si>
    <t>EL PEÑOL</t>
  </si>
  <si>
    <t>LA FLORIDA</t>
  </si>
  <si>
    <t>PASTO</t>
  </si>
  <si>
    <t>SANDONÁ</t>
  </si>
  <si>
    <t>TANGUA</t>
  </si>
  <si>
    <t>YACUANQUER</t>
  </si>
  <si>
    <t>ANCUYA</t>
  </si>
  <si>
    <t>GUAITARILLA</t>
  </si>
  <si>
    <t>LA LLANADA</t>
  </si>
  <si>
    <t>LINARES</t>
  </si>
  <si>
    <t>LOS ANDES</t>
  </si>
  <si>
    <t>MALLAMA</t>
  </si>
  <si>
    <t>OSPINA</t>
  </si>
  <si>
    <t>PROVIDENCIA</t>
  </si>
  <si>
    <t>SAMANIEGO</t>
  </si>
  <si>
    <t>SANTA CRUZ</t>
  </si>
  <si>
    <t>SAPUYES</t>
  </si>
  <si>
    <t>TUQUERRES</t>
  </si>
  <si>
    <t>BARBACOAS</t>
  </si>
  <si>
    <t>EL CHARCO</t>
  </si>
  <si>
    <t>FRANCISCO PIZARRO</t>
  </si>
  <si>
    <t>LA TOLA</t>
  </si>
  <si>
    <t>Magui</t>
  </si>
  <si>
    <t>OLAYA HERRERA</t>
  </si>
  <si>
    <t>ROBERTO PAYAN</t>
  </si>
  <si>
    <t>TUMACO</t>
  </si>
  <si>
    <t>ALBAN</t>
  </si>
  <si>
    <t>ARBOLEDA</t>
  </si>
  <si>
    <t>BELEN</t>
  </si>
  <si>
    <t>BUESACO</t>
  </si>
  <si>
    <t>COLON</t>
  </si>
  <si>
    <t>CUMBITARA</t>
  </si>
  <si>
    <t>EL ROSARIO</t>
  </si>
  <si>
    <t>El Tablon de Gomez</t>
  </si>
  <si>
    <t>LA CRUZ</t>
  </si>
  <si>
    <t>LA UNION</t>
  </si>
  <si>
    <t>LEIVA</t>
  </si>
  <si>
    <t>POLICARPA</t>
  </si>
  <si>
    <t>SAN LORENZO</t>
  </si>
  <si>
    <t>SAN PEDRO DE CARTAGO</t>
  </si>
  <si>
    <t>TAMINANGO</t>
  </si>
  <si>
    <t>ALDANA</t>
  </si>
  <si>
    <t>CONTADERO</t>
  </si>
  <si>
    <t>CUASPUD</t>
  </si>
  <si>
    <t>CUMBAL</t>
  </si>
  <si>
    <t>FUNES</t>
  </si>
  <si>
    <t>GUACHUCAL</t>
  </si>
  <si>
    <t>GUALMATAN</t>
  </si>
  <si>
    <t>ILES</t>
  </si>
  <si>
    <t>IMUES</t>
  </si>
  <si>
    <t>IPIALES</t>
  </si>
  <si>
    <t>POTOSÍ</t>
  </si>
  <si>
    <t>PUERRES</t>
  </si>
  <si>
    <t>PUPIALES</t>
  </si>
  <si>
    <t>ARBOLEDAS</t>
  </si>
  <si>
    <t>CUCUTILLA</t>
  </si>
  <si>
    <t>GRAMALOTE</t>
  </si>
  <si>
    <t>LOURDES</t>
  </si>
  <si>
    <t>SALAZAR</t>
  </si>
  <si>
    <t>SANTIAGO</t>
  </si>
  <si>
    <t>VILLA CARO</t>
  </si>
  <si>
    <t>BUCARASICA</t>
  </si>
  <si>
    <t>EL TARRA</t>
  </si>
  <si>
    <t>SARDINATA</t>
  </si>
  <si>
    <t>TIBÚ</t>
  </si>
  <si>
    <t>ABREGO</t>
  </si>
  <si>
    <t>CACHIRÁ</t>
  </si>
  <si>
    <t>CONVENCIÓN</t>
  </si>
  <si>
    <t>EL CARMEN</t>
  </si>
  <si>
    <t>HACARÍ</t>
  </si>
  <si>
    <t>LA ESPERANZA</t>
  </si>
  <si>
    <t>LA PLAYA</t>
  </si>
  <si>
    <t>OCAÑA</t>
  </si>
  <si>
    <t>SAN CALIXTO</t>
  </si>
  <si>
    <t>TEORAMA</t>
  </si>
  <si>
    <t>CÚCUTA</t>
  </si>
  <si>
    <t>EL ZULIA</t>
  </si>
  <si>
    <t>LOS PATIOS</t>
  </si>
  <si>
    <t>VILLA DEL ROSARIO</t>
  </si>
  <si>
    <t>CÁCOTA</t>
  </si>
  <si>
    <t>CHITAGÁ</t>
  </si>
  <si>
    <t>MUTISCUA</t>
  </si>
  <si>
    <t>PAMPLONA</t>
  </si>
  <si>
    <t>PAMPLONITA</t>
  </si>
  <si>
    <t>SILOS</t>
  </si>
  <si>
    <t>BOCHALEMA</t>
  </si>
  <si>
    <t>CHINÁCOTA</t>
  </si>
  <si>
    <t>DURANIA</t>
  </si>
  <si>
    <t>HERRÁN</t>
  </si>
  <si>
    <t>LABATECA</t>
  </si>
  <si>
    <t>RAGONVALIA</t>
  </si>
  <si>
    <t>COLÓN</t>
  </si>
  <si>
    <t>MOCOA</t>
  </si>
  <si>
    <t>ORITO</t>
  </si>
  <si>
    <t>PUERTO ASIS</t>
  </si>
  <si>
    <t>PUERTO CAICEDO</t>
  </si>
  <si>
    <t>PUERTO GUZMAN</t>
  </si>
  <si>
    <t>PUERTO LEGUIZAMO</t>
  </si>
  <si>
    <t>SAN MIGUEL</t>
  </si>
  <si>
    <t>SIBUNDOY</t>
  </si>
  <si>
    <t>VALLE DEL GUAMUEZ</t>
  </si>
  <si>
    <t>VILLA GARZON</t>
  </si>
  <si>
    <t>CALARCA</t>
  </si>
  <si>
    <t>CoRDOBA</t>
  </si>
  <si>
    <t>GeNOVA</t>
  </si>
  <si>
    <t>PIJAO</t>
  </si>
  <si>
    <t>FILANDIA</t>
  </si>
  <si>
    <t>SALENTO</t>
  </si>
  <si>
    <t>CIRCASIA</t>
  </si>
  <si>
    <t>LA TEBAIDA</t>
  </si>
  <si>
    <t>Montengro</t>
  </si>
  <si>
    <t>QUIMBAYA</t>
  </si>
  <si>
    <t>DOSQUEBRADAS</t>
  </si>
  <si>
    <t>LA VIRGINIA</t>
  </si>
  <si>
    <t>MARSELLA</t>
  </si>
  <si>
    <t>PEREIRA</t>
  </si>
  <si>
    <t>SANTA ROSA DE CABAL</t>
  </si>
  <si>
    <t>APÍA</t>
  </si>
  <si>
    <t>BELÉN DE UMBRÍA</t>
  </si>
  <si>
    <t>GUÁTICA</t>
  </si>
  <si>
    <t>LA CELIA</t>
  </si>
  <si>
    <t>QUINCHiA</t>
  </si>
  <si>
    <t>MISTRATÓ</t>
  </si>
  <si>
    <t>PUEBLO RICO</t>
  </si>
  <si>
    <t>CHIMA</t>
  </si>
  <si>
    <t>CONFINES</t>
  </si>
  <si>
    <t>CONTRATACIÓN</t>
  </si>
  <si>
    <t>EL GUACAMAYO</t>
  </si>
  <si>
    <t>GALÁN</t>
  </si>
  <si>
    <t>GAMBITA</t>
  </si>
  <si>
    <t>GUAPOTÁ</t>
  </si>
  <si>
    <t>HATO</t>
  </si>
  <si>
    <t>OIBA</t>
  </si>
  <si>
    <t>PALMAR</t>
  </si>
  <si>
    <t>PALMAS DEL SOCORRO</t>
  </si>
  <si>
    <t>SANTA HELENA DEL OPÓN</t>
  </si>
  <si>
    <t>SIMACOTA</t>
  </si>
  <si>
    <t>SOCORRO</t>
  </si>
  <si>
    <t>SUAITA</t>
  </si>
  <si>
    <t>CAPITANEJO</t>
  </si>
  <si>
    <t>CARCASÍ</t>
  </si>
  <si>
    <t>CEPITÁ</t>
  </si>
  <si>
    <t>CERRITO</t>
  </si>
  <si>
    <t>ENCISO</t>
  </si>
  <si>
    <t>GUACA</t>
  </si>
  <si>
    <t>MACARAVITA</t>
  </si>
  <si>
    <t>MÁLAGA</t>
  </si>
  <si>
    <t>MOLAGAVITA</t>
  </si>
  <si>
    <t>SAN JOSÉ DE MIRANDA</t>
  </si>
  <si>
    <t>ARATOCA</t>
  </si>
  <si>
    <t>BARICHARA</t>
  </si>
  <si>
    <t>CHARALÁ</t>
  </si>
  <si>
    <t>COROMORO</t>
  </si>
  <si>
    <t>CURITÍ</t>
  </si>
  <si>
    <t>ENCINO</t>
  </si>
  <si>
    <t>JORDÁN</t>
  </si>
  <si>
    <t>MOGOTES</t>
  </si>
  <si>
    <t>OCAMONTE</t>
  </si>
  <si>
    <t>ONZAGA</t>
  </si>
  <si>
    <t>PÁRAMO</t>
  </si>
  <si>
    <t>PINCHOTE</t>
  </si>
  <si>
    <t>SAN GIL</t>
  </si>
  <si>
    <t>SAN JOAQUÍN</t>
  </si>
  <si>
    <t>VALLE DE SAN JOSÉ</t>
  </si>
  <si>
    <t>BARRANCABERMEJA</t>
  </si>
  <si>
    <t>EL CARMEN DE CHUCURÍ</t>
  </si>
  <si>
    <t>PUERTO WILCHES</t>
  </si>
  <si>
    <t>SABANA DE TORRES</t>
  </si>
  <si>
    <t>SAN VICENTE DE CHUCURÍ</t>
  </si>
  <si>
    <t>ZAPATOCA</t>
  </si>
  <si>
    <t>BUCARAMANGA</t>
  </si>
  <si>
    <t>CALIFORNIA</t>
  </si>
  <si>
    <t>CHARTA</t>
  </si>
  <si>
    <t>EL PLAYÓN</t>
  </si>
  <si>
    <t>FLORIDABLANCA</t>
  </si>
  <si>
    <t>GIRÓN</t>
  </si>
  <si>
    <t>LEBRÍJA</t>
  </si>
  <si>
    <t>LOS SANTOS</t>
  </si>
  <si>
    <t>MATANZA</t>
  </si>
  <si>
    <t>PIEDECUESTA</t>
  </si>
  <si>
    <t>SANTA BÁRBARA</t>
  </si>
  <si>
    <t>SURATA</t>
  </si>
  <si>
    <t>TONA</t>
  </si>
  <si>
    <t>VETAS</t>
  </si>
  <si>
    <t>AGUADA</t>
  </si>
  <si>
    <t>CHIPATÁ</t>
  </si>
  <si>
    <t>CIMITARRA</t>
  </si>
  <si>
    <t>FLORIÁN</t>
  </si>
  <si>
    <t>GUAVATÁ</t>
  </si>
  <si>
    <t>GuEPSA</t>
  </si>
  <si>
    <t>JESÚS MARÍA</t>
  </si>
  <si>
    <t>LA BELLEZA</t>
  </si>
  <si>
    <t>LANDÁZURI</t>
  </si>
  <si>
    <t>PUENTE NACIONAL</t>
  </si>
  <si>
    <t>PUERTO PARRA</t>
  </si>
  <si>
    <t>SAN BENITO</t>
  </si>
  <si>
    <t>VÉLEZ</t>
  </si>
  <si>
    <t>GUARANDA</t>
  </si>
  <si>
    <t>MAJAGUAL</t>
  </si>
  <si>
    <t>CHALÁN</t>
  </si>
  <si>
    <t>COLOSO</t>
  </si>
  <si>
    <t>MORROA</t>
  </si>
  <si>
    <t>OVEJAS</t>
  </si>
  <si>
    <t>SINCELEJO</t>
  </si>
  <si>
    <t>COVEÑAS</t>
  </si>
  <si>
    <t>PALMITO</t>
  </si>
  <si>
    <t>SAN ONOFRE</t>
  </si>
  <si>
    <t>SANTIAGO DE TOLÚ</t>
  </si>
  <si>
    <t>TOLÚ VIEJO</t>
  </si>
  <si>
    <t>COROZAL</t>
  </si>
  <si>
    <t>EL ROBLE</t>
  </si>
  <si>
    <t>GALERAS</t>
  </si>
  <si>
    <t>LOS PALMITOS</t>
  </si>
  <si>
    <t>SAMPUÉS</t>
  </si>
  <si>
    <t>SAN JUAN BETULIA</t>
  </si>
  <si>
    <t>SINCÉ</t>
  </si>
  <si>
    <t>CAIMITO</t>
  </si>
  <si>
    <t>SAN BENITO ABAD</t>
  </si>
  <si>
    <t>SAN MARCOS</t>
  </si>
  <si>
    <t>AMBALEMA</t>
  </si>
  <si>
    <t>ARMERO</t>
  </si>
  <si>
    <t>FALAN</t>
  </si>
  <si>
    <t>FRESNO</t>
  </si>
  <si>
    <t>HONDA</t>
  </si>
  <si>
    <t>MARIQUITA</t>
  </si>
  <si>
    <t>PALOCABILDO</t>
  </si>
  <si>
    <t>CARMEN DE APICALÁ</t>
  </si>
  <si>
    <t>CUNDAY</t>
  </si>
  <si>
    <t>ICONONZO</t>
  </si>
  <si>
    <t>MELGAR</t>
  </si>
  <si>
    <t>VILLARRICA</t>
  </si>
  <si>
    <t>ATACO</t>
  </si>
  <si>
    <t>CHAPARRAL</t>
  </si>
  <si>
    <t>COYAIMA</t>
  </si>
  <si>
    <t>NATAGAIMA</t>
  </si>
  <si>
    <t>ORTEGA</t>
  </si>
  <si>
    <t>PLANADAS</t>
  </si>
  <si>
    <t>RIOBLANCO</t>
  </si>
  <si>
    <t>RONCESVALLES</t>
  </si>
  <si>
    <t>SAN ANTONIO</t>
  </si>
  <si>
    <t>ALVARADO</t>
  </si>
  <si>
    <t>ANZOÁTEGUI</t>
  </si>
  <si>
    <t>CAJAMARCA</t>
  </si>
  <si>
    <t>COELLO</t>
  </si>
  <si>
    <t>ESPINAL</t>
  </si>
  <si>
    <t>FLANDES</t>
  </si>
  <si>
    <t>IBAGUe</t>
  </si>
  <si>
    <t>PIEDRAS</t>
  </si>
  <si>
    <t>ROVIRA</t>
  </si>
  <si>
    <t>VALLE DE SAN JUAN</t>
  </si>
  <si>
    <t>ALPUJARRA</t>
  </si>
  <si>
    <t>DOLORES</t>
  </si>
  <si>
    <t>GUAMO</t>
  </si>
  <si>
    <t>PRADO</t>
  </si>
  <si>
    <t>PURIFICACIÓN</t>
  </si>
  <si>
    <t>SALDAÑA</t>
  </si>
  <si>
    <t>SUÁREZ</t>
  </si>
  <si>
    <t>CASABIANCA</t>
  </si>
  <si>
    <t>HERVEO</t>
  </si>
  <si>
    <t>LeRIDA</t>
  </si>
  <si>
    <t>LiBANO</t>
  </si>
  <si>
    <t>MURILLO</t>
  </si>
  <si>
    <t>SANTA ISABEL</t>
  </si>
  <si>
    <t>VENADILLO</t>
  </si>
  <si>
    <t>VILLAHERMOSA</t>
  </si>
  <si>
    <t>ANDALUCÍA</t>
  </si>
  <si>
    <t>BUGA</t>
  </si>
  <si>
    <t>BUGALAGRANDE</t>
  </si>
  <si>
    <t>CALIMA</t>
  </si>
  <si>
    <t>EL CERRITO</t>
  </si>
  <si>
    <t>GINEBRA</t>
  </si>
  <si>
    <t>GUACARÍ</t>
  </si>
  <si>
    <t>RIOFRIO</t>
  </si>
  <si>
    <t>TRUJILLO</t>
  </si>
  <si>
    <t>TULUÁ</t>
  </si>
  <si>
    <t>YOTOCO</t>
  </si>
  <si>
    <t>ALCALa</t>
  </si>
  <si>
    <t>ANSERMANUEVO</t>
  </si>
  <si>
    <t>CARTAGO</t>
  </si>
  <si>
    <t>EL ÁGUILA</t>
  </si>
  <si>
    <t>EL CAIRO</t>
  </si>
  <si>
    <t>EL DOVIO</t>
  </si>
  <si>
    <t>OBANDO</t>
  </si>
  <si>
    <t>ROLDANILLO</t>
  </si>
  <si>
    <t>TORO</t>
  </si>
  <si>
    <t>ULLOA</t>
  </si>
  <si>
    <t>VERSALLES</t>
  </si>
  <si>
    <t>ZARZAL</t>
  </si>
  <si>
    <t>BUENAVENTURA</t>
  </si>
  <si>
    <t>CAICEDONIA</t>
  </si>
  <si>
    <t>SEVILLA</t>
  </si>
  <si>
    <t>CALI</t>
  </si>
  <si>
    <t>DAGUA</t>
  </si>
  <si>
    <t>FLORIDA</t>
  </si>
  <si>
    <t>JAMUNDÍ</t>
  </si>
  <si>
    <t>LA CUMBRE</t>
  </si>
  <si>
    <t>PALMIRA</t>
  </si>
  <si>
    <t>PRADERA</t>
  </si>
  <si>
    <t>VIJES</t>
  </si>
  <si>
    <t>YUMBO</t>
  </si>
  <si>
    <t>CARURU</t>
  </si>
  <si>
    <t>MITÚ</t>
  </si>
  <si>
    <t>PACOA</t>
  </si>
  <si>
    <t>PAPUNAHUA</t>
  </si>
  <si>
    <t>TARAIRA</t>
  </si>
  <si>
    <t>YAVARATÉ</t>
  </si>
  <si>
    <t>CUMARIBO</t>
  </si>
  <si>
    <t>LA PRIMAVERA</t>
  </si>
  <si>
    <t>PUERTO CARREÑO</t>
  </si>
  <si>
    <t>SANTA ROSALÍA</t>
  </si>
  <si>
    <t>Papa</t>
  </si>
  <si>
    <t>Convenio 2207. Desarrollo de modelo fenológico  aguacate Hass  Pijao – Quindío (Fase 1)</t>
  </si>
  <si>
    <t>Portafolio. Fortalecimiento cadena de valor de aguacate. Convocatoria 42. SGR-Región Pacífico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</si>
</sst>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164" formatCode="yyyy\-mm\-dd\ h:mm:ss"/>
    <numFmt numFmtId="165" formatCode="0.0%"/>
    <numFmt numFmtId="166" formatCode="0.0"/>
  </numFmts>
  <fonts count="18" x14ac:knownFonts="1">
    <font>
      <sz val="11"/>
      <color theme="1"/>
      <name val="Calibri"/>
    </font>
    <font>
      <b/>
      <sz val="11"/>
      <color rgb="FFFFFFFF"/>
      <name val="Calibri"/>
    </font>
    <font>
      <b/>
      <sz val="10"/>
      <color rgb="FFFFFFFF"/>
      <name val="Arial"/>
    </font>
    <font>
      <sz val="10"/>
      <name val="Arial"/>
    </font>
    <font>
      <i/>
      <sz val="9"/>
      <color rgb="FF7F6000"/>
      <name val="Arial"/>
    </font>
    <font>
      <b/>
      <sz val="13"/>
      <color rgb="FFFFFFFF"/>
      <name val="Arial"/>
    </font>
    <font>
      <sz val="10"/>
      <color rgb="FF000000"/>
      <name val="Arial"/>
    </font>
    <font>
      <b/>
      <sz val="10"/>
      <color rgb="FF000000"/>
      <name val="Arial"/>
    </font>
    <font>
      <b/>
      <sz val="10"/>
      <name val="Arial"/>
    </font>
    <font>
      <b/>
      <sz val="11"/>
      <name val="Arial"/>
    </font>
    <font>
      <b/>
      <sz val="14"/>
      <color rgb="FF1F4E78"/>
      <name val="Arial"/>
    </font>
    <font>
      <b/>
      <sz val="14"/>
      <color rgb="FFFFFFFF"/>
      <name val="Arial"/>
    </font>
    <font>
      <sz val="9"/>
      <color rgb="FF2E75B6"/>
      <name val="Arial"/>
    </font>
    <font>
      <b/>
      <sz val="18"/>
      <color rgb="FF1F4E78"/>
      <name val="Arial"/>
    </font>
    <font>
      <b/>
      <sz val="10"/>
      <color rgb="FF1F4E78"/>
      <name val="Arial"/>
    </font>
    <font>
      <i/>
      <sz val="9"/>
      <color rgb="FF595959"/>
      <name val="Arial"/>
    </font>
    <font>
      <b/>
      <sz val="10"/>
      <color rgb="FFFFFFFF"/>
      <name val="Arial"/>
    </font>
    <font>
      <sz val="11"/>
      <color theme="1"/>
      <name val="Calibri"/>
      <family val="2"/>
      <scheme val="minor"/>
    </font>
  </fonts>
  <fills count="14">
    <fill>
      <patternFill patternType="none"/>
    </fill>
    <fill>
      <patternFill patternType="gray125"/>
    </fill>
    <fill>
      <patternFill patternType="solid">
        <fgColor rgb="FF1F4E78"/>
      </patternFill>
    </fill>
    <fill>
      <patternFill patternType="solid">
        <fgColor rgb="FF1F4E78"/>
      </patternFill>
    </fill>
    <fill>
      <patternFill patternType="solid">
        <fgColor rgb="FF2E75B6"/>
      </patternFill>
    </fill>
    <fill>
      <patternFill patternType="solid">
        <fgColor rgb="FF1F4E78"/>
      </patternFill>
    </fill>
    <fill>
      <patternFill patternType="solid">
        <fgColor rgb="FFDEEAF1"/>
      </patternFill>
    </fill>
    <fill>
      <patternFill patternType="solid">
        <fgColor rgb="FFFFF2CC"/>
      </patternFill>
    </fill>
    <fill>
      <patternFill patternType="solid">
        <fgColor rgb="FF375623"/>
      </patternFill>
    </fill>
    <fill>
      <patternFill patternType="solid">
        <fgColor rgb="FFFFFFFF"/>
      </patternFill>
    </fill>
    <fill>
      <patternFill patternType="solid">
        <fgColor rgb="FFE9EFF7"/>
      </patternFill>
    </fill>
    <fill>
      <patternFill patternType="solid">
        <fgColor rgb="FFEBF3FB"/>
      </patternFill>
    </fill>
    <fill>
      <patternFill patternType="solid">
        <fgColor rgb="FF1F4E78"/>
      </patternFill>
    </fill>
    <fill>
      <patternFill patternType="solid">
        <fgColor rgb="FF1E5631"/>
      </patternFill>
    </fill>
  </fills>
  <borders count="10">
    <border>
      <left/>
      <right/>
      <top/>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1F4E78"/>
      </left>
      <right style="thin">
        <color rgb="FF1F4E78"/>
      </right>
      <top style="thin">
        <color rgb="FF1F4E78"/>
      </top>
      <bottom style="thin">
        <color rgb="FF1F4E78"/>
      </bottom>
      <diagonal/>
    </border>
    <border>
      <left style="thin">
        <color rgb="FF2E75B6"/>
      </left>
      <right style="thin">
        <color rgb="FF2E75B6"/>
      </right>
      <top style="thin">
        <color rgb="FF2E75B6"/>
      </top>
      <bottom style="thin">
        <color rgb="FF2E75B6"/>
      </bottom>
      <diagonal/>
    </border>
    <border>
      <left/>
      <right/>
      <top style="thin">
        <color rgb="FF2E75B6"/>
      </top>
      <bottom style="thin">
        <color rgb="FF2E75B6"/>
      </bottom>
      <diagonal/>
    </border>
    <border>
      <left/>
      <right style="thin">
        <color rgb="FF2E75B6"/>
      </right>
      <top style="thin">
        <color rgb="FF2E75B6"/>
      </top>
      <bottom style="thin">
        <color rgb="FF2E75B6"/>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right/>
      <top style="thin">
        <color rgb="FFBDD7EE"/>
      </top>
      <bottom style="thin">
        <color rgb="FFBDD7EE"/>
      </bottom>
      <diagonal/>
    </border>
  </borders>
  <cellStyleXfs count="1">
    <xf numFmtId="0" fontId="0" fillId="0" borderId="0"/>
  </cellStyleXfs>
  <cellXfs count="70">
    <xf numFmtId="0" fontId="0" fillId="0" borderId="0" xfId="0"/>
    <xf numFmtId="0" fontId="1" fillId="2" borderId="0" xfId="0" applyFont="1" applyFill="1" applyAlignment="1">
      <alignment horizontal="center" vertical="center" wrapText="1"/>
    </xf>
    <xf numFmtId="0" fontId="0" fillId="0" borderId="0" xfId="0" applyAlignment="1">
      <alignment horizontal="center" vertical="center" wrapText="1"/>
    </xf>
    <xf numFmtId="164" fontId="0" fillId="0" borderId="0" xfId="0" applyNumberFormat="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wrapText="1"/>
    </xf>
    <xf numFmtId="0" fontId="4" fillId="7" borderId="0" xfId="0" applyFont="1" applyFill="1" applyAlignment="1">
      <alignment horizontal="left" vertical="center" wrapText="1"/>
    </xf>
    <xf numFmtId="0" fontId="2" fillId="8" borderId="4"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165" fontId="6" fillId="9" borderId="1" xfId="0" applyNumberFormat="1"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165" fontId="6" fillId="6"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9" fontId="7" fillId="9" borderId="1" xfId="0" applyNumberFormat="1" applyFont="1" applyFill="1" applyBorder="1" applyAlignment="1">
      <alignment horizontal="center" vertical="center" wrapText="1"/>
    </xf>
    <xf numFmtId="3" fontId="6" fillId="9" borderId="1" xfId="0" applyNumberFormat="1" applyFont="1" applyFill="1" applyBorder="1" applyAlignment="1">
      <alignment horizontal="center" vertical="center" wrapText="1"/>
    </xf>
    <xf numFmtId="3" fontId="6" fillId="6" borderId="1" xfId="0" applyNumberFormat="1" applyFont="1" applyFill="1" applyBorder="1" applyAlignment="1">
      <alignment horizontal="center" vertical="center" wrapText="1"/>
    </xf>
    <xf numFmtId="3" fontId="7" fillId="9" borderId="1" xfId="0" applyNumberFormat="1" applyFont="1" applyFill="1" applyBorder="1" applyAlignment="1">
      <alignment horizontal="center" vertical="center" wrapText="1"/>
    </xf>
    <xf numFmtId="0" fontId="7" fillId="9" borderId="1" xfId="0" applyFont="1" applyFill="1" applyBorder="1" applyAlignment="1">
      <alignment horizontal="left" vertical="center" wrapText="1"/>
    </xf>
    <xf numFmtId="165" fontId="2" fillId="8" borderId="4" xfId="0" applyNumberFormat="1"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165" fontId="3" fillId="9"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165" fontId="3" fillId="6" borderId="1" xfId="0" applyNumberFormat="1" applyFont="1" applyFill="1" applyBorder="1" applyAlignment="1">
      <alignment horizontal="center" vertical="center" wrapText="1"/>
    </xf>
    <xf numFmtId="3" fontId="3" fillId="9" borderId="1" xfId="0" applyNumberFormat="1"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0" fontId="8" fillId="9" borderId="1" xfId="0" applyFont="1" applyFill="1" applyBorder="1" applyAlignment="1">
      <alignment horizontal="center" vertical="center" wrapText="1"/>
    </xf>
    <xf numFmtId="3" fontId="8" fillId="9"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166" fontId="3" fillId="9" borderId="1" xfId="0" applyNumberFormat="1" applyFont="1" applyFill="1" applyBorder="1" applyAlignment="1">
      <alignment horizontal="center" vertical="center" wrapText="1"/>
    </xf>
    <xf numFmtId="166" fontId="3" fillId="6" borderId="1" xfId="0" applyNumberFormat="1" applyFont="1" applyFill="1" applyBorder="1" applyAlignment="1">
      <alignment horizontal="center" vertical="center" wrapText="1"/>
    </xf>
    <xf numFmtId="0" fontId="8" fillId="9" borderId="1" xfId="0" applyFont="1" applyFill="1" applyBorder="1" applyAlignment="1">
      <alignment horizontal="left" vertical="center" wrapText="1"/>
    </xf>
    <xf numFmtId="0" fontId="10" fillId="6" borderId="3" xfId="0" applyFont="1" applyFill="1" applyBorder="1" applyAlignment="1">
      <alignment horizontal="center" vertical="center"/>
    </xf>
    <xf numFmtId="0" fontId="8" fillId="10"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0" fontId="13" fillId="11" borderId="3" xfId="0" applyFont="1" applyFill="1" applyBorder="1" applyAlignment="1">
      <alignment horizontal="center" vertical="center"/>
    </xf>
    <xf numFmtId="9" fontId="3" fillId="9" borderId="1" xfId="0" applyNumberFormat="1" applyFont="1" applyFill="1" applyBorder="1" applyAlignment="1">
      <alignment horizontal="center" vertical="center" wrapText="1"/>
    </xf>
    <xf numFmtId="9" fontId="3" fillId="6" borderId="1" xfId="0" applyNumberFormat="1" applyFont="1" applyFill="1" applyBorder="1" applyAlignment="1">
      <alignment horizontal="center" vertical="center" wrapText="1"/>
    </xf>
    <xf numFmtId="0" fontId="15" fillId="0" borderId="0" xfId="0" applyFont="1" applyAlignment="1">
      <alignment horizontal="left" vertical="center"/>
    </xf>
    <xf numFmtId="0" fontId="14" fillId="0" borderId="0" xfId="0" applyFont="1" applyAlignment="1">
      <alignment horizontal="center" vertical="center"/>
    </xf>
    <xf numFmtId="0" fontId="16" fillId="12" borderId="0" xfId="0" applyFont="1" applyFill="1" applyAlignment="1">
      <alignment horizontal="center" vertical="center"/>
    </xf>
    <xf numFmtId="0" fontId="3" fillId="0" borderId="0" xfId="0" applyFont="1"/>
    <xf numFmtId="0" fontId="16" fillId="13" borderId="0" xfId="0" applyFont="1" applyFill="1" applyAlignment="1">
      <alignment horizontal="center" vertical="center" wrapText="1"/>
    </xf>
    <xf numFmtId="0" fontId="16" fillId="12" borderId="0" xfId="0" applyFont="1" applyFill="1" applyAlignment="1">
      <alignment horizontal="center" vertical="center" wrapText="1"/>
    </xf>
    <xf numFmtId="0" fontId="0" fillId="0" borderId="0" xfId="0" applyAlignment="1">
      <alignment horizontal="center" vertical="top" wrapText="1"/>
    </xf>
    <xf numFmtId="0" fontId="0" fillId="0" borderId="0" xfId="0" applyAlignment="1">
      <alignment vertical="top" wrapText="1"/>
    </xf>
    <xf numFmtId="0" fontId="17" fillId="0" borderId="0" xfId="0" applyFont="1" applyAlignment="1">
      <alignment horizontal="center" vertical="top" wrapText="1"/>
    </xf>
    <xf numFmtId="0" fontId="17" fillId="0" borderId="0" xfId="0" applyFont="1" applyAlignment="1">
      <alignment vertical="top" wrapText="1"/>
    </xf>
    <xf numFmtId="6" fontId="0" fillId="0" borderId="0" xfId="0" applyNumberFormat="1" applyAlignment="1">
      <alignment horizontal="center" vertical="center" wrapText="1"/>
    </xf>
    <xf numFmtId="0" fontId="11" fillId="5" borderId="3" xfId="0" applyFont="1" applyFill="1" applyBorder="1" applyAlignment="1">
      <alignment horizontal="center" vertical="center" wrapText="1"/>
    </xf>
    <xf numFmtId="0" fontId="0" fillId="0" borderId="7" xfId="0" applyBorder="1"/>
    <xf numFmtId="0" fontId="0" fillId="0" borderId="8" xfId="0" applyBorder="1"/>
    <xf numFmtId="0" fontId="14" fillId="6" borderId="1" xfId="0" applyFont="1" applyFill="1" applyBorder="1" applyAlignment="1">
      <alignment horizontal="left" vertical="center"/>
    </xf>
    <xf numFmtId="0" fontId="0" fillId="0" borderId="2" xfId="0" applyBorder="1"/>
    <xf numFmtId="0" fontId="3" fillId="9" borderId="1" xfId="0" applyFont="1" applyFill="1" applyBorder="1" applyAlignment="1">
      <alignment horizontal="left" vertical="center" wrapText="1"/>
    </xf>
    <xf numFmtId="0" fontId="0" fillId="0" borderId="9" xfId="0" applyBorder="1"/>
    <xf numFmtId="0" fontId="4" fillId="7" borderId="0" xfId="0" applyFont="1" applyFill="1" applyAlignment="1">
      <alignment horizontal="left" vertical="center" wrapText="1"/>
    </xf>
    <xf numFmtId="0" fontId="0" fillId="0" borderId="0" xfId="0"/>
    <xf numFmtId="0" fontId="14" fillId="11" borderId="1" xfId="0" applyFont="1" applyFill="1" applyBorder="1" applyAlignment="1">
      <alignment horizontal="left" vertical="center"/>
    </xf>
    <xf numFmtId="0" fontId="2" fillId="4" borderId="4" xfId="0" applyFont="1" applyFill="1" applyBorder="1" applyAlignment="1">
      <alignment horizontal="center" vertical="center" wrapText="1"/>
    </xf>
    <xf numFmtId="0" fontId="0" fillId="0" borderId="5" xfId="0" applyBorder="1"/>
    <xf numFmtId="0" fontId="0" fillId="0" borderId="6" xfId="0" applyBorder="1"/>
    <xf numFmtId="0" fontId="3" fillId="6" borderId="1" xfId="0" applyFont="1" applyFill="1" applyBorder="1" applyAlignment="1">
      <alignment horizontal="left" vertical="center" wrapText="1"/>
    </xf>
    <xf numFmtId="0" fontId="5" fillId="5" borderId="3" xfId="0" applyFont="1" applyFill="1" applyBorder="1" applyAlignment="1">
      <alignment horizontal="center" vertical="center" wrapText="1"/>
    </xf>
    <xf numFmtId="0" fontId="2" fillId="4" borderId="4" xfId="0" applyFont="1" applyFill="1" applyBorder="1" applyAlignment="1">
      <alignment horizontal="left" vertical="center" wrapText="1"/>
    </xf>
    <xf numFmtId="0" fontId="2" fillId="5" borderId="3" xfId="0" applyFont="1" applyFill="1" applyBorder="1" applyAlignment="1">
      <alignment horizontal="left" vertical="center" wrapText="1"/>
    </xf>
    <xf numFmtId="0" fontId="9"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Proyectos" displayName="Tabla_Proyectos" ref="A1:AR133">
  <autoFilter ref="A1:AR133" xr:uid="{00000000-0009-0000-0100-000001000000}">
    <filterColumn colId="1">
      <filters>
        <filter val="Aguacate Hass"/>
      </filters>
    </filterColumn>
    <filterColumn colId="2">
      <filters>
        <filter val="Fisiología vegetal y nutrición"/>
      </filters>
    </filterColumn>
  </autoFilter>
  <tableColumns count="44">
    <tableColumn id="1" xr3:uid="{00000000-0010-0000-0000-000001000000}" name="Programa estratégico"/>
    <tableColumn id="2" xr3:uid="{00000000-0010-0000-0000-000002000000}" name="Sistema productivo"/>
    <tableColumn id="3" xr3:uid="{00000000-0010-0000-0000-000003000000}" name="Área temática"/>
    <tableColumn id="4" xr3:uid="{00000000-0010-0000-0000-000004000000}" name="Nombre del proyecto"/>
    <tableColumn id="5" xr3:uid="{00000000-0010-0000-0000-000005000000}" name="Investigador líder"/>
    <tableColumn id="6" xr3:uid="{00000000-0010-0000-0000-000006000000}" name="Rol CI Palmira"/>
    <tableColumn id="7" xr3:uid="{00000000-0010-0000-0000-000007000000}" name="Institución ejecutora"/>
    <tableColumn id="8" xr3:uid="{00000000-0010-0000-0000-000008000000}" name="Aliados estratégicos"/>
    <tableColumn id="9" xr3:uid="{00000000-0010-0000-0000-000009000000}" name="Rol del aliado"/>
    <tableColumn id="10" xr3:uid="{00000000-0010-0000-0000-00000A000000}" name="Problema abordado"/>
    <tableColumn id="11" xr3:uid="{00000000-0010-0000-0000-00000B000000}" name="Objetivo del proyecto"/>
    <tableColumn id="12" xr3:uid="{00000000-0010-0000-0000-00000C000000}" name="Justificación estratégica"/>
    <tableColumn id="13" xr3:uid="{00000000-0010-0000-0000-00000D000000}" name="Política pública asociada"/>
    <tableColumn id="14" xr3:uid="{00000000-0010-0000-0000-00000E000000}" name="Metodología principal"/>
    <tableColumn id="15" xr3:uid="{00000000-0010-0000-0000-00000F000000}" name="Variables evaluadas"/>
    <tableColumn id="16" xr3:uid="{00000000-0010-0000-0000-000010000000}" name="Tipo de intervención (I+D+i, Canales OT, Fortalecimiento)"/>
    <tableColumn id="17" xr3:uid="{00000000-0010-0000-0000-000011000000}" name="Resultados principales"/>
    <tableColumn id="18" xr3:uid="{00000000-0010-0000-0000-000012000000}" name="Productos generados"/>
    <tableColumn id="19" xr3:uid="{00000000-0010-0000-0000-000013000000}" name="Publicaciones"/>
    <tableColumn id="20" xr3:uid="{00000000-0010-0000-0000-000014000000}" name="Oferta tecnológica"/>
    <tableColumn id="21" xr3:uid="{00000000-0010-0000-0000-000015000000}" name="Tipo de tecnología"/>
    <tableColumn id="22" xr3:uid="{00000000-0010-0000-0000-000016000000}" name="TRL inicial"/>
    <tableColumn id="23" xr3:uid="{00000000-0010-0000-0000-000017000000}" name="TRL final"/>
    <tableColumn id="24" xr3:uid="{00000000-0010-0000-0000-000018000000}" name="Estado tecnológico"/>
    <tableColumn id="25" xr3:uid="{00000000-0010-0000-0000-000019000000}" name="Impacto técnico"/>
    <tableColumn id="26" xr3:uid="{00000000-0010-0000-0000-00001A000000}" name="Impacto económico"/>
    <tableColumn id="27" xr3:uid="{00000000-0010-0000-0000-00001B000000}" name="Impacto social"/>
    <tableColumn id="28" xr3:uid="{00000000-0010-0000-0000-00001C000000}" name="Impacto ambiental"/>
    <tableColumn id="29" xr3:uid="{00000000-0010-0000-0000-00001D000000}" name="Departamentos"/>
    <tableColumn id="30" xr3:uid="{00000000-0010-0000-0000-00001E000000}" name="Municipios"/>
    <tableColumn id="31" xr3:uid="{00000000-0010-0000-0000-00001F000000}" name="Tipo de beneficiarios"/>
    <tableColumn id="32" xr3:uid="{00000000-0010-0000-0000-000020000000}" name="Beneficiarios directos"/>
    <tableColumn id="33" xr3:uid="{00000000-0010-0000-0000-000021000000}" name="Beneficiarios indirectos"/>
    <tableColumn id="34" xr3:uid="{00000000-0010-0000-0000-000022000000}" name="Área potenciales de adopción"/>
    <tableColumn id="35" xr3:uid="{00000000-0010-0000-0000-000023000000}" name="Activos generados"/>
    <tableColumn id="36" xr3:uid="{00000000-0010-0000-0000-000024000000}" name="Estado propiedad intelectual"/>
    <tableColumn id="37" xr3:uid="{00000000-0010-0000-0000-000025000000}" name="Financiador"/>
    <tableColumn id="38" xr3:uid="{00000000-0010-0000-0000-000026000000}" name="Monto del proyecto"/>
    <tableColumn id="39" xr3:uid="{00000000-0010-0000-0000-000027000000}" name="Año inicio"/>
    <tableColumn id="40" xr3:uid="{00000000-0010-0000-0000-000028000000}" name="Año final"/>
    <tableColumn id="41" xr3:uid="{00000000-0010-0000-0000-000029000000}" name="Estado del proyecto"/>
    <tableColumn id="42" xr3:uid="{00000000-0010-0000-0000-00002A000000}" name="Capacidad_emergente"/>
    <tableColumn id="43" xr3:uid="{00000000-0010-0000-0000-00002B000000}" name="Capacidad_consolidada"/>
    <tableColumn id="44" xr3:uid="{00000000-0010-0000-0000-00002C000000}" name="Capacidad_distintiv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Vista_Capacidades_Web" displayName="Tabla_Vista_Capacidades_Web" ref="A1:H2998">
  <tableColumns count="8">
    <tableColumn id="1" xr3:uid="{00000000-0010-0000-0100-000001000000}" name="ID capacidad"/>
    <tableColumn id="2" xr3:uid="{00000000-0010-0000-0100-000002000000}" name="Capacidad"/>
    <tableColumn id="3" xr3:uid="{00000000-0010-0000-0100-000003000000}" name="Categoría"/>
    <tableColumn id="4" xr3:uid="{00000000-0010-0000-0100-000004000000}" name="Área temática"/>
    <tableColumn id="5" xr3:uid="{00000000-0010-0000-0100-000005000000}" name="Sistema productivo"/>
    <tableColumn id="6" xr3:uid="{00000000-0010-0000-0100-000006000000}" name="Proyecto asociado"/>
    <tableColumn id="7" xr3:uid="{00000000-0010-0000-0100-000007000000}" name="Programa estratégico"/>
    <tableColumn id="8" xr3:uid="{00000000-0010-0000-0100-000008000000}" name="Investigador líder"/>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AR133"/>
  <sheetViews>
    <sheetView tabSelected="1" zoomScaleNormal="100" workbookViewId="0">
      <pane ySplit="1" topLeftCell="A6" activePane="bottomLeft" state="frozen"/>
      <selection pane="bottomLeft" activeCell="C7" sqref="C7"/>
    </sheetView>
  </sheetViews>
  <sheetFormatPr baseColWidth="10" defaultColWidth="8.6640625" defaultRowHeight="14.5" x14ac:dyDescent="0.35"/>
  <cols>
    <col min="1" max="1" width="35" style="2" customWidth="1"/>
    <col min="2" max="2" width="20" style="2" customWidth="1"/>
    <col min="3" max="4" width="35" style="2" customWidth="1"/>
    <col min="5" max="5" width="25" style="2" customWidth="1"/>
    <col min="6" max="6" width="16" style="2" customWidth="1"/>
    <col min="7" max="7" width="23" style="2" customWidth="1"/>
    <col min="8" max="19" width="35" style="2" customWidth="1"/>
    <col min="20" max="20" width="20" style="2" customWidth="1"/>
    <col min="21" max="21" width="29" style="2" customWidth="1"/>
    <col min="22" max="22" width="21" style="2" customWidth="1"/>
    <col min="23" max="23" width="13" style="2" customWidth="1"/>
    <col min="24" max="24" width="20" style="2" customWidth="1"/>
    <col min="25" max="28" width="35" style="2" customWidth="1"/>
    <col min="29" max="29" width="31" style="2" customWidth="1"/>
    <col min="30" max="30" width="35" style="2" customWidth="1"/>
    <col min="31" max="31" width="27" style="2" customWidth="1"/>
    <col min="32" max="34" width="35" style="2" customWidth="1"/>
    <col min="35" max="35" width="19" style="2" customWidth="1"/>
    <col min="36" max="36" width="30" style="2" customWidth="1"/>
    <col min="37" max="37" width="34" style="2" customWidth="1"/>
    <col min="38" max="38" width="20" style="2" customWidth="1"/>
    <col min="39" max="40" width="12" style="2" customWidth="1"/>
    <col min="41" max="42" width="21" style="2" customWidth="1"/>
    <col min="43" max="43" width="23" style="2" customWidth="1"/>
    <col min="44" max="44" width="22" style="2" customWidth="1"/>
  </cols>
  <sheetData>
    <row r="1" spans="1:44" ht="32.299999999999997" customHeight="1" x14ac:dyDescent="0.35">
      <c r="A1" s="45" t="s">
        <v>0</v>
      </c>
      <c r="B1" s="45" t="s">
        <v>1</v>
      </c>
      <c r="C1" s="45" t="s">
        <v>2</v>
      </c>
      <c r="D1" s="46" t="s">
        <v>3</v>
      </c>
      <c r="E1" s="46" t="s">
        <v>4</v>
      </c>
      <c r="F1" s="45" t="s">
        <v>5</v>
      </c>
      <c r="G1" s="46" t="s">
        <v>6</v>
      </c>
      <c r="H1" s="46" t="s">
        <v>7</v>
      </c>
      <c r="I1" s="46" t="s">
        <v>8</v>
      </c>
      <c r="J1" s="46" t="s">
        <v>9</v>
      </c>
      <c r="K1" s="46" t="s">
        <v>10</v>
      </c>
      <c r="L1" s="46" t="s">
        <v>11</v>
      </c>
      <c r="M1" s="45" t="s">
        <v>12</v>
      </c>
      <c r="N1" s="46" t="s">
        <v>13</v>
      </c>
      <c r="O1" s="46" t="s">
        <v>14</v>
      </c>
      <c r="P1" s="45" t="s">
        <v>15</v>
      </c>
      <c r="Q1" s="46" t="s">
        <v>16</v>
      </c>
      <c r="R1" s="46" t="s">
        <v>17</v>
      </c>
      <c r="S1" s="46" t="s">
        <v>18</v>
      </c>
      <c r="T1" s="46" t="s">
        <v>19</v>
      </c>
      <c r="U1" s="46" t="s">
        <v>20</v>
      </c>
      <c r="V1" s="45" t="s">
        <v>21</v>
      </c>
      <c r="W1" s="45" t="s">
        <v>22</v>
      </c>
      <c r="X1" s="46" t="s">
        <v>23</v>
      </c>
      <c r="Y1" s="46" t="s">
        <v>24</v>
      </c>
      <c r="Z1" s="46" t="s">
        <v>25</v>
      </c>
      <c r="AA1" s="46" t="s">
        <v>26</v>
      </c>
      <c r="AB1" s="46" t="s">
        <v>27</v>
      </c>
      <c r="AC1" s="45" t="s">
        <v>28</v>
      </c>
      <c r="AD1" s="46" t="s">
        <v>29</v>
      </c>
      <c r="AE1" s="45" t="s">
        <v>30</v>
      </c>
      <c r="AF1" s="46" t="s">
        <v>31</v>
      </c>
      <c r="AG1" s="46" t="s">
        <v>32</v>
      </c>
      <c r="AH1" s="46" t="s">
        <v>33</v>
      </c>
      <c r="AI1" s="46" t="s">
        <v>34</v>
      </c>
      <c r="AJ1" s="45" t="s">
        <v>35</v>
      </c>
      <c r="AK1" s="45" t="s">
        <v>36</v>
      </c>
      <c r="AL1" s="46" t="s">
        <v>37</v>
      </c>
      <c r="AM1" s="46" t="s">
        <v>38</v>
      </c>
      <c r="AN1" s="46" t="s">
        <v>39</v>
      </c>
      <c r="AO1" s="45" t="s">
        <v>40</v>
      </c>
      <c r="AP1" s="45" t="s">
        <v>41</v>
      </c>
      <c r="AQ1" s="45" t="s">
        <v>42</v>
      </c>
      <c r="AR1" s="45" t="s">
        <v>43</v>
      </c>
    </row>
    <row r="2" spans="1:44" ht="189.7" customHeight="1" x14ac:dyDescent="0.35">
      <c r="A2" s="2" t="s">
        <v>44</v>
      </c>
      <c r="B2" s="2" t="s">
        <v>45</v>
      </c>
      <c r="C2" s="2" t="s">
        <v>46</v>
      </c>
      <c r="D2" s="2" t="s">
        <v>47</v>
      </c>
      <c r="E2" s="2" t="s">
        <v>48</v>
      </c>
      <c r="F2" s="2" t="s">
        <v>49</v>
      </c>
      <c r="G2" s="2" t="s">
        <v>50</v>
      </c>
      <c r="H2" s="2" t="s">
        <v>51</v>
      </c>
      <c r="I2" s="2" t="s">
        <v>52</v>
      </c>
      <c r="J2" s="2" t="s">
        <v>53</v>
      </c>
      <c r="K2" s="2" t="s">
        <v>54</v>
      </c>
      <c r="L2" s="2" t="s">
        <v>55</v>
      </c>
      <c r="M2" s="2" t="s">
        <v>56</v>
      </c>
      <c r="N2" s="2" t="s">
        <v>57</v>
      </c>
      <c r="O2" s="2" t="s">
        <v>58</v>
      </c>
      <c r="P2" s="2" t="s">
        <v>59</v>
      </c>
      <c r="Q2" s="2" t="s">
        <v>60</v>
      </c>
      <c r="R2" s="2" t="s">
        <v>61</v>
      </c>
      <c r="S2" s="2" t="s">
        <v>62</v>
      </c>
      <c r="U2" s="2" t="s">
        <v>63</v>
      </c>
      <c r="V2" s="3">
        <v>46115</v>
      </c>
      <c r="W2" s="2" t="s">
        <v>64</v>
      </c>
      <c r="X2" s="2" t="s">
        <v>59</v>
      </c>
      <c r="Y2" s="2" t="s">
        <v>65</v>
      </c>
      <c r="Z2" s="2" t="s">
        <v>66</v>
      </c>
      <c r="AA2" s="2" t="s">
        <v>67</v>
      </c>
      <c r="AB2" s="2" t="s">
        <v>68</v>
      </c>
      <c r="AC2" s="2" t="s">
        <v>69</v>
      </c>
      <c r="AD2" s="2" t="s">
        <v>70</v>
      </c>
      <c r="AE2" s="2" t="s">
        <v>71</v>
      </c>
      <c r="AF2" s="2" t="s">
        <v>72</v>
      </c>
      <c r="AG2" s="2" t="s">
        <v>73</v>
      </c>
      <c r="AH2" s="2" t="s">
        <v>74</v>
      </c>
      <c r="AI2" s="2" t="s">
        <v>75</v>
      </c>
      <c r="AJ2" s="2" t="s">
        <v>75</v>
      </c>
      <c r="AK2" s="2" t="s">
        <v>76</v>
      </c>
      <c r="AL2" s="51">
        <v>3000000000</v>
      </c>
      <c r="AM2" s="2">
        <v>2013</v>
      </c>
      <c r="AN2" s="2">
        <v>2016</v>
      </c>
      <c r="AO2" s="2" t="s">
        <v>77</v>
      </c>
      <c r="AP2" s="2" t="s">
        <v>78</v>
      </c>
    </row>
    <row r="3" spans="1:44" ht="18.149999999999999" hidden="1" customHeight="1" x14ac:dyDescent="0.35">
      <c r="A3" s="2" t="s">
        <v>79</v>
      </c>
      <c r="B3" s="2" t="s">
        <v>80</v>
      </c>
      <c r="C3" s="2" t="s">
        <v>46</v>
      </c>
      <c r="D3" s="2" t="s">
        <v>81</v>
      </c>
      <c r="AK3" s="2" t="s">
        <v>82</v>
      </c>
    </row>
    <row r="4" spans="1:44" ht="18.149999999999999" hidden="1" customHeight="1" x14ac:dyDescent="0.35">
      <c r="A4" s="2" t="s">
        <v>79</v>
      </c>
      <c r="B4" s="2" t="s">
        <v>80</v>
      </c>
      <c r="C4" s="2" t="s">
        <v>83</v>
      </c>
      <c r="D4" s="2" t="s">
        <v>81</v>
      </c>
      <c r="AK4" s="2" t="s">
        <v>82</v>
      </c>
    </row>
    <row r="5" spans="1:44" ht="29" hidden="1" customHeight="1" x14ac:dyDescent="0.35">
      <c r="A5" s="2" t="s">
        <v>79</v>
      </c>
      <c r="B5" s="2" t="s">
        <v>80</v>
      </c>
      <c r="C5" s="2" t="s">
        <v>83</v>
      </c>
      <c r="D5" s="2" t="s">
        <v>81</v>
      </c>
      <c r="AK5" s="2" t="s">
        <v>82</v>
      </c>
    </row>
    <row r="6" spans="1:44" ht="99.6" customHeight="1" x14ac:dyDescent="0.35">
      <c r="A6" s="2" t="s">
        <v>84</v>
      </c>
      <c r="B6" s="2" t="s">
        <v>45</v>
      </c>
      <c r="C6" s="2" t="s">
        <v>46</v>
      </c>
      <c r="D6" s="2" t="s">
        <v>85</v>
      </c>
      <c r="E6" s="2" t="s">
        <v>48</v>
      </c>
      <c r="F6" s="2" t="s">
        <v>49</v>
      </c>
      <c r="G6" s="2" t="s">
        <v>50</v>
      </c>
      <c r="H6" s="2" t="s">
        <v>86</v>
      </c>
      <c r="I6" s="2" t="s">
        <v>87</v>
      </c>
      <c r="J6" s="2" t="s">
        <v>88</v>
      </c>
      <c r="K6" s="2" t="s">
        <v>89</v>
      </c>
      <c r="L6" s="2" t="s">
        <v>90</v>
      </c>
      <c r="M6" s="2" t="s">
        <v>91</v>
      </c>
      <c r="N6" s="2" t="s">
        <v>92</v>
      </c>
      <c r="O6" s="2" t="s">
        <v>93</v>
      </c>
      <c r="P6" s="2" t="s">
        <v>94</v>
      </c>
      <c r="Q6" s="2" t="s">
        <v>95</v>
      </c>
      <c r="R6" s="2" t="s">
        <v>96</v>
      </c>
      <c r="S6" s="2" t="s">
        <v>97</v>
      </c>
      <c r="T6" s="2" t="s">
        <v>98</v>
      </c>
      <c r="U6" s="2" t="s">
        <v>99</v>
      </c>
      <c r="V6" s="2">
        <v>5</v>
      </c>
      <c r="W6" s="2">
        <v>7</v>
      </c>
      <c r="X6" s="2" t="s">
        <v>77</v>
      </c>
      <c r="Y6" s="2" t="s">
        <v>100</v>
      </c>
      <c r="Z6" s="2" t="s">
        <v>101</v>
      </c>
      <c r="AA6" s="2" t="s">
        <v>102</v>
      </c>
      <c r="AB6" s="2" t="s">
        <v>103</v>
      </c>
      <c r="AC6" s="2" t="s">
        <v>104</v>
      </c>
      <c r="AD6" s="2" t="s">
        <v>105</v>
      </c>
      <c r="AE6" s="2" t="s">
        <v>71</v>
      </c>
      <c r="AF6" s="2">
        <v>1440</v>
      </c>
      <c r="AG6" s="2" t="s">
        <v>106</v>
      </c>
      <c r="AH6" s="2" t="s">
        <v>107</v>
      </c>
      <c r="AI6" s="2" t="s">
        <v>99</v>
      </c>
      <c r="AK6" s="2" t="s">
        <v>108</v>
      </c>
      <c r="AM6" s="2">
        <v>2018</v>
      </c>
      <c r="AN6" s="2">
        <v>2023</v>
      </c>
      <c r="AO6" s="2" t="s">
        <v>109</v>
      </c>
      <c r="AP6" s="2" t="s">
        <v>78</v>
      </c>
      <c r="AQ6" s="2" t="s">
        <v>110</v>
      </c>
    </row>
    <row r="7" spans="1:44" ht="134.19999999999999" customHeight="1" x14ac:dyDescent="0.35">
      <c r="A7" s="2" t="s">
        <v>84</v>
      </c>
      <c r="B7" s="2" t="s">
        <v>45</v>
      </c>
      <c r="C7" s="2" t="s">
        <v>46</v>
      </c>
      <c r="D7" s="2" t="s">
        <v>1830</v>
      </c>
      <c r="E7" s="2" t="s">
        <v>48</v>
      </c>
      <c r="F7" s="2" t="s">
        <v>111</v>
      </c>
      <c r="G7" s="2" t="s">
        <v>50</v>
      </c>
      <c r="H7" s="2" t="s">
        <v>112</v>
      </c>
      <c r="I7" s="2" t="s">
        <v>113</v>
      </c>
      <c r="J7" s="2" t="s">
        <v>114</v>
      </c>
      <c r="K7" s="2" t="s">
        <v>115</v>
      </c>
      <c r="L7" s="2" t="s">
        <v>116</v>
      </c>
      <c r="M7" s="2" t="s">
        <v>117</v>
      </c>
      <c r="N7" s="2" t="s">
        <v>118</v>
      </c>
      <c r="O7" s="2" t="s">
        <v>119</v>
      </c>
      <c r="P7" s="2" t="s">
        <v>120</v>
      </c>
      <c r="Q7" s="2" t="s">
        <v>121</v>
      </c>
      <c r="R7" s="2" t="s">
        <v>122</v>
      </c>
      <c r="S7" s="2" t="s">
        <v>123</v>
      </c>
      <c r="T7" s="2" t="s">
        <v>124</v>
      </c>
      <c r="U7" s="2" t="s">
        <v>125</v>
      </c>
      <c r="V7" s="2">
        <v>4</v>
      </c>
      <c r="W7" s="2">
        <v>8</v>
      </c>
      <c r="X7" s="2" t="s">
        <v>109</v>
      </c>
      <c r="Y7" s="2" t="s">
        <v>126</v>
      </c>
      <c r="Z7" s="2" t="s">
        <v>127</v>
      </c>
      <c r="AA7" s="2" t="s">
        <v>128</v>
      </c>
      <c r="AB7" s="2" t="s">
        <v>129</v>
      </c>
      <c r="AC7" s="2" t="s">
        <v>130</v>
      </c>
      <c r="AD7" s="2" t="s">
        <v>131</v>
      </c>
      <c r="AE7" s="2" t="s">
        <v>71</v>
      </c>
      <c r="AF7" s="2">
        <v>889</v>
      </c>
      <c r="AG7" s="2" t="s">
        <v>132</v>
      </c>
      <c r="AH7" s="2" t="s">
        <v>133</v>
      </c>
      <c r="AI7" s="2" t="s">
        <v>134</v>
      </c>
      <c r="AK7" s="2" t="s">
        <v>82</v>
      </c>
      <c r="AL7" s="2">
        <v>24876204138</v>
      </c>
      <c r="AM7" s="2">
        <v>2024</v>
      </c>
      <c r="AN7" s="2">
        <v>2027</v>
      </c>
      <c r="AO7" s="2" t="s">
        <v>109</v>
      </c>
      <c r="AP7" s="2" t="s">
        <v>135</v>
      </c>
      <c r="AQ7" s="2" t="s">
        <v>136</v>
      </c>
    </row>
    <row r="8" spans="1:44" ht="85.6" customHeight="1" x14ac:dyDescent="0.35">
      <c r="A8" s="2" t="s">
        <v>44</v>
      </c>
      <c r="B8" s="2" t="s">
        <v>45</v>
      </c>
      <c r="C8" s="2" t="s">
        <v>46</v>
      </c>
      <c r="D8" s="2" t="s">
        <v>1829</v>
      </c>
      <c r="E8" s="2" t="s">
        <v>48</v>
      </c>
      <c r="F8" s="2" t="s">
        <v>111</v>
      </c>
      <c r="G8" s="2" t="s">
        <v>50</v>
      </c>
      <c r="H8" s="2" t="s">
        <v>137</v>
      </c>
      <c r="I8" s="2" t="s">
        <v>138</v>
      </c>
      <c r="J8" s="2" t="s">
        <v>139</v>
      </c>
      <c r="K8" s="2" t="s">
        <v>140</v>
      </c>
      <c r="L8" s="2" t="s">
        <v>141</v>
      </c>
      <c r="M8" s="2" t="s">
        <v>142</v>
      </c>
      <c r="N8" s="2" t="s">
        <v>143</v>
      </c>
      <c r="O8" s="2" t="s">
        <v>144</v>
      </c>
      <c r="P8" s="2" t="s">
        <v>59</v>
      </c>
      <c r="Q8" s="2" t="s">
        <v>145</v>
      </c>
      <c r="R8" s="2" t="s">
        <v>146</v>
      </c>
      <c r="S8" s="2" t="s">
        <v>147</v>
      </c>
      <c r="T8" s="2" t="s">
        <v>148</v>
      </c>
      <c r="U8" s="2" t="s">
        <v>149</v>
      </c>
      <c r="V8" s="2">
        <v>2</v>
      </c>
      <c r="W8" s="2">
        <v>5</v>
      </c>
      <c r="X8" s="2" t="s">
        <v>77</v>
      </c>
      <c r="Y8" s="2" t="s">
        <v>150</v>
      </c>
      <c r="Z8" s="2" t="s">
        <v>151</v>
      </c>
      <c r="AA8" s="2" t="s">
        <v>152</v>
      </c>
      <c r="AB8" s="2" t="s">
        <v>153</v>
      </c>
      <c r="AC8" s="2" t="s">
        <v>154</v>
      </c>
      <c r="AD8" s="2" t="s">
        <v>155</v>
      </c>
      <c r="AE8" s="2" t="s">
        <v>156</v>
      </c>
      <c r="AF8" s="2">
        <v>115</v>
      </c>
      <c r="AG8" s="2" t="s">
        <v>157</v>
      </c>
      <c r="AH8" s="2" t="s">
        <v>158</v>
      </c>
      <c r="AK8" s="2" t="s">
        <v>159</v>
      </c>
      <c r="AL8" s="2">
        <v>496881755</v>
      </c>
      <c r="AM8" s="2">
        <v>2024</v>
      </c>
      <c r="AN8" s="2">
        <v>2025</v>
      </c>
      <c r="AO8" s="2" t="s">
        <v>77</v>
      </c>
      <c r="AP8" s="2" t="s">
        <v>160</v>
      </c>
      <c r="AQ8" s="2" t="s">
        <v>110</v>
      </c>
    </row>
    <row r="9" spans="1:44" ht="36.15" hidden="1" customHeight="1" x14ac:dyDescent="0.35">
      <c r="A9" s="2" t="s">
        <v>44</v>
      </c>
      <c r="B9" s="2" t="s">
        <v>45</v>
      </c>
      <c r="C9" s="2" t="s">
        <v>161</v>
      </c>
      <c r="D9" s="2" t="s">
        <v>162</v>
      </c>
      <c r="AK9" s="2" t="s">
        <v>82</v>
      </c>
    </row>
    <row r="10" spans="1:44" ht="138.9" hidden="1" customHeight="1" x14ac:dyDescent="0.35">
      <c r="A10" s="2" t="s">
        <v>163</v>
      </c>
      <c r="B10" s="2" t="s">
        <v>45</v>
      </c>
      <c r="C10" s="2" t="s">
        <v>164</v>
      </c>
      <c r="D10" s="2" t="s">
        <v>165</v>
      </c>
      <c r="AK10" s="2" t="s">
        <v>82</v>
      </c>
    </row>
    <row r="11" spans="1:44" ht="102.4" hidden="1" customHeight="1" x14ac:dyDescent="0.35">
      <c r="A11" s="2" t="s">
        <v>166</v>
      </c>
      <c r="B11" s="2" t="s">
        <v>45</v>
      </c>
      <c r="C11" s="2" t="s">
        <v>164</v>
      </c>
      <c r="D11" s="2" t="s">
        <v>167</v>
      </c>
      <c r="AK11" s="2" t="s">
        <v>82</v>
      </c>
    </row>
    <row r="12" spans="1:44" ht="36.15" hidden="1" customHeight="1" x14ac:dyDescent="0.35">
      <c r="A12" s="2" t="s">
        <v>79</v>
      </c>
      <c r="B12" s="2" t="s">
        <v>45</v>
      </c>
      <c r="C12" s="2" t="s">
        <v>161</v>
      </c>
      <c r="D12" s="2" t="s">
        <v>168</v>
      </c>
      <c r="AK12" s="2" t="s">
        <v>82</v>
      </c>
    </row>
    <row r="13" spans="1:44" ht="101.45" hidden="1" customHeight="1" x14ac:dyDescent="0.35">
      <c r="A13" s="2" t="s">
        <v>163</v>
      </c>
      <c r="B13" s="2" t="s">
        <v>45</v>
      </c>
      <c r="C13" s="2" t="s">
        <v>164</v>
      </c>
      <c r="D13" s="2" t="s">
        <v>169</v>
      </c>
      <c r="AK13" s="2" t="s">
        <v>82</v>
      </c>
    </row>
    <row r="14" spans="1:44" ht="36.15" hidden="1" customHeight="1" x14ac:dyDescent="0.35">
      <c r="A14" s="2" t="s">
        <v>156</v>
      </c>
      <c r="B14" s="2" t="s">
        <v>45</v>
      </c>
      <c r="C14" s="2" t="s">
        <v>161</v>
      </c>
      <c r="D14" s="2" t="s">
        <v>170</v>
      </c>
      <c r="AK14" s="2" t="s">
        <v>82</v>
      </c>
    </row>
    <row r="15" spans="1:44" ht="27.15" hidden="1" customHeight="1" x14ac:dyDescent="0.35">
      <c r="A15" s="2" t="s">
        <v>79</v>
      </c>
      <c r="B15" s="2" t="s">
        <v>45</v>
      </c>
      <c r="C15" s="2" t="s">
        <v>83</v>
      </c>
      <c r="D15" s="2" t="s">
        <v>171</v>
      </c>
      <c r="AK15" s="2" t="s">
        <v>82</v>
      </c>
    </row>
    <row r="16" spans="1:44" ht="27.15" hidden="1" customHeight="1" x14ac:dyDescent="0.35">
      <c r="A16" s="2" t="s">
        <v>79</v>
      </c>
      <c r="B16" s="2" t="s">
        <v>45</v>
      </c>
      <c r="C16" s="2" t="s">
        <v>83</v>
      </c>
      <c r="D16" s="2" t="s">
        <v>172</v>
      </c>
      <c r="AK16" s="2" t="s">
        <v>82</v>
      </c>
    </row>
    <row r="17" spans="1:44" ht="43.05" hidden="1" customHeight="1" x14ac:dyDescent="0.35">
      <c r="A17" s="2" t="s">
        <v>173</v>
      </c>
      <c r="B17" s="2" t="s">
        <v>45</v>
      </c>
      <c r="C17" s="2" t="s">
        <v>83</v>
      </c>
      <c r="D17" s="2" t="s">
        <v>174</v>
      </c>
      <c r="AK17" s="2" t="s">
        <v>82</v>
      </c>
    </row>
    <row r="18" spans="1:44" ht="116.45" hidden="1" customHeight="1" x14ac:dyDescent="0.35">
      <c r="A18" s="2" t="s">
        <v>84</v>
      </c>
      <c r="B18" s="2" t="s">
        <v>45</v>
      </c>
      <c r="C18" s="2" t="s">
        <v>164</v>
      </c>
      <c r="D18" s="2" t="s">
        <v>175</v>
      </c>
      <c r="AC18" s="2" t="s">
        <v>176</v>
      </c>
      <c r="AK18" s="2" t="s">
        <v>82</v>
      </c>
    </row>
    <row r="19" spans="1:44" ht="139.80000000000001" hidden="1" customHeight="1" x14ac:dyDescent="0.35">
      <c r="A19" s="2" t="s">
        <v>163</v>
      </c>
      <c r="B19" s="2" t="s">
        <v>45</v>
      </c>
      <c r="C19" s="2" t="s">
        <v>164</v>
      </c>
      <c r="D19" s="2" t="s">
        <v>177</v>
      </c>
      <c r="AC19" s="2" t="s">
        <v>176</v>
      </c>
      <c r="AK19" s="2" t="s">
        <v>82</v>
      </c>
    </row>
    <row r="20" spans="1:44" ht="99.15" hidden="1" customHeight="1" x14ac:dyDescent="0.35">
      <c r="A20" s="2" t="s">
        <v>163</v>
      </c>
      <c r="B20" s="2" t="s">
        <v>45</v>
      </c>
      <c r="C20" s="2" t="s">
        <v>164</v>
      </c>
      <c r="D20" s="2" t="s">
        <v>178</v>
      </c>
      <c r="AC20" s="2" t="s">
        <v>176</v>
      </c>
      <c r="AK20" s="2" t="s">
        <v>82</v>
      </c>
    </row>
    <row r="21" spans="1:44" ht="36.15" hidden="1" customHeight="1" x14ac:dyDescent="0.35">
      <c r="A21" s="2" t="s">
        <v>79</v>
      </c>
      <c r="B21" s="2" t="s">
        <v>179</v>
      </c>
      <c r="C21" s="2" t="s">
        <v>83</v>
      </c>
      <c r="D21" s="2" t="s">
        <v>180</v>
      </c>
      <c r="AK21" s="2" t="s">
        <v>82</v>
      </c>
    </row>
    <row r="22" spans="1:44" ht="18.149999999999999" hidden="1" customHeight="1" x14ac:dyDescent="0.35">
      <c r="A22" s="2" t="s">
        <v>79</v>
      </c>
      <c r="B22" s="2" t="s">
        <v>181</v>
      </c>
      <c r="C22" s="2" t="s">
        <v>83</v>
      </c>
      <c r="D22" s="2" t="s">
        <v>182</v>
      </c>
      <c r="AK22" s="2" t="s">
        <v>82</v>
      </c>
    </row>
    <row r="23" spans="1:44" ht="54.25" hidden="1" customHeight="1" x14ac:dyDescent="0.35">
      <c r="A23" s="2" t="s">
        <v>79</v>
      </c>
      <c r="B23" s="2" t="s">
        <v>183</v>
      </c>
      <c r="C23" s="2" t="s">
        <v>83</v>
      </c>
      <c r="D23" s="2" t="s">
        <v>184</v>
      </c>
      <c r="AK23" s="2" t="s">
        <v>185</v>
      </c>
    </row>
    <row r="24" spans="1:44" ht="63.25" hidden="1" customHeight="1" x14ac:dyDescent="0.35">
      <c r="A24" s="2" t="s">
        <v>79</v>
      </c>
      <c r="B24" s="2" t="s">
        <v>183</v>
      </c>
      <c r="C24" s="2" t="s">
        <v>83</v>
      </c>
      <c r="D24" s="2" t="s">
        <v>186</v>
      </c>
      <c r="AK24" s="2" t="s">
        <v>82</v>
      </c>
    </row>
    <row r="25" spans="1:44" ht="54.25" hidden="1" customHeight="1" x14ac:dyDescent="0.35">
      <c r="A25" s="2" t="s">
        <v>79</v>
      </c>
      <c r="B25" s="2" t="s">
        <v>183</v>
      </c>
      <c r="C25" s="2" t="s">
        <v>83</v>
      </c>
      <c r="D25" s="2" t="s">
        <v>187</v>
      </c>
      <c r="AK25" s="2" t="s">
        <v>185</v>
      </c>
    </row>
    <row r="26" spans="1:44" ht="18.149999999999999" hidden="1" customHeight="1" x14ac:dyDescent="0.35">
      <c r="A26" s="2" t="s">
        <v>79</v>
      </c>
      <c r="B26" s="2" t="s">
        <v>183</v>
      </c>
      <c r="C26" s="2" t="s">
        <v>83</v>
      </c>
      <c r="D26" s="2" t="s">
        <v>188</v>
      </c>
      <c r="AK26" s="2" t="s">
        <v>185</v>
      </c>
    </row>
    <row r="27" spans="1:44" ht="63.25" hidden="1" customHeight="1" x14ac:dyDescent="0.35">
      <c r="A27" s="2" t="s">
        <v>44</v>
      </c>
      <c r="B27" s="2" t="s">
        <v>183</v>
      </c>
      <c r="C27" s="2" t="s">
        <v>189</v>
      </c>
      <c r="D27" s="2" t="s">
        <v>190</v>
      </c>
      <c r="AK27" s="2" t="s">
        <v>185</v>
      </c>
    </row>
    <row r="28" spans="1:44" ht="18.149999999999999" hidden="1" customHeight="1" x14ac:dyDescent="0.35">
      <c r="A28" s="2" t="s">
        <v>79</v>
      </c>
      <c r="B28" s="2" t="s">
        <v>183</v>
      </c>
      <c r="C28" s="2" t="s">
        <v>83</v>
      </c>
      <c r="D28" s="2" t="s">
        <v>191</v>
      </c>
      <c r="AK28" s="2" t="s">
        <v>185</v>
      </c>
    </row>
    <row r="29" spans="1:44" ht="45.25" hidden="1" customHeight="1" x14ac:dyDescent="0.35">
      <c r="A29" s="2" t="s">
        <v>44</v>
      </c>
      <c r="B29" s="2" t="s">
        <v>183</v>
      </c>
      <c r="C29" s="2" t="s">
        <v>189</v>
      </c>
      <c r="D29" s="2" t="s">
        <v>192</v>
      </c>
      <c r="AK29" s="2" t="s">
        <v>82</v>
      </c>
    </row>
    <row r="30" spans="1:44" ht="27.15" hidden="1" customHeight="1" x14ac:dyDescent="0.35">
      <c r="A30" s="47" t="s">
        <v>173</v>
      </c>
      <c r="B30" s="47" t="s">
        <v>183</v>
      </c>
      <c r="C30" s="47" t="s">
        <v>193</v>
      </c>
      <c r="D30" s="47" t="s">
        <v>194</v>
      </c>
      <c r="E30" s="48" t="s">
        <v>195</v>
      </c>
      <c r="F30" s="48" t="s">
        <v>111</v>
      </c>
      <c r="G30" s="48" t="s">
        <v>50</v>
      </c>
      <c r="H30" s="48" t="s">
        <v>196</v>
      </c>
      <c r="I30" s="48" t="s">
        <v>197</v>
      </c>
      <c r="J30" s="48" t="s">
        <v>198</v>
      </c>
      <c r="K30" s="48" t="s">
        <v>199</v>
      </c>
      <c r="L30" s="48" t="s">
        <v>200</v>
      </c>
      <c r="M30" s="48" t="s">
        <v>201</v>
      </c>
      <c r="N30" s="48" t="s">
        <v>202</v>
      </c>
      <c r="O30" s="48" t="s">
        <v>203</v>
      </c>
      <c r="P30" s="48" t="s">
        <v>204</v>
      </c>
      <c r="Q30" s="48" t="s">
        <v>205</v>
      </c>
      <c r="R30" s="48" t="s">
        <v>206</v>
      </c>
      <c r="S30" s="48"/>
      <c r="T30" s="48" t="s">
        <v>207</v>
      </c>
      <c r="U30" s="48" t="s">
        <v>208</v>
      </c>
      <c r="V30" s="48">
        <v>2</v>
      </c>
      <c r="W30" s="48">
        <v>5</v>
      </c>
      <c r="X30" s="48">
        <v>5</v>
      </c>
      <c r="Y30" s="48" t="s">
        <v>209</v>
      </c>
      <c r="Z30" s="48" t="s">
        <v>210</v>
      </c>
      <c r="AA30" s="48" t="s">
        <v>211</v>
      </c>
      <c r="AB30" s="48" t="s">
        <v>212</v>
      </c>
      <c r="AC30" s="48" t="s">
        <v>213</v>
      </c>
      <c r="AD30" s="48" t="s">
        <v>214</v>
      </c>
      <c r="AE30" s="48" t="s">
        <v>215</v>
      </c>
      <c r="AF30" s="48" t="s">
        <v>216</v>
      </c>
      <c r="AG30" s="48" t="s">
        <v>217</v>
      </c>
      <c r="AH30" s="48" t="s">
        <v>218</v>
      </c>
      <c r="AI30" s="48" t="s">
        <v>219</v>
      </c>
      <c r="AJ30" s="48"/>
      <c r="AK30" s="47" t="s">
        <v>185</v>
      </c>
      <c r="AL30" s="48">
        <v>438479075</v>
      </c>
      <c r="AM30" s="48">
        <v>2023</v>
      </c>
      <c r="AN30" s="48">
        <v>2025</v>
      </c>
      <c r="AO30" s="48" t="s">
        <v>77</v>
      </c>
      <c r="AP30" s="48"/>
      <c r="AQ30" s="48"/>
      <c r="AR30" s="48" t="s">
        <v>220</v>
      </c>
    </row>
    <row r="31" spans="1:44" ht="36.15" hidden="1" customHeight="1" x14ac:dyDescent="0.35">
      <c r="A31" s="47" t="s">
        <v>173</v>
      </c>
      <c r="B31" s="47" t="s">
        <v>183</v>
      </c>
      <c r="C31" s="47" t="s">
        <v>193</v>
      </c>
      <c r="D31" s="47" t="s">
        <v>221</v>
      </c>
      <c r="E31" s="48" t="s">
        <v>195</v>
      </c>
      <c r="F31" s="48" t="s">
        <v>111</v>
      </c>
      <c r="G31" s="48" t="s">
        <v>50</v>
      </c>
      <c r="H31" s="48" t="s">
        <v>196</v>
      </c>
      <c r="I31" s="48" t="s">
        <v>197</v>
      </c>
      <c r="J31" s="48" t="s">
        <v>222</v>
      </c>
      <c r="K31" s="48" t="s">
        <v>223</v>
      </c>
      <c r="L31" s="48" t="s">
        <v>224</v>
      </c>
      <c r="M31" s="48" t="s">
        <v>201</v>
      </c>
      <c r="N31" s="48" t="s">
        <v>225</v>
      </c>
      <c r="O31" s="48" t="s">
        <v>226</v>
      </c>
      <c r="P31" s="48" t="s">
        <v>204</v>
      </c>
      <c r="Q31" s="48" t="s">
        <v>227</v>
      </c>
      <c r="R31" s="48" t="s">
        <v>228</v>
      </c>
      <c r="S31" s="48"/>
      <c r="T31" s="48" t="s">
        <v>229</v>
      </c>
      <c r="U31" s="48" t="s">
        <v>230</v>
      </c>
      <c r="V31" s="48">
        <v>3</v>
      </c>
      <c r="W31" s="48">
        <v>6</v>
      </c>
      <c r="X31" s="48">
        <v>6</v>
      </c>
      <c r="Y31" s="48" t="s">
        <v>231</v>
      </c>
      <c r="Z31" s="48" t="s">
        <v>232</v>
      </c>
      <c r="AA31" s="48" t="s">
        <v>233</v>
      </c>
      <c r="AB31" s="48" t="s">
        <v>234</v>
      </c>
      <c r="AC31" s="48" t="s">
        <v>213</v>
      </c>
      <c r="AD31" s="48" t="s">
        <v>214</v>
      </c>
      <c r="AE31" s="48" t="s">
        <v>215</v>
      </c>
      <c r="AF31" s="48" t="s">
        <v>216</v>
      </c>
      <c r="AG31" s="48" t="s">
        <v>217</v>
      </c>
      <c r="AH31" s="48" t="s">
        <v>218</v>
      </c>
      <c r="AI31" s="48" t="s">
        <v>235</v>
      </c>
      <c r="AJ31" s="48"/>
      <c r="AK31" s="47" t="s">
        <v>185</v>
      </c>
      <c r="AL31" s="48">
        <v>992001757</v>
      </c>
      <c r="AM31" s="48">
        <v>2023</v>
      </c>
      <c r="AN31" s="48">
        <v>2025</v>
      </c>
      <c r="AO31" s="48" t="s">
        <v>77</v>
      </c>
      <c r="AP31" s="48"/>
      <c r="AQ31" s="48" t="s">
        <v>236</v>
      </c>
      <c r="AR31" s="48"/>
    </row>
    <row r="32" spans="1:44" ht="54.25" hidden="1" customHeight="1" x14ac:dyDescent="0.35">
      <c r="A32" s="47" t="s">
        <v>173</v>
      </c>
      <c r="B32" s="47" t="s">
        <v>183</v>
      </c>
      <c r="C32" s="47" t="s">
        <v>193</v>
      </c>
      <c r="D32" s="47" t="s">
        <v>237</v>
      </c>
      <c r="E32" s="48" t="s">
        <v>195</v>
      </c>
      <c r="F32" s="48" t="s">
        <v>111</v>
      </c>
      <c r="G32" s="48" t="s">
        <v>50</v>
      </c>
      <c r="H32" s="48" t="s">
        <v>238</v>
      </c>
      <c r="I32" s="48" t="s">
        <v>197</v>
      </c>
      <c r="J32" s="48" t="s">
        <v>239</v>
      </c>
      <c r="K32" s="48" t="s">
        <v>240</v>
      </c>
      <c r="L32" s="48" t="s">
        <v>241</v>
      </c>
      <c r="M32" s="48" t="s">
        <v>242</v>
      </c>
      <c r="N32" s="48" t="s">
        <v>243</v>
      </c>
      <c r="O32" s="48" t="s">
        <v>244</v>
      </c>
      <c r="P32" s="48" t="s">
        <v>204</v>
      </c>
      <c r="Q32" s="48" t="s">
        <v>245</v>
      </c>
      <c r="R32" s="48" t="s">
        <v>246</v>
      </c>
      <c r="S32" s="48" t="s">
        <v>247</v>
      </c>
      <c r="T32" s="48"/>
      <c r="U32" s="48" t="s">
        <v>248</v>
      </c>
      <c r="V32" s="48">
        <v>3</v>
      </c>
      <c r="W32" s="48">
        <v>6</v>
      </c>
      <c r="X32" s="48">
        <v>6</v>
      </c>
      <c r="Y32" s="48" t="s">
        <v>249</v>
      </c>
      <c r="Z32" s="48" t="s">
        <v>250</v>
      </c>
      <c r="AA32" s="48" t="s">
        <v>251</v>
      </c>
      <c r="AB32" s="48" t="s">
        <v>252</v>
      </c>
      <c r="AC32" s="48" t="s">
        <v>253</v>
      </c>
      <c r="AD32" s="48" t="s">
        <v>254</v>
      </c>
      <c r="AE32" s="48" t="s">
        <v>255</v>
      </c>
      <c r="AF32" s="48" t="s">
        <v>256</v>
      </c>
      <c r="AG32" s="48" t="s">
        <v>257</v>
      </c>
      <c r="AH32" s="48" t="s">
        <v>218</v>
      </c>
      <c r="AI32" s="48" t="s">
        <v>258</v>
      </c>
      <c r="AJ32" s="48"/>
      <c r="AK32" s="47" t="s">
        <v>82</v>
      </c>
      <c r="AL32" s="48">
        <v>290000000</v>
      </c>
      <c r="AM32" s="48">
        <v>2024</v>
      </c>
      <c r="AN32" s="48">
        <v>2026</v>
      </c>
      <c r="AO32" s="48" t="s">
        <v>109</v>
      </c>
      <c r="AP32" s="48"/>
      <c r="AQ32" s="48" t="s">
        <v>259</v>
      </c>
      <c r="AR32" s="48" t="s">
        <v>260</v>
      </c>
    </row>
    <row r="33" spans="1:44" ht="27.15" hidden="1" customHeight="1" x14ac:dyDescent="0.35">
      <c r="A33" s="47" t="s">
        <v>156</v>
      </c>
      <c r="B33" s="47" t="s">
        <v>183</v>
      </c>
      <c r="C33" s="47" t="s">
        <v>193</v>
      </c>
      <c r="D33" s="47" t="s">
        <v>261</v>
      </c>
      <c r="E33" s="48" t="s">
        <v>262</v>
      </c>
      <c r="F33" s="48" t="s">
        <v>111</v>
      </c>
      <c r="G33" s="48" t="s">
        <v>50</v>
      </c>
      <c r="H33" s="48" t="s">
        <v>263</v>
      </c>
      <c r="I33" s="48" t="s">
        <v>197</v>
      </c>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7" t="s">
        <v>185</v>
      </c>
      <c r="AL33" s="48"/>
      <c r="AM33" s="48"/>
      <c r="AN33" s="48"/>
      <c r="AO33" s="48"/>
      <c r="AP33" s="48"/>
      <c r="AQ33" s="48"/>
      <c r="AR33" s="48"/>
    </row>
    <row r="34" spans="1:44" ht="18.149999999999999" hidden="1" customHeight="1" x14ac:dyDescent="0.35">
      <c r="A34" s="47" t="s">
        <v>173</v>
      </c>
      <c r="B34" s="47" t="s">
        <v>183</v>
      </c>
      <c r="C34" s="47" t="s">
        <v>193</v>
      </c>
      <c r="D34" s="47" t="s">
        <v>264</v>
      </c>
      <c r="E34" s="48" t="s">
        <v>262</v>
      </c>
      <c r="F34" s="48" t="s">
        <v>111</v>
      </c>
      <c r="G34" s="48" t="s">
        <v>50</v>
      </c>
      <c r="H34" s="48" t="s">
        <v>265</v>
      </c>
      <c r="I34" s="48" t="s">
        <v>197</v>
      </c>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7" t="s">
        <v>185</v>
      </c>
      <c r="AL34" s="48"/>
      <c r="AM34" s="48"/>
      <c r="AN34" s="48"/>
      <c r="AO34" s="48"/>
      <c r="AP34" s="48"/>
      <c r="AQ34" s="48"/>
      <c r="AR34" s="48"/>
    </row>
    <row r="35" spans="1:44" ht="81.25" hidden="1" customHeight="1" x14ac:dyDescent="0.35">
      <c r="A35" s="2" t="s">
        <v>44</v>
      </c>
      <c r="B35" s="2" t="s">
        <v>183</v>
      </c>
      <c r="C35" s="2" t="s">
        <v>189</v>
      </c>
      <c r="D35" s="2" t="s">
        <v>266</v>
      </c>
      <c r="AK35" s="2" t="s">
        <v>82</v>
      </c>
    </row>
    <row r="36" spans="1:44" ht="18.149999999999999" hidden="1" customHeight="1" x14ac:dyDescent="0.35">
      <c r="A36" s="47" t="s">
        <v>173</v>
      </c>
      <c r="B36" s="47" t="s">
        <v>183</v>
      </c>
      <c r="C36" s="47" t="s">
        <v>193</v>
      </c>
      <c r="D36" s="47" t="s">
        <v>267</v>
      </c>
      <c r="E36" s="48" t="s">
        <v>195</v>
      </c>
      <c r="F36" s="48" t="s">
        <v>111</v>
      </c>
      <c r="G36" s="48" t="s">
        <v>50</v>
      </c>
      <c r="H36" s="48" t="s">
        <v>268</v>
      </c>
      <c r="I36" s="48" t="s">
        <v>269</v>
      </c>
      <c r="J36" s="48" t="s">
        <v>270</v>
      </c>
      <c r="K36" s="48" t="s">
        <v>271</v>
      </c>
      <c r="L36" s="48" t="s">
        <v>272</v>
      </c>
      <c r="M36" s="48" t="s">
        <v>273</v>
      </c>
      <c r="N36" s="48" t="s">
        <v>274</v>
      </c>
      <c r="O36" s="48" t="s">
        <v>275</v>
      </c>
      <c r="P36" s="48" t="s">
        <v>204</v>
      </c>
      <c r="Q36" s="48" t="s">
        <v>276</v>
      </c>
      <c r="R36" s="48" t="s">
        <v>277</v>
      </c>
      <c r="S36" s="48" t="s">
        <v>278</v>
      </c>
      <c r="T36" s="48" t="s">
        <v>279</v>
      </c>
      <c r="U36" s="48" t="s">
        <v>248</v>
      </c>
      <c r="V36" s="48">
        <v>3</v>
      </c>
      <c r="W36" s="48">
        <v>7</v>
      </c>
      <c r="X36" s="48">
        <v>7</v>
      </c>
      <c r="Y36" s="48" t="s">
        <v>280</v>
      </c>
      <c r="Z36" s="48" t="s">
        <v>281</v>
      </c>
      <c r="AA36" s="48" t="s">
        <v>282</v>
      </c>
      <c r="AB36" s="48" t="s">
        <v>283</v>
      </c>
      <c r="AC36" s="48" t="s">
        <v>284</v>
      </c>
      <c r="AD36" s="48" t="s">
        <v>285</v>
      </c>
      <c r="AE36" s="48" t="s">
        <v>286</v>
      </c>
      <c r="AF36" s="48" t="s">
        <v>287</v>
      </c>
      <c r="AG36" s="48" t="s">
        <v>288</v>
      </c>
      <c r="AH36" s="48" t="s">
        <v>218</v>
      </c>
      <c r="AI36" s="48" t="s">
        <v>289</v>
      </c>
      <c r="AJ36" s="48"/>
      <c r="AK36" s="47" t="s">
        <v>82</v>
      </c>
      <c r="AL36" s="48" t="s">
        <v>290</v>
      </c>
      <c r="AM36" s="48">
        <v>2019</v>
      </c>
      <c r="AN36" s="48">
        <v>2026</v>
      </c>
      <c r="AO36" s="48" t="s">
        <v>109</v>
      </c>
      <c r="AP36" s="48"/>
      <c r="AQ36" s="48" t="s">
        <v>291</v>
      </c>
      <c r="AR36" s="48" t="s">
        <v>292</v>
      </c>
    </row>
    <row r="37" spans="1:44" ht="36.15" hidden="1" customHeight="1" x14ac:dyDescent="0.35">
      <c r="A37" s="2" t="s">
        <v>163</v>
      </c>
      <c r="B37" s="2" t="s">
        <v>293</v>
      </c>
      <c r="C37" s="2" t="s">
        <v>164</v>
      </c>
      <c r="D37" s="2" t="s">
        <v>294</v>
      </c>
      <c r="AK37" s="2" t="s">
        <v>82</v>
      </c>
    </row>
    <row r="38" spans="1:44" ht="36.15" hidden="1" customHeight="1" x14ac:dyDescent="0.35">
      <c r="A38" s="2" t="s">
        <v>44</v>
      </c>
      <c r="B38" s="2" t="s">
        <v>293</v>
      </c>
      <c r="C38" s="2" t="s">
        <v>295</v>
      </c>
      <c r="D38" s="2" t="s">
        <v>296</v>
      </c>
      <c r="AK38" s="2" t="s">
        <v>82</v>
      </c>
    </row>
    <row r="39" spans="1:44" ht="36.15" hidden="1" customHeight="1" x14ac:dyDescent="0.35">
      <c r="A39" s="2" t="s">
        <v>44</v>
      </c>
      <c r="B39" s="2" t="s">
        <v>293</v>
      </c>
      <c r="C39" s="2" t="s">
        <v>83</v>
      </c>
      <c r="D39" s="2" t="s">
        <v>297</v>
      </c>
      <c r="AK39" s="2" t="s">
        <v>82</v>
      </c>
    </row>
    <row r="40" spans="1:44" ht="45.25" hidden="1" customHeight="1" x14ac:dyDescent="0.35">
      <c r="A40" s="2" t="s">
        <v>44</v>
      </c>
      <c r="B40" s="2" t="s">
        <v>293</v>
      </c>
      <c r="C40" s="2" t="s">
        <v>189</v>
      </c>
      <c r="D40" s="2" t="s">
        <v>298</v>
      </c>
      <c r="AK40" s="2" t="s">
        <v>82</v>
      </c>
    </row>
    <row r="41" spans="1:44" ht="36.15" hidden="1" customHeight="1" x14ac:dyDescent="0.35">
      <c r="A41" s="2" t="s">
        <v>79</v>
      </c>
      <c r="B41" s="2" t="s">
        <v>299</v>
      </c>
      <c r="C41" s="2" t="s">
        <v>83</v>
      </c>
      <c r="D41" s="2" t="s">
        <v>300</v>
      </c>
      <c r="AK41" s="2" t="s">
        <v>82</v>
      </c>
    </row>
    <row r="42" spans="1:44" ht="117.5" hidden="1" customHeight="1" x14ac:dyDescent="0.35">
      <c r="A42" s="2" t="s">
        <v>156</v>
      </c>
      <c r="B42" s="2" t="s">
        <v>299</v>
      </c>
      <c r="C42" s="2" t="s">
        <v>189</v>
      </c>
      <c r="D42" s="2" t="s">
        <v>301</v>
      </c>
      <c r="AK42" s="2" t="s">
        <v>82</v>
      </c>
    </row>
    <row r="43" spans="1:44" ht="18.149999999999999" hidden="1" customHeight="1" x14ac:dyDescent="0.35">
      <c r="A43" s="2" t="s">
        <v>44</v>
      </c>
      <c r="B43" s="2" t="s">
        <v>302</v>
      </c>
      <c r="C43" s="2" t="s">
        <v>83</v>
      </c>
      <c r="D43" s="2" t="s">
        <v>303</v>
      </c>
      <c r="AK43" s="2" t="s">
        <v>82</v>
      </c>
    </row>
    <row r="44" spans="1:44" ht="18.149999999999999" hidden="1" customHeight="1" x14ac:dyDescent="0.35">
      <c r="A44" s="2" t="s">
        <v>44</v>
      </c>
      <c r="B44" s="2" t="s">
        <v>302</v>
      </c>
      <c r="C44" s="2" t="s">
        <v>46</v>
      </c>
      <c r="D44" s="2" t="s">
        <v>303</v>
      </c>
      <c r="AK44" s="2" t="s">
        <v>82</v>
      </c>
    </row>
    <row r="45" spans="1:44" ht="36.15" hidden="1" customHeight="1" x14ac:dyDescent="0.35">
      <c r="A45" s="2" t="s">
        <v>79</v>
      </c>
      <c r="B45" s="2" t="s">
        <v>302</v>
      </c>
      <c r="C45" s="2" t="s">
        <v>164</v>
      </c>
      <c r="D45" s="2" t="s">
        <v>304</v>
      </c>
      <c r="AK45" s="2" t="s">
        <v>82</v>
      </c>
    </row>
    <row r="46" spans="1:44" ht="36.15" hidden="1" customHeight="1" x14ac:dyDescent="0.35">
      <c r="A46" s="2" t="s">
        <v>79</v>
      </c>
      <c r="B46" s="2" t="s">
        <v>305</v>
      </c>
      <c r="C46" s="2" t="s">
        <v>164</v>
      </c>
      <c r="D46" s="2" t="s">
        <v>306</v>
      </c>
      <c r="AK46" s="2" t="s">
        <v>82</v>
      </c>
    </row>
    <row r="47" spans="1:44" ht="54.25" hidden="1" customHeight="1" x14ac:dyDescent="0.35">
      <c r="A47" s="2" t="s">
        <v>79</v>
      </c>
      <c r="B47" s="2" t="s">
        <v>305</v>
      </c>
      <c r="C47" s="2" t="s">
        <v>164</v>
      </c>
      <c r="D47" s="2" t="s">
        <v>307</v>
      </c>
      <c r="AK47" s="2" t="s">
        <v>82</v>
      </c>
    </row>
    <row r="48" spans="1:44" ht="36.15" hidden="1" customHeight="1" x14ac:dyDescent="0.35">
      <c r="A48" s="2" t="s">
        <v>79</v>
      </c>
      <c r="B48" s="2" t="s">
        <v>305</v>
      </c>
      <c r="C48" s="2" t="s">
        <v>164</v>
      </c>
      <c r="D48" s="2" t="s">
        <v>308</v>
      </c>
      <c r="AK48" s="2" t="s">
        <v>82</v>
      </c>
    </row>
    <row r="49" spans="1:37" ht="36.15" hidden="1" customHeight="1" x14ac:dyDescent="0.35">
      <c r="A49" s="2" t="s">
        <v>79</v>
      </c>
      <c r="B49" s="2" t="s">
        <v>305</v>
      </c>
      <c r="C49" s="2" t="s">
        <v>164</v>
      </c>
      <c r="D49" s="2" t="s">
        <v>309</v>
      </c>
      <c r="AK49" s="2" t="s">
        <v>82</v>
      </c>
    </row>
    <row r="50" spans="1:37" ht="27.15" hidden="1" customHeight="1" x14ac:dyDescent="0.35">
      <c r="A50" s="2" t="s">
        <v>79</v>
      </c>
      <c r="B50" s="2" t="s">
        <v>305</v>
      </c>
      <c r="C50" s="2" t="s">
        <v>164</v>
      </c>
      <c r="D50" s="2" t="s">
        <v>310</v>
      </c>
      <c r="AK50" s="2" t="s">
        <v>82</v>
      </c>
    </row>
    <row r="51" spans="1:37" ht="54.25" hidden="1" customHeight="1" x14ac:dyDescent="0.35">
      <c r="A51" s="2" t="s">
        <v>79</v>
      </c>
      <c r="B51" s="2" t="s">
        <v>305</v>
      </c>
      <c r="C51" s="2" t="s">
        <v>164</v>
      </c>
      <c r="D51" s="2" t="s">
        <v>311</v>
      </c>
      <c r="AK51" s="2" t="s">
        <v>82</v>
      </c>
    </row>
    <row r="52" spans="1:37" ht="45.25" hidden="1" customHeight="1" x14ac:dyDescent="0.35">
      <c r="A52" s="2" t="s">
        <v>79</v>
      </c>
      <c r="B52" s="2" t="s">
        <v>305</v>
      </c>
      <c r="C52" s="2" t="s">
        <v>164</v>
      </c>
      <c r="D52" s="2" t="s">
        <v>312</v>
      </c>
      <c r="AK52" s="2" t="s">
        <v>82</v>
      </c>
    </row>
    <row r="53" spans="1:37" ht="27.15" hidden="1" customHeight="1" x14ac:dyDescent="0.35">
      <c r="A53" s="2" t="s">
        <v>79</v>
      </c>
      <c r="B53" s="2" t="s">
        <v>305</v>
      </c>
      <c r="C53" s="2" t="s">
        <v>164</v>
      </c>
      <c r="D53" s="2" t="s">
        <v>313</v>
      </c>
      <c r="AK53" s="2" t="s">
        <v>82</v>
      </c>
    </row>
    <row r="54" spans="1:37" ht="27.15" hidden="1" customHeight="1" x14ac:dyDescent="0.35">
      <c r="A54" s="2" t="s">
        <v>79</v>
      </c>
      <c r="B54" s="2" t="s">
        <v>305</v>
      </c>
      <c r="C54" s="2" t="s">
        <v>164</v>
      </c>
      <c r="D54" s="2" t="s">
        <v>314</v>
      </c>
      <c r="AK54" s="2" t="s">
        <v>82</v>
      </c>
    </row>
    <row r="55" spans="1:37" ht="27.15" hidden="1" customHeight="1" x14ac:dyDescent="0.35">
      <c r="A55" s="2" t="s">
        <v>79</v>
      </c>
      <c r="B55" s="2" t="s">
        <v>305</v>
      </c>
      <c r="C55" s="2" t="s">
        <v>164</v>
      </c>
      <c r="D55" s="2" t="s">
        <v>315</v>
      </c>
      <c r="AK55" s="2" t="s">
        <v>82</v>
      </c>
    </row>
    <row r="56" spans="1:37" ht="18.149999999999999" hidden="1" customHeight="1" x14ac:dyDescent="0.35">
      <c r="A56" s="2" t="s">
        <v>316</v>
      </c>
      <c r="B56" s="2" t="s">
        <v>305</v>
      </c>
      <c r="C56" s="2" t="s">
        <v>189</v>
      </c>
      <c r="D56" s="2" t="s">
        <v>317</v>
      </c>
      <c r="AK56" s="2" t="s">
        <v>82</v>
      </c>
    </row>
    <row r="57" spans="1:37" ht="36.15" hidden="1" customHeight="1" x14ac:dyDescent="0.35">
      <c r="A57" s="2" t="s">
        <v>79</v>
      </c>
      <c r="B57" s="2" t="s">
        <v>318</v>
      </c>
      <c r="C57" s="2" t="s">
        <v>83</v>
      </c>
      <c r="D57" s="2" t="s">
        <v>319</v>
      </c>
      <c r="AK57" s="2" t="s">
        <v>82</v>
      </c>
    </row>
    <row r="58" spans="1:37" ht="45.25" hidden="1" customHeight="1" x14ac:dyDescent="0.35">
      <c r="A58" s="2" t="s">
        <v>79</v>
      </c>
      <c r="B58" s="2" t="s">
        <v>318</v>
      </c>
      <c r="C58" s="2" t="s">
        <v>295</v>
      </c>
      <c r="D58" s="2" t="s">
        <v>320</v>
      </c>
      <c r="AK58" s="2" t="s">
        <v>82</v>
      </c>
    </row>
    <row r="59" spans="1:37" ht="36.15" hidden="1" customHeight="1" x14ac:dyDescent="0.35">
      <c r="A59" s="2" t="s">
        <v>44</v>
      </c>
      <c r="B59" s="2" t="s">
        <v>318</v>
      </c>
      <c r="C59" s="2" t="s">
        <v>83</v>
      </c>
      <c r="D59" s="2" t="s">
        <v>321</v>
      </c>
      <c r="AK59" s="2" t="s">
        <v>156</v>
      </c>
    </row>
    <row r="60" spans="1:37" ht="45.25" hidden="1" customHeight="1" x14ac:dyDescent="0.35">
      <c r="A60" s="2" t="s">
        <v>44</v>
      </c>
      <c r="B60" s="2" t="s">
        <v>322</v>
      </c>
      <c r="C60" s="2" t="s">
        <v>83</v>
      </c>
      <c r="D60" s="2" t="s">
        <v>323</v>
      </c>
      <c r="AK60" s="2" t="s">
        <v>82</v>
      </c>
    </row>
    <row r="61" spans="1:37" ht="45.25" hidden="1" customHeight="1" x14ac:dyDescent="0.35">
      <c r="A61" s="2" t="s">
        <v>44</v>
      </c>
      <c r="B61" s="2" t="s">
        <v>322</v>
      </c>
      <c r="C61" s="2" t="s">
        <v>83</v>
      </c>
      <c r="D61" s="2" t="s">
        <v>324</v>
      </c>
      <c r="AK61" s="2" t="s">
        <v>82</v>
      </c>
    </row>
    <row r="62" spans="1:37" ht="45.25" hidden="1" customHeight="1" x14ac:dyDescent="0.35">
      <c r="A62" s="2" t="s">
        <v>44</v>
      </c>
      <c r="B62" s="2" t="s">
        <v>322</v>
      </c>
      <c r="C62" s="2" t="s">
        <v>83</v>
      </c>
      <c r="D62" s="2" t="s">
        <v>325</v>
      </c>
      <c r="AK62" s="2" t="s">
        <v>82</v>
      </c>
    </row>
    <row r="63" spans="1:37" ht="27.15" hidden="1" customHeight="1" x14ac:dyDescent="0.35">
      <c r="A63" s="2" t="s">
        <v>44</v>
      </c>
      <c r="B63" s="2" t="s">
        <v>322</v>
      </c>
      <c r="C63" s="2" t="s">
        <v>83</v>
      </c>
      <c r="D63" s="2" t="s">
        <v>326</v>
      </c>
      <c r="AK63" s="2" t="s">
        <v>82</v>
      </c>
    </row>
    <row r="64" spans="1:37" ht="63.25" hidden="1" customHeight="1" x14ac:dyDescent="0.35">
      <c r="A64" s="2" t="s">
        <v>84</v>
      </c>
      <c r="B64" s="2" t="s">
        <v>322</v>
      </c>
      <c r="C64" s="2" t="s">
        <v>189</v>
      </c>
      <c r="D64" s="2" t="s">
        <v>327</v>
      </c>
      <c r="AK64" s="2" t="s">
        <v>82</v>
      </c>
    </row>
    <row r="65" spans="1:37" ht="63.25" hidden="1" customHeight="1" x14ac:dyDescent="0.35">
      <c r="A65" s="2" t="s">
        <v>84</v>
      </c>
      <c r="B65" s="2" t="s">
        <v>322</v>
      </c>
      <c r="C65" s="2" t="s">
        <v>189</v>
      </c>
      <c r="D65" s="2" t="s">
        <v>328</v>
      </c>
      <c r="AK65" s="2" t="s">
        <v>82</v>
      </c>
    </row>
    <row r="66" spans="1:37" ht="45.25" hidden="1" customHeight="1" x14ac:dyDescent="0.35">
      <c r="A66" s="2" t="s">
        <v>84</v>
      </c>
      <c r="B66" s="2" t="s">
        <v>322</v>
      </c>
      <c r="C66" s="2" t="s">
        <v>189</v>
      </c>
      <c r="D66" s="2" t="s">
        <v>329</v>
      </c>
      <c r="AK66" s="2" t="s">
        <v>82</v>
      </c>
    </row>
    <row r="67" spans="1:37" ht="36.15" hidden="1" customHeight="1" x14ac:dyDescent="0.35">
      <c r="A67" s="2" t="s">
        <v>84</v>
      </c>
      <c r="B67" s="2" t="s">
        <v>322</v>
      </c>
      <c r="C67" s="2" t="s">
        <v>189</v>
      </c>
      <c r="D67" s="2" t="s">
        <v>330</v>
      </c>
      <c r="AK67" s="2" t="s">
        <v>82</v>
      </c>
    </row>
    <row r="68" spans="1:37" ht="36.15" hidden="1" customHeight="1" x14ac:dyDescent="0.35">
      <c r="A68" s="2" t="s">
        <v>84</v>
      </c>
      <c r="B68" s="2" t="s">
        <v>322</v>
      </c>
      <c r="C68" s="2" t="s">
        <v>164</v>
      </c>
      <c r="D68" s="2" t="s">
        <v>331</v>
      </c>
      <c r="AK68" s="2" t="s">
        <v>82</v>
      </c>
    </row>
    <row r="69" spans="1:37" ht="36.15" hidden="1" customHeight="1" x14ac:dyDescent="0.35">
      <c r="A69" s="2" t="s">
        <v>84</v>
      </c>
      <c r="B69" s="2" t="s">
        <v>322</v>
      </c>
      <c r="C69" s="2" t="s">
        <v>332</v>
      </c>
      <c r="D69" s="2" t="s">
        <v>333</v>
      </c>
      <c r="AK69" s="2" t="s">
        <v>82</v>
      </c>
    </row>
    <row r="70" spans="1:37" ht="54.25" hidden="1" customHeight="1" x14ac:dyDescent="0.35">
      <c r="A70" s="2" t="s">
        <v>84</v>
      </c>
      <c r="B70" s="2" t="s">
        <v>322</v>
      </c>
      <c r="C70" s="2" t="s">
        <v>332</v>
      </c>
      <c r="D70" s="2" t="s">
        <v>334</v>
      </c>
      <c r="AK70" s="2" t="s">
        <v>82</v>
      </c>
    </row>
    <row r="71" spans="1:37" ht="63.25" hidden="1" customHeight="1" x14ac:dyDescent="0.35">
      <c r="A71" s="2" t="s">
        <v>84</v>
      </c>
      <c r="B71" s="2" t="s">
        <v>322</v>
      </c>
      <c r="C71" s="2" t="s">
        <v>164</v>
      </c>
      <c r="D71" s="2" t="s">
        <v>335</v>
      </c>
      <c r="AK71" s="2" t="s">
        <v>82</v>
      </c>
    </row>
    <row r="72" spans="1:37" ht="54.25" hidden="1" customHeight="1" x14ac:dyDescent="0.35">
      <c r="A72" s="2" t="s">
        <v>84</v>
      </c>
      <c r="B72" s="2" t="s">
        <v>322</v>
      </c>
      <c r="C72" s="2" t="s">
        <v>46</v>
      </c>
      <c r="D72" s="2" t="s">
        <v>336</v>
      </c>
      <c r="AK72" s="2" t="s">
        <v>82</v>
      </c>
    </row>
    <row r="73" spans="1:37" ht="36.15" hidden="1" customHeight="1" x14ac:dyDescent="0.35">
      <c r="A73" s="2" t="s">
        <v>84</v>
      </c>
      <c r="B73" s="2" t="s">
        <v>322</v>
      </c>
      <c r="C73" s="2" t="s">
        <v>164</v>
      </c>
      <c r="D73" s="2" t="s">
        <v>337</v>
      </c>
      <c r="AK73" s="2" t="s">
        <v>82</v>
      </c>
    </row>
    <row r="74" spans="1:37" ht="36.15" hidden="1" customHeight="1" x14ac:dyDescent="0.35">
      <c r="A74" s="2" t="s">
        <v>84</v>
      </c>
      <c r="B74" s="2" t="s">
        <v>322</v>
      </c>
      <c r="C74" s="2" t="s">
        <v>164</v>
      </c>
      <c r="D74" s="2" t="s">
        <v>338</v>
      </c>
      <c r="AK74" s="2" t="s">
        <v>82</v>
      </c>
    </row>
    <row r="75" spans="1:37" ht="27.15" hidden="1" customHeight="1" x14ac:dyDescent="0.35">
      <c r="A75" s="2" t="s">
        <v>84</v>
      </c>
      <c r="B75" s="2" t="s">
        <v>322</v>
      </c>
      <c r="C75" s="2" t="s">
        <v>83</v>
      </c>
      <c r="D75" s="2" t="s">
        <v>339</v>
      </c>
      <c r="AK75" s="2" t="s">
        <v>82</v>
      </c>
    </row>
    <row r="76" spans="1:37" ht="45.25" hidden="1" customHeight="1" x14ac:dyDescent="0.35">
      <c r="A76" s="2" t="s">
        <v>84</v>
      </c>
      <c r="B76" s="2" t="s">
        <v>322</v>
      </c>
      <c r="C76" s="2" t="s">
        <v>189</v>
      </c>
      <c r="D76" s="2" t="s">
        <v>340</v>
      </c>
      <c r="AK76" s="2" t="s">
        <v>82</v>
      </c>
    </row>
    <row r="77" spans="1:37" ht="45.25" hidden="1" customHeight="1" x14ac:dyDescent="0.35">
      <c r="A77" s="2" t="s">
        <v>84</v>
      </c>
      <c r="B77" s="2" t="s">
        <v>322</v>
      </c>
      <c r="C77" s="2" t="s">
        <v>46</v>
      </c>
      <c r="D77" s="2" t="s">
        <v>341</v>
      </c>
      <c r="AK77" s="2" t="s">
        <v>82</v>
      </c>
    </row>
    <row r="78" spans="1:37" ht="27.15" hidden="1" customHeight="1" x14ac:dyDescent="0.35">
      <c r="A78" s="2" t="s">
        <v>84</v>
      </c>
      <c r="B78" s="2" t="s">
        <v>342</v>
      </c>
      <c r="C78" s="2" t="s">
        <v>332</v>
      </c>
      <c r="D78" s="2" t="s">
        <v>343</v>
      </c>
      <c r="AK78" s="2" t="s">
        <v>185</v>
      </c>
    </row>
    <row r="79" spans="1:37" ht="27.15" hidden="1" customHeight="1" x14ac:dyDescent="0.35">
      <c r="A79" s="2" t="s">
        <v>84</v>
      </c>
      <c r="B79" s="2" t="s">
        <v>342</v>
      </c>
      <c r="C79" s="2" t="s">
        <v>332</v>
      </c>
      <c r="D79" s="2" t="s">
        <v>344</v>
      </c>
      <c r="AK79" s="2" t="s">
        <v>185</v>
      </c>
    </row>
    <row r="80" spans="1:37" ht="27.15" hidden="1" customHeight="1" x14ac:dyDescent="0.35">
      <c r="A80" s="2" t="s">
        <v>84</v>
      </c>
      <c r="B80" s="2" t="s">
        <v>342</v>
      </c>
      <c r="C80" s="2" t="s">
        <v>46</v>
      </c>
      <c r="D80" s="2" t="s">
        <v>345</v>
      </c>
      <c r="AK80" s="2" t="s">
        <v>159</v>
      </c>
    </row>
    <row r="81" spans="1:37" ht="27.15" hidden="1" customHeight="1" x14ac:dyDescent="0.35">
      <c r="A81" s="2" t="s">
        <v>44</v>
      </c>
      <c r="B81" s="2" t="s">
        <v>342</v>
      </c>
      <c r="C81" s="2" t="s">
        <v>83</v>
      </c>
      <c r="D81" s="2" t="s">
        <v>346</v>
      </c>
      <c r="AK81" s="2" t="s">
        <v>82</v>
      </c>
    </row>
    <row r="82" spans="1:37" ht="27.15" hidden="1" customHeight="1" x14ac:dyDescent="0.35">
      <c r="A82" s="2" t="s">
        <v>163</v>
      </c>
      <c r="B82" s="2" t="s">
        <v>342</v>
      </c>
      <c r="C82" s="2" t="s">
        <v>332</v>
      </c>
      <c r="D82" s="2" t="s">
        <v>347</v>
      </c>
      <c r="AK82" s="2" t="s">
        <v>82</v>
      </c>
    </row>
    <row r="83" spans="1:37" ht="36.15" hidden="1" customHeight="1" x14ac:dyDescent="0.35">
      <c r="A83" s="2" t="s">
        <v>163</v>
      </c>
      <c r="B83" s="2" t="s">
        <v>342</v>
      </c>
      <c r="C83" s="2" t="s">
        <v>332</v>
      </c>
      <c r="D83" s="2" t="s">
        <v>348</v>
      </c>
      <c r="AK83" s="2" t="s">
        <v>82</v>
      </c>
    </row>
    <row r="84" spans="1:37" ht="45.25" hidden="1" customHeight="1" x14ac:dyDescent="0.35">
      <c r="A84" s="2" t="s">
        <v>44</v>
      </c>
      <c r="B84" s="2" t="s">
        <v>342</v>
      </c>
      <c r="C84" s="2" t="s">
        <v>161</v>
      </c>
      <c r="D84" s="2" t="s">
        <v>349</v>
      </c>
      <c r="AK84" s="2" t="s">
        <v>82</v>
      </c>
    </row>
    <row r="85" spans="1:37" ht="36.15" hidden="1" customHeight="1" x14ac:dyDescent="0.35">
      <c r="A85" s="2" t="s">
        <v>166</v>
      </c>
      <c r="B85" s="2" t="s">
        <v>342</v>
      </c>
      <c r="C85" s="2" t="s">
        <v>295</v>
      </c>
      <c r="D85" s="2" t="s">
        <v>350</v>
      </c>
      <c r="AK85" s="2" t="s">
        <v>82</v>
      </c>
    </row>
    <row r="86" spans="1:37" ht="54.25" hidden="1" customHeight="1" x14ac:dyDescent="0.35">
      <c r="A86" s="2" t="s">
        <v>163</v>
      </c>
      <c r="B86" s="2" t="s">
        <v>351</v>
      </c>
      <c r="C86" s="2" t="s">
        <v>164</v>
      </c>
      <c r="D86" s="2" t="s">
        <v>352</v>
      </c>
      <c r="AK86" s="2" t="s">
        <v>82</v>
      </c>
    </row>
    <row r="87" spans="1:37" ht="27.15" hidden="1" customHeight="1" x14ac:dyDescent="0.35">
      <c r="A87" s="2" t="s">
        <v>44</v>
      </c>
      <c r="B87" s="2" t="s">
        <v>342</v>
      </c>
      <c r="C87" s="2" t="s">
        <v>83</v>
      </c>
      <c r="D87" s="2" t="s">
        <v>353</v>
      </c>
      <c r="AK87" s="2" t="s">
        <v>82</v>
      </c>
    </row>
    <row r="88" spans="1:37" ht="36.15" hidden="1" customHeight="1" x14ac:dyDescent="0.35">
      <c r="A88" s="2" t="s">
        <v>79</v>
      </c>
      <c r="B88" s="2" t="s">
        <v>342</v>
      </c>
      <c r="C88" s="2" t="s">
        <v>83</v>
      </c>
      <c r="D88" s="2" t="s">
        <v>354</v>
      </c>
      <c r="AK88" s="2" t="s">
        <v>159</v>
      </c>
    </row>
    <row r="89" spans="1:37" ht="72.25" hidden="1" customHeight="1" x14ac:dyDescent="0.35">
      <c r="A89" s="2" t="s">
        <v>44</v>
      </c>
      <c r="B89" s="2" t="s">
        <v>342</v>
      </c>
      <c r="C89" s="2" t="s">
        <v>83</v>
      </c>
      <c r="D89" s="2" t="s">
        <v>355</v>
      </c>
      <c r="AK89" s="2" t="s">
        <v>185</v>
      </c>
    </row>
    <row r="90" spans="1:37" ht="36.15" hidden="1" customHeight="1" x14ac:dyDescent="0.35">
      <c r="A90" s="2" t="s">
        <v>44</v>
      </c>
      <c r="B90" s="2" t="s">
        <v>356</v>
      </c>
      <c r="C90" s="2" t="s">
        <v>161</v>
      </c>
      <c r="D90" s="2" t="s">
        <v>357</v>
      </c>
      <c r="AK90" s="2" t="s">
        <v>82</v>
      </c>
    </row>
    <row r="91" spans="1:37" ht="18.149999999999999" hidden="1" customHeight="1" x14ac:dyDescent="0.35">
      <c r="A91" s="2" t="s">
        <v>358</v>
      </c>
      <c r="B91" s="2" t="s">
        <v>356</v>
      </c>
      <c r="C91" s="2" t="s">
        <v>161</v>
      </c>
      <c r="D91" s="2" t="s">
        <v>359</v>
      </c>
      <c r="H91" s="2" t="s">
        <v>360</v>
      </c>
      <c r="AC91" s="2" t="s">
        <v>253</v>
      </c>
      <c r="AE91" s="2" t="s">
        <v>71</v>
      </c>
      <c r="AK91" s="2" t="s">
        <v>82</v>
      </c>
    </row>
    <row r="92" spans="1:37" ht="27.15" hidden="1" customHeight="1" x14ac:dyDescent="0.35">
      <c r="A92" s="2" t="s">
        <v>84</v>
      </c>
      <c r="B92" s="2" t="s">
        <v>356</v>
      </c>
      <c r="C92" s="2" t="s">
        <v>83</v>
      </c>
      <c r="D92" s="2" t="s">
        <v>359</v>
      </c>
      <c r="H92" s="2" t="s">
        <v>360</v>
      </c>
      <c r="AC92" s="2" t="s">
        <v>253</v>
      </c>
      <c r="AE92" s="2" t="s">
        <v>71</v>
      </c>
      <c r="AK92" s="2" t="s">
        <v>82</v>
      </c>
    </row>
    <row r="93" spans="1:37" ht="45.25" hidden="1" customHeight="1" x14ac:dyDescent="0.35">
      <c r="A93" s="2" t="s">
        <v>163</v>
      </c>
      <c r="B93" s="2" t="s">
        <v>361</v>
      </c>
      <c r="C93" s="2" t="s">
        <v>164</v>
      </c>
      <c r="D93" s="2" t="s">
        <v>362</v>
      </c>
      <c r="AK93" s="2" t="s">
        <v>82</v>
      </c>
    </row>
    <row r="94" spans="1:37" ht="45.25" hidden="1" customHeight="1" x14ac:dyDescent="0.35">
      <c r="A94" s="2" t="s">
        <v>163</v>
      </c>
      <c r="B94" s="2" t="s">
        <v>363</v>
      </c>
      <c r="C94" s="2" t="s">
        <v>164</v>
      </c>
      <c r="D94" s="2" t="s">
        <v>364</v>
      </c>
      <c r="AK94" s="2" t="s">
        <v>82</v>
      </c>
    </row>
    <row r="95" spans="1:37" ht="45.25" hidden="1" customHeight="1" x14ac:dyDescent="0.35">
      <c r="A95" s="2" t="s">
        <v>44</v>
      </c>
      <c r="B95" s="2" t="s">
        <v>365</v>
      </c>
      <c r="C95" s="2" t="s">
        <v>161</v>
      </c>
      <c r="D95" s="2" t="s">
        <v>366</v>
      </c>
      <c r="AK95" s="2" t="s">
        <v>82</v>
      </c>
    </row>
    <row r="96" spans="1:37" ht="27.15" hidden="1" customHeight="1" x14ac:dyDescent="0.35">
      <c r="A96" s="2" t="s">
        <v>44</v>
      </c>
      <c r="B96" s="2" t="s">
        <v>365</v>
      </c>
      <c r="C96" s="2" t="s">
        <v>161</v>
      </c>
      <c r="D96" s="2" t="s">
        <v>367</v>
      </c>
      <c r="AK96" s="2" t="s">
        <v>82</v>
      </c>
    </row>
    <row r="97" spans="1:37" ht="63.25" hidden="1" customHeight="1" x14ac:dyDescent="0.35">
      <c r="A97" s="2" t="s">
        <v>44</v>
      </c>
      <c r="B97" s="2" t="s">
        <v>365</v>
      </c>
      <c r="C97" s="2" t="s">
        <v>161</v>
      </c>
      <c r="D97" s="2" t="s">
        <v>368</v>
      </c>
      <c r="AK97" s="2" t="s">
        <v>82</v>
      </c>
    </row>
    <row r="98" spans="1:37" ht="36.15" hidden="1" customHeight="1" x14ac:dyDescent="0.35">
      <c r="A98" s="2" t="s">
        <v>44</v>
      </c>
      <c r="B98" s="2" t="s">
        <v>365</v>
      </c>
      <c r="C98" s="2" t="s">
        <v>161</v>
      </c>
      <c r="D98" s="2" t="s">
        <v>369</v>
      </c>
      <c r="AK98" s="2" t="s">
        <v>82</v>
      </c>
    </row>
    <row r="99" spans="1:37" ht="27.15" hidden="1" customHeight="1" x14ac:dyDescent="0.35">
      <c r="A99" s="2" t="s">
        <v>79</v>
      </c>
      <c r="B99" s="2" t="s">
        <v>365</v>
      </c>
      <c r="C99" s="2" t="s">
        <v>83</v>
      </c>
      <c r="D99" s="2" t="s">
        <v>370</v>
      </c>
      <c r="AK99" s="2" t="s">
        <v>82</v>
      </c>
    </row>
    <row r="100" spans="1:37" ht="27.15" hidden="1" customHeight="1" x14ac:dyDescent="0.35">
      <c r="A100" s="2" t="s">
        <v>79</v>
      </c>
      <c r="B100" s="2" t="s">
        <v>365</v>
      </c>
      <c r="C100" s="2" t="s">
        <v>83</v>
      </c>
      <c r="D100" s="2" t="s">
        <v>371</v>
      </c>
      <c r="AK100" s="2" t="s">
        <v>82</v>
      </c>
    </row>
    <row r="101" spans="1:37" ht="27.15" hidden="1" customHeight="1" x14ac:dyDescent="0.35">
      <c r="A101" s="2" t="s">
        <v>79</v>
      </c>
      <c r="B101" s="2" t="s">
        <v>365</v>
      </c>
      <c r="C101" s="2" t="s">
        <v>83</v>
      </c>
      <c r="D101" s="2" t="s">
        <v>372</v>
      </c>
      <c r="AK101" s="2" t="s">
        <v>82</v>
      </c>
    </row>
    <row r="102" spans="1:37" ht="27.15" hidden="1" customHeight="1" x14ac:dyDescent="0.35">
      <c r="A102" s="2" t="s">
        <v>79</v>
      </c>
      <c r="B102" s="2" t="s">
        <v>365</v>
      </c>
      <c r="C102" s="2" t="s">
        <v>83</v>
      </c>
      <c r="D102" s="2" t="s">
        <v>373</v>
      </c>
      <c r="AK102" s="2" t="s">
        <v>82</v>
      </c>
    </row>
    <row r="103" spans="1:37" ht="18.149999999999999" hidden="1" customHeight="1" x14ac:dyDescent="0.35">
      <c r="A103" s="2" t="s">
        <v>173</v>
      </c>
      <c r="B103" s="2" t="s">
        <v>156</v>
      </c>
      <c r="C103" s="2" t="s">
        <v>164</v>
      </c>
      <c r="D103" s="2" t="s">
        <v>374</v>
      </c>
      <c r="AK103" s="2" t="s">
        <v>82</v>
      </c>
    </row>
    <row r="104" spans="1:37" ht="18.149999999999999" hidden="1" customHeight="1" x14ac:dyDescent="0.35">
      <c r="A104" s="2" t="s">
        <v>375</v>
      </c>
      <c r="B104" s="2" t="s">
        <v>156</v>
      </c>
      <c r="C104" s="2" t="s">
        <v>83</v>
      </c>
      <c r="D104" s="2" t="s">
        <v>376</v>
      </c>
      <c r="AK104" s="2" t="s">
        <v>377</v>
      </c>
    </row>
    <row r="105" spans="1:37" ht="45.25" hidden="1" customHeight="1" x14ac:dyDescent="0.35">
      <c r="A105" s="2" t="s">
        <v>79</v>
      </c>
      <c r="B105" s="2" t="s">
        <v>378</v>
      </c>
      <c r="C105" s="2" t="s">
        <v>83</v>
      </c>
      <c r="D105" s="2" t="s">
        <v>379</v>
      </c>
      <c r="AK105" s="2" t="s">
        <v>82</v>
      </c>
    </row>
    <row r="106" spans="1:37" ht="27.15" hidden="1" customHeight="1" x14ac:dyDescent="0.35">
      <c r="A106" s="2" t="s">
        <v>79</v>
      </c>
      <c r="B106" s="2" t="s">
        <v>378</v>
      </c>
      <c r="C106" s="2" t="s">
        <v>83</v>
      </c>
      <c r="D106" s="2" t="s">
        <v>380</v>
      </c>
      <c r="AK106" s="2" t="s">
        <v>82</v>
      </c>
    </row>
    <row r="107" spans="1:37" ht="27.15" hidden="1" customHeight="1" x14ac:dyDescent="0.35">
      <c r="A107" s="2" t="s">
        <v>79</v>
      </c>
      <c r="B107" s="2" t="s">
        <v>378</v>
      </c>
      <c r="C107" s="2" t="s">
        <v>83</v>
      </c>
      <c r="D107" s="2" t="s">
        <v>381</v>
      </c>
      <c r="AK107" s="2" t="s">
        <v>82</v>
      </c>
    </row>
    <row r="108" spans="1:37" ht="27.15" hidden="1" customHeight="1" x14ac:dyDescent="0.35">
      <c r="A108" s="2" t="s">
        <v>79</v>
      </c>
      <c r="B108" s="2" t="s">
        <v>378</v>
      </c>
      <c r="C108" s="2" t="s">
        <v>83</v>
      </c>
      <c r="D108" s="2" t="s">
        <v>382</v>
      </c>
      <c r="AK108" s="2" t="s">
        <v>82</v>
      </c>
    </row>
    <row r="109" spans="1:37" ht="18.149999999999999" hidden="1" customHeight="1" x14ac:dyDescent="0.35">
      <c r="A109" s="2" t="s">
        <v>79</v>
      </c>
      <c r="B109" s="2" t="s">
        <v>383</v>
      </c>
      <c r="C109" s="2" t="s">
        <v>83</v>
      </c>
      <c r="D109" s="2" t="s">
        <v>384</v>
      </c>
      <c r="AK109" s="2" t="s">
        <v>82</v>
      </c>
    </row>
    <row r="110" spans="1:37" ht="36.15" hidden="1" customHeight="1" x14ac:dyDescent="0.35">
      <c r="A110" s="2" t="s">
        <v>44</v>
      </c>
      <c r="B110" s="2" t="s">
        <v>385</v>
      </c>
      <c r="C110" s="2" t="s">
        <v>161</v>
      </c>
      <c r="D110" s="2" t="s">
        <v>386</v>
      </c>
      <c r="AK110" s="2" t="s">
        <v>185</v>
      </c>
    </row>
    <row r="111" spans="1:37" ht="90.35" hidden="1" customHeight="1" x14ac:dyDescent="0.35">
      <c r="A111" s="2" t="s">
        <v>84</v>
      </c>
      <c r="B111" s="2" t="s">
        <v>387</v>
      </c>
      <c r="C111" s="2" t="s">
        <v>83</v>
      </c>
      <c r="D111" s="2" t="s">
        <v>388</v>
      </c>
      <c r="H111" s="2" t="s">
        <v>389</v>
      </c>
      <c r="AC111" s="2" t="s">
        <v>104</v>
      </c>
      <c r="AD111" s="2" t="s">
        <v>390</v>
      </c>
      <c r="AE111" s="2" t="s">
        <v>391</v>
      </c>
      <c r="AK111" s="2" t="s">
        <v>82</v>
      </c>
    </row>
    <row r="112" spans="1:37" ht="45.25" hidden="1" customHeight="1" x14ac:dyDescent="0.35">
      <c r="A112" s="2" t="s">
        <v>84</v>
      </c>
      <c r="B112" s="2" t="s">
        <v>387</v>
      </c>
      <c r="C112" s="2" t="s">
        <v>46</v>
      </c>
      <c r="D112" s="2" t="s">
        <v>392</v>
      </c>
      <c r="AK112" s="2" t="s">
        <v>82</v>
      </c>
    </row>
    <row r="113" spans="1:37" ht="54.25" hidden="1" customHeight="1" x14ac:dyDescent="0.35">
      <c r="A113" s="2" t="s">
        <v>44</v>
      </c>
      <c r="B113" s="2" t="s">
        <v>387</v>
      </c>
      <c r="C113" s="2" t="s">
        <v>161</v>
      </c>
      <c r="D113" s="2" t="s">
        <v>393</v>
      </c>
      <c r="AK113" s="2" t="s">
        <v>82</v>
      </c>
    </row>
    <row r="114" spans="1:37" ht="36.15" hidden="1" customHeight="1" x14ac:dyDescent="0.35">
      <c r="A114" s="2" t="s">
        <v>173</v>
      </c>
      <c r="B114" s="2" t="s">
        <v>387</v>
      </c>
      <c r="C114" s="2" t="s">
        <v>164</v>
      </c>
      <c r="D114" s="2" t="s">
        <v>394</v>
      </c>
      <c r="AK114" s="2" t="s">
        <v>82</v>
      </c>
    </row>
    <row r="115" spans="1:37" ht="36.15" hidden="1" customHeight="1" x14ac:dyDescent="0.35">
      <c r="A115" s="2" t="s">
        <v>44</v>
      </c>
      <c r="B115" s="2" t="s">
        <v>395</v>
      </c>
      <c r="C115" s="2" t="s">
        <v>161</v>
      </c>
      <c r="D115" s="2" t="s">
        <v>396</v>
      </c>
      <c r="AC115" s="2" t="s">
        <v>253</v>
      </c>
      <c r="AK115" s="2" t="s">
        <v>82</v>
      </c>
    </row>
    <row r="116" spans="1:37" ht="36.15" hidden="1" customHeight="1" x14ac:dyDescent="0.35">
      <c r="A116" s="2" t="s">
        <v>44</v>
      </c>
      <c r="B116" s="2" t="s">
        <v>395</v>
      </c>
      <c r="C116" s="2" t="s">
        <v>189</v>
      </c>
      <c r="D116" s="2" t="s">
        <v>397</v>
      </c>
      <c r="AK116" s="2" t="s">
        <v>377</v>
      </c>
    </row>
    <row r="117" spans="1:37" ht="36.15" hidden="1" customHeight="1" x14ac:dyDescent="0.35">
      <c r="A117" s="2" t="s">
        <v>84</v>
      </c>
      <c r="B117" s="2" t="s">
        <v>398</v>
      </c>
      <c r="C117" s="2" t="s">
        <v>332</v>
      </c>
      <c r="D117" s="2" t="s">
        <v>399</v>
      </c>
    </row>
    <row r="118" spans="1:37" ht="27.15" hidden="1" customHeight="1" x14ac:dyDescent="0.35">
      <c r="A118" s="2" t="s">
        <v>84</v>
      </c>
      <c r="B118" s="2" t="s">
        <v>398</v>
      </c>
      <c r="C118" s="2" t="s">
        <v>332</v>
      </c>
      <c r="D118" s="2" t="s">
        <v>400</v>
      </c>
      <c r="AK118" s="2" t="s">
        <v>185</v>
      </c>
    </row>
    <row r="119" spans="1:37" ht="18.149999999999999" hidden="1" customHeight="1" x14ac:dyDescent="0.35">
      <c r="A119" s="2" t="s">
        <v>358</v>
      </c>
      <c r="B119" s="2" t="s">
        <v>398</v>
      </c>
      <c r="C119" s="2" t="s">
        <v>161</v>
      </c>
      <c r="D119" s="2" t="s">
        <v>401</v>
      </c>
      <c r="H119" s="2" t="s">
        <v>402</v>
      </c>
      <c r="AC119" s="2" t="s">
        <v>403</v>
      </c>
      <c r="AE119" s="2" t="s">
        <v>71</v>
      </c>
      <c r="AK119" s="2" t="s">
        <v>82</v>
      </c>
    </row>
    <row r="120" spans="1:37" ht="27.15" hidden="1" customHeight="1" x14ac:dyDescent="0.35">
      <c r="A120" s="2" t="s">
        <v>44</v>
      </c>
      <c r="B120" s="2" t="s">
        <v>404</v>
      </c>
      <c r="C120" s="2" t="s">
        <v>46</v>
      </c>
      <c r="D120" s="2" t="s">
        <v>405</v>
      </c>
      <c r="AK120" s="2" t="s">
        <v>82</v>
      </c>
    </row>
    <row r="121" spans="1:37" ht="27.15" hidden="1" customHeight="1" x14ac:dyDescent="0.35">
      <c r="A121" s="2" t="s">
        <v>44</v>
      </c>
      <c r="B121" s="2" t="s">
        <v>404</v>
      </c>
      <c r="C121" s="2" t="s">
        <v>46</v>
      </c>
      <c r="D121" s="2" t="s">
        <v>405</v>
      </c>
      <c r="AC121" s="2" t="s">
        <v>253</v>
      </c>
      <c r="AK121" s="2" t="s">
        <v>82</v>
      </c>
    </row>
    <row r="122" spans="1:37" ht="27.15" hidden="1" customHeight="1" x14ac:dyDescent="0.35">
      <c r="A122" s="2" t="s">
        <v>44</v>
      </c>
      <c r="B122" s="2" t="s">
        <v>404</v>
      </c>
      <c r="C122" s="2" t="s">
        <v>46</v>
      </c>
      <c r="D122" s="2" t="s">
        <v>406</v>
      </c>
      <c r="AC122" s="2" t="s">
        <v>407</v>
      </c>
      <c r="AK122" s="2" t="s">
        <v>82</v>
      </c>
    </row>
    <row r="123" spans="1:37" ht="27.15" hidden="1" customHeight="1" x14ac:dyDescent="0.35">
      <c r="A123" s="2" t="s">
        <v>44</v>
      </c>
      <c r="B123" s="2" t="s">
        <v>404</v>
      </c>
      <c r="C123" s="2" t="s">
        <v>332</v>
      </c>
      <c r="D123" s="2" t="s">
        <v>405</v>
      </c>
      <c r="H123" s="2" t="s">
        <v>408</v>
      </c>
      <c r="AC123" s="2" t="s">
        <v>409</v>
      </c>
      <c r="AD123" s="2" t="s">
        <v>410</v>
      </c>
      <c r="AK123" s="2" t="s">
        <v>82</v>
      </c>
    </row>
    <row r="124" spans="1:37" ht="81.25" hidden="1" customHeight="1" x14ac:dyDescent="0.35">
      <c r="A124" s="2" t="s">
        <v>44</v>
      </c>
      <c r="B124" s="2" t="s">
        <v>404</v>
      </c>
      <c r="C124" s="2" t="s">
        <v>161</v>
      </c>
      <c r="D124" s="2" t="s">
        <v>411</v>
      </c>
      <c r="H124" s="2" t="s">
        <v>412</v>
      </c>
      <c r="AC124" s="2" t="s">
        <v>104</v>
      </c>
      <c r="AD124" s="2" t="s">
        <v>390</v>
      </c>
      <c r="AE124" s="2" t="s">
        <v>413</v>
      </c>
      <c r="AF124" s="2" t="s">
        <v>414</v>
      </c>
      <c r="AK124" s="2" t="s">
        <v>82</v>
      </c>
    </row>
    <row r="125" spans="1:37" ht="36.15" hidden="1" customHeight="1" x14ac:dyDescent="0.35">
      <c r="A125" s="2" t="s">
        <v>415</v>
      </c>
      <c r="B125" s="2" t="s">
        <v>404</v>
      </c>
      <c r="C125" s="2" t="s">
        <v>164</v>
      </c>
      <c r="D125" s="2" t="s">
        <v>416</v>
      </c>
      <c r="AC125" s="2" t="s">
        <v>104</v>
      </c>
      <c r="AK125" s="2" t="s">
        <v>82</v>
      </c>
    </row>
    <row r="126" spans="1:37" ht="27.15" hidden="1" customHeight="1" x14ac:dyDescent="0.35">
      <c r="A126" s="2" t="s">
        <v>44</v>
      </c>
      <c r="B126" s="2" t="s">
        <v>417</v>
      </c>
      <c r="C126" s="2" t="s">
        <v>83</v>
      </c>
      <c r="D126" s="2" t="s">
        <v>418</v>
      </c>
      <c r="H126" s="2" t="s">
        <v>419</v>
      </c>
      <c r="AC126" s="2" t="s">
        <v>420</v>
      </c>
      <c r="AD126" s="2" t="s">
        <v>421</v>
      </c>
      <c r="AE126" s="2" t="s">
        <v>422</v>
      </c>
      <c r="AF126" s="2">
        <v>300</v>
      </c>
      <c r="AK126" s="2" t="s">
        <v>82</v>
      </c>
    </row>
    <row r="127" spans="1:37" ht="18.149999999999999" hidden="1" customHeight="1" x14ac:dyDescent="0.35">
      <c r="A127" s="2" t="s">
        <v>316</v>
      </c>
      <c r="B127" s="2" t="s">
        <v>156</v>
      </c>
      <c r="C127" s="2" t="s">
        <v>189</v>
      </c>
      <c r="D127" s="2" t="s">
        <v>423</v>
      </c>
      <c r="AC127" s="2" t="s">
        <v>424</v>
      </c>
      <c r="AE127" s="2" t="s">
        <v>71</v>
      </c>
      <c r="AK127" s="2" t="s">
        <v>82</v>
      </c>
    </row>
    <row r="128" spans="1:37" ht="18.149999999999999" hidden="1" customHeight="1" x14ac:dyDescent="0.35">
      <c r="A128" s="2" t="s">
        <v>316</v>
      </c>
      <c r="B128" s="2" t="s">
        <v>156</v>
      </c>
      <c r="C128" s="2" t="s">
        <v>189</v>
      </c>
      <c r="D128" s="2" t="s">
        <v>425</v>
      </c>
      <c r="AC128" s="2" t="s">
        <v>424</v>
      </c>
      <c r="AE128" s="2" t="s">
        <v>71</v>
      </c>
      <c r="AK128" s="2" t="s">
        <v>159</v>
      </c>
    </row>
    <row r="129" spans="1:44" ht="72.25" hidden="1" customHeight="1" x14ac:dyDescent="0.35">
      <c r="A129" s="2" t="s">
        <v>426</v>
      </c>
      <c r="B129" s="2" t="s">
        <v>156</v>
      </c>
      <c r="C129" s="2" t="s">
        <v>164</v>
      </c>
      <c r="D129" s="2" t="s">
        <v>427</v>
      </c>
      <c r="AC129" s="2" t="s">
        <v>104</v>
      </c>
      <c r="AE129" s="2" t="s">
        <v>422</v>
      </c>
      <c r="AK129" s="2" t="s">
        <v>82</v>
      </c>
    </row>
    <row r="130" spans="1:44" ht="27.15" hidden="1" customHeight="1" x14ac:dyDescent="0.35">
      <c r="A130" s="2" t="s">
        <v>163</v>
      </c>
      <c r="B130" s="2" t="s">
        <v>156</v>
      </c>
      <c r="C130" s="2" t="s">
        <v>164</v>
      </c>
      <c r="D130" s="2" t="s">
        <v>428</v>
      </c>
      <c r="AC130" s="2" t="s">
        <v>424</v>
      </c>
      <c r="AE130" s="2" t="s">
        <v>422</v>
      </c>
      <c r="AK130" s="2" t="s">
        <v>82</v>
      </c>
    </row>
    <row r="131" spans="1:44" ht="45.25" hidden="1" customHeight="1" x14ac:dyDescent="0.35">
      <c r="A131" s="2" t="s">
        <v>44</v>
      </c>
      <c r="B131" s="2" t="s">
        <v>45</v>
      </c>
      <c r="C131" s="2" t="s">
        <v>161</v>
      </c>
      <c r="D131" s="2" t="s">
        <v>429</v>
      </c>
      <c r="H131" s="2" t="s">
        <v>430</v>
      </c>
      <c r="AC131" s="2" t="s">
        <v>431</v>
      </c>
      <c r="AD131" s="2" t="s">
        <v>432</v>
      </c>
      <c r="AE131" s="2" t="s">
        <v>391</v>
      </c>
      <c r="AK131" s="2" t="s">
        <v>82</v>
      </c>
    </row>
    <row r="132" spans="1:44" ht="27.15" hidden="1" customHeight="1" x14ac:dyDescent="0.35">
      <c r="A132" s="2" t="s">
        <v>44</v>
      </c>
      <c r="B132" s="2" t="s">
        <v>395</v>
      </c>
      <c r="C132" s="2" t="s">
        <v>161</v>
      </c>
      <c r="D132" s="2" t="s">
        <v>433</v>
      </c>
      <c r="H132" s="2" t="s">
        <v>434</v>
      </c>
      <c r="AC132" s="2" t="s">
        <v>253</v>
      </c>
      <c r="AD132" s="2" t="s">
        <v>435</v>
      </c>
      <c r="AE132" s="2" t="s">
        <v>71</v>
      </c>
      <c r="AK132" s="2" t="s">
        <v>82</v>
      </c>
    </row>
    <row r="133" spans="1:44" ht="130.6" hidden="1" customHeight="1" x14ac:dyDescent="0.35">
      <c r="A133" s="49" t="s">
        <v>44</v>
      </c>
      <c r="B133" s="50" t="s">
        <v>183</v>
      </c>
      <c r="C133" s="50" t="s">
        <v>189</v>
      </c>
      <c r="D133" s="50" t="s">
        <v>436</v>
      </c>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t="s">
        <v>82</v>
      </c>
      <c r="AL133" s="50"/>
      <c r="AM133" s="50"/>
      <c r="AN133" s="50"/>
      <c r="AO133" s="50"/>
      <c r="AP133" s="50"/>
      <c r="AQ133" s="50"/>
      <c r="AR133" s="50"/>
    </row>
  </sheetData>
  <dataValidations count="5">
    <dataValidation type="list" allowBlank="1" showInputMessage="1" showErrorMessage="1" errorTitle="Valor no válido" error="Use la lista desplegable para seleccionar: Rol CI Palmira" promptTitle="Rol CI Palmira" prompt="Seleccione el rol que cumple el C.I. Palmira" sqref="F2:F649" xr:uid="{00000000-0002-0000-0000-000000000000}">
      <formula1>"Líder,Co-ejecutor,Apoyo,Ejecutor"</formula1>
    </dataValidation>
    <dataValidation type="list" allowBlank="1" showInputMessage="1" showErrorMessage="1" errorTitle="Valor no válido" error="Use la lista desplegable para seleccionar: Tipo de intervención" promptTitle="Tipo de intervención" prompt="Seleccione: Investigación, Desarrollo o Innovación" sqref="P2:P649" xr:uid="{00000000-0002-0000-0000-000001000000}">
      <formula1>"Investigación,Desarrollo,Innovación"</formula1>
    </dataValidation>
    <dataValidation type="list" allowBlank="1" showInputMessage="1" showErrorMessage="1" errorTitle="Valor no válido" error="Use la lista desplegable para seleccionar: TRL inicial" promptTitle="TRL inicial" prompt="Nivel de madurez tecnológica al inicio del proyecto (1=básico, 9=adoptado)" sqref="V2:V649" xr:uid="{00000000-0002-0000-0000-000002000000}">
      <formula1>"No definido,1,2,3,4,5,6,7,8,9"</formula1>
    </dataValidation>
    <dataValidation type="list" allowBlank="1" showInputMessage="1" showErrorMessage="1" errorTitle="Valor no válido" error="Use la lista desplegable para seleccionar: TRL final" promptTitle="TRL final" prompt="Nivel de madurez tecnológica al finalizar el proyecto (1=básico, 9=adoptado)" sqref="W2:W649" xr:uid="{00000000-0002-0000-0000-000003000000}">
      <formula1>"No definido,1,2,3,4,5,6,7,8,9"</formula1>
    </dataValidation>
    <dataValidation type="list" allowBlank="1" showInputMessage="1" showErrorMessage="1" errorTitle="Valor no válido" error="Use la lista desplegable para seleccionar: Estado propiedad intelectual" promptTitle="Estado propiedad intelectual" prompt="Seleccione el estado de protección de la propiedad intelectual" sqref="AJ2:AJ649" xr:uid="{00000000-0002-0000-0000-000004000000}">
      <formula1>"Con registro,En trámite,Sin PI,No aplica"</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75623"/>
  </sheetPr>
  <dimension ref="A1:C84"/>
  <sheetViews>
    <sheetView workbookViewId="0"/>
  </sheetViews>
  <sheetFormatPr baseColWidth="10" defaultColWidth="8.6640625" defaultRowHeight="14.5" x14ac:dyDescent="0.35"/>
  <cols>
    <col min="1" max="1" width="26" customWidth="1"/>
    <col min="2" max="2" width="16" customWidth="1"/>
    <col min="3" max="3" width="60" customWidth="1"/>
  </cols>
  <sheetData>
    <row r="1" spans="1:3" x14ac:dyDescent="0.35">
      <c r="A1" s="1" t="s">
        <v>2</v>
      </c>
      <c r="B1" s="1" t="s">
        <v>437</v>
      </c>
      <c r="C1" s="1" t="s">
        <v>438</v>
      </c>
    </row>
    <row r="2" spans="1:3" x14ac:dyDescent="0.35">
      <c r="A2" t="s">
        <v>439</v>
      </c>
      <c r="B2" t="s">
        <v>440</v>
      </c>
      <c r="C2" t="s">
        <v>441</v>
      </c>
    </row>
    <row r="3" spans="1:3" x14ac:dyDescent="0.35">
      <c r="A3" t="s">
        <v>439</v>
      </c>
      <c r="B3" t="s">
        <v>440</v>
      </c>
      <c r="C3" t="s">
        <v>442</v>
      </c>
    </row>
    <row r="4" spans="1:3" x14ac:dyDescent="0.35">
      <c r="A4" t="s">
        <v>439</v>
      </c>
      <c r="B4" t="s">
        <v>440</v>
      </c>
      <c r="C4" t="s">
        <v>443</v>
      </c>
    </row>
    <row r="5" spans="1:3" x14ac:dyDescent="0.35">
      <c r="A5" t="s">
        <v>439</v>
      </c>
      <c r="B5" t="s">
        <v>440</v>
      </c>
      <c r="C5" t="s">
        <v>444</v>
      </c>
    </row>
    <row r="6" spans="1:3" x14ac:dyDescent="0.35">
      <c r="A6" t="s">
        <v>439</v>
      </c>
      <c r="B6" t="s">
        <v>440</v>
      </c>
      <c r="C6" t="s">
        <v>445</v>
      </c>
    </row>
    <row r="7" spans="1:3" x14ac:dyDescent="0.35">
      <c r="A7" t="s">
        <v>439</v>
      </c>
      <c r="B7" t="s">
        <v>440</v>
      </c>
      <c r="C7" t="s">
        <v>446</v>
      </c>
    </row>
    <row r="8" spans="1:3" x14ac:dyDescent="0.35">
      <c r="A8" t="s">
        <v>439</v>
      </c>
      <c r="B8" t="s">
        <v>447</v>
      </c>
      <c r="C8" t="s">
        <v>448</v>
      </c>
    </row>
    <row r="9" spans="1:3" x14ac:dyDescent="0.35">
      <c r="A9" t="s">
        <v>439</v>
      </c>
      <c r="B9" t="s">
        <v>447</v>
      </c>
      <c r="C9" t="s">
        <v>449</v>
      </c>
    </row>
    <row r="10" spans="1:3" x14ac:dyDescent="0.35">
      <c r="A10" t="s">
        <v>439</v>
      </c>
      <c r="B10" t="s">
        <v>447</v>
      </c>
      <c r="C10" t="s">
        <v>450</v>
      </c>
    </row>
    <row r="11" spans="1:3" x14ac:dyDescent="0.35">
      <c r="A11" t="s">
        <v>439</v>
      </c>
      <c r="B11" t="s">
        <v>447</v>
      </c>
      <c r="C11" t="s">
        <v>451</v>
      </c>
    </row>
    <row r="12" spans="1:3" x14ac:dyDescent="0.35">
      <c r="A12" t="s">
        <v>439</v>
      </c>
      <c r="B12" t="s">
        <v>447</v>
      </c>
      <c r="C12" t="s">
        <v>452</v>
      </c>
    </row>
    <row r="13" spans="1:3" x14ac:dyDescent="0.35">
      <c r="A13" t="s">
        <v>439</v>
      </c>
      <c r="B13" t="s">
        <v>447</v>
      </c>
      <c r="C13" t="s">
        <v>453</v>
      </c>
    </row>
    <row r="14" spans="1:3" x14ac:dyDescent="0.35">
      <c r="A14" t="s">
        <v>439</v>
      </c>
      <c r="B14" t="s">
        <v>454</v>
      </c>
      <c r="C14" t="s">
        <v>455</v>
      </c>
    </row>
    <row r="15" spans="1:3" x14ac:dyDescent="0.35">
      <c r="A15" t="s">
        <v>439</v>
      </c>
      <c r="B15" t="s">
        <v>454</v>
      </c>
      <c r="C15" t="s">
        <v>456</v>
      </c>
    </row>
    <row r="16" spans="1:3" x14ac:dyDescent="0.35">
      <c r="A16" t="s">
        <v>439</v>
      </c>
      <c r="B16" t="s">
        <v>454</v>
      </c>
      <c r="C16" t="s">
        <v>457</v>
      </c>
    </row>
    <row r="17" spans="1:3" x14ac:dyDescent="0.35">
      <c r="A17" t="s">
        <v>439</v>
      </c>
      <c r="B17" t="s">
        <v>454</v>
      </c>
      <c r="C17" t="s">
        <v>458</v>
      </c>
    </row>
    <row r="18" spans="1:3" x14ac:dyDescent="0.35">
      <c r="A18" t="s">
        <v>439</v>
      </c>
      <c r="B18" t="s">
        <v>454</v>
      </c>
      <c r="C18" t="s">
        <v>459</v>
      </c>
    </row>
    <row r="19" spans="1:3" x14ac:dyDescent="0.35">
      <c r="A19" t="s">
        <v>460</v>
      </c>
      <c r="B19" t="s">
        <v>440</v>
      </c>
      <c r="C19" t="s">
        <v>461</v>
      </c>
    </row>
    <row r="20" spans="1:3" x14ac:dyDescent="0.35">
      <c r="A20" t="s">
        <v>460</v>
      </c>
      <c r="B20" t="s">
        <v>440</v>
      </c>
      <c r="C20" t="s">
        <v>462</v>
      </c>
    </row>
    <row r="21" spans="1:3" x14ac:dyDescent="0.35">
      <c r="A21" t="s">
        <v>460</v>
      </c>
      <c r="B21" t="s">
        <v>440</v>
      </c>
      <c r="C21" t="s">
        <v>463</v>
      </c>
    </row>
    <row r="22" spans="1:3" x14ac:dyDescent="0.35">
      <c r="A22" t="s">
        <v>460</v>
      </c>
      <c r="B22" t="s">
        <v>447</v>
      </c>
      <c r="C22" t="s">
        <v>464</v>
      </c>
    </row>
    <row r="23" spans="1:3" x14ac:dyDescent="0.35">
      <c r="A23" t="s">
        <v>460</v>
      </c>
      <c r="B23" t="s">
        <v>447</v>
      </c>
      <c r="C23" t="s">
        <v>465</v>
      </c>
    </row>
    <row r="24" spans="1:3" x14ac:dyDescent="0.35">
      <c r="A24" t="s">
        <v>460</v>
      </c>
      <c r="B24" t="s">
        <v>447</v>
      </c>
      <c r="C24" t="s">
        <v>466</v>
      </c>
    </row>
    <row r="25" spans="1:3" x14ac:dyDescent="0.35">
      <c r="A25" t="s">
        <v>460</v>
      </c>
      <c r="B25" t="s">
        <v>447</v>
      </c>
      <c r="C25" t="s">
        <v>467</v>
      </c>
    </row>
    <row r="26" spans="1:3" x14ac:dyDescent="0.35">
      <c r="A26" t="s">
        <v>460</v>
      </c>
      <c r="B26" t="s">
        <v>447</v>
      </c>
      <c r="C26" t="s">
        <v>468</v>
      </c>
    </row>
    <row r="27" spans="1:3" x14ac:dyDescent="0.35">
      <c r="A27" t="s">
        <v>460</v>
      </c>
      <c r="B27" t="s">
        <v>447</v>
      </c>
      <c r="C27" t="s">
        <v>469</v>
      </c>
    </row>
    <row r="28" spans="1:3" x14ac:dyDescent="0.35">
      <c r="A28" t="s">
        <v>460</v>
      </c>
      <c r="B28" t="s">
        <v>454</v>
      </c>
      <c r="C28" t="s">
        <v>470</v>
      </c>
    </row>
    <row r="29" spans="1:3" x14ac:dyDescent="0.35">
      <c r="A29" t="s">
        <v>460</v>
      </c>
      <c r="B29" t="s">
        <v>454</v>
      </c>
      <c r="C29" t="s">
        <v>471</v>
      </c>
    </row>
    <row r="30" spans="1:3" x14ac:dyDescent="0.35">
      <c r="A30" t="s">
        <v>460</v>
      </c>
      <c r="B30" t="s">
        <v>454</v>
      </c>
      <c r="C30" t="s">
        <v>472</v>
      </c>
    </row>
    <row r="31" spans="1:3" x14ac:dyDescent="0.35">
      <c r="A31" t="s">
        <v>460</v>
      </c>
      <c r="B31" t="s">
        <v>454</v>
      </c>
      <c r="C31" t="s">
        <v>473</v>
      </c>
    </row>
    <row r="32" spans="1:3" x14ac:dyDescent="0.35">
      <c r="A32" t="s">
        <v>474</v>
      </c>
      <c r="B32" t="s">
        <v>440</v>
      </c>
      <c r="C32" t="s">
        <v>475</v>
      </c>
    </row>
    <row r="33" spans="1:3" x14ac:dyDescent="0.35">
      <c r="A33" t="s">
        <v>474</v>
      </c>
      <c r="B33" t="s">
        <v>440</v>
      </c>
      <c r="C33" t="s">
        <v>476</v>
      </c>
    </row>
    <row r="34" spans="1:3" x14ac:dyDescent="0.35">
      <c r="A34" t="s">
        <v>474</v>
      </c>
      <c r="B34" t="s">
        <v>440</v>
      </c>
      <c r="C34" t="s">
        <v>477</v>
      </c>
    </row>
    <row r="35" spans="1:3" x14ac:dyDescent="0.35">
      <c r="A35" t="s">
        <v>474</v>
      </c>
      <c r="B35" t="s">
        <v>440</v>
      </c>
      <c r="C35" t="s">
        <v>478</v>
      </c>
    </row>
    <row r="36" spans="1:3" x14ac:dyDescent="0.35">
      <c r="A36" t="s">
        <v>474</v>
      </c>
      <c r="B36" t="s">
        <v>440</v>
      </c>
      <c r="C36" t="s">
        <v>479</v>
      </c>
    </row>
    <row r="37" spans="1:3" x14ac:dyDescent="0.35">
      <c r="A37" t="s">
        <v>474</v>
      </c>
      <c r="B37" t="s">
        <v>447</v>
      </c>
      <c r="C37" t="s">
        <v>480</v>
      </c>
    </row>
    <row r="38" spans="1:3" x14ac:dyDescent="0.35">
      <c r="A38" t="s">
        <v>474</v>
      </c>
      <c r="B38" t="s">
        <v>447</v>
      </c>
      <c r="C38" t="s">
        <v>481</v>
      </c>
    </row>
    <row r="39" spans="1:3" x14ac:dyDescent="0.35">
      <c r="A39" t="s">
        <v>474</v>
      </c>
      <c r="B39" t="s">
        <v>447</v>
      </c>
      <c r="C39" t="s">
        <v>482</v>
      </c>
    </row>
    <row r="40" spans="1:3" x14ac:dyDescent="0.35">
      <c r="A40" t="s">
        <v>474</v>
      </c>
      <c r="B40" t="s">
        <v>447</v>
      </c>
      <c r="C40" t="s">
        <v>483</v>
      </c>
    </row>
    <row r="41" spans="1:3" x14ac:dyDescent="0.35">
      <c r="A41" t="s">
        <v>474</v>
      </c>
      <c r="B41" t="s">
        <v>447</v>
      </c>
      <c r="C41" t="s">
        <v>484</v>
      </c>
    </row>
    <row r="42" spans="1:3" x14ac:dyDescent="0.35">
      <c r="A42" t="s">
        <v>474</v>
      </c>
      <c r="B42" t="s">
        <v>447</v>
      </c>
      <c r="C42" t="s">
        <v>485</v>
      </c>
    </row>
    <row r="43" spans="1:3" x14ac:dyDescent="0.35">
      <c r="A43" t="s">
        <v>474</v>
      </c>
      <c r="B43" t="s">
        <v>447</v>
      </c>
      <c r="C43" t="s">
        <v>486</v>
      </c>
    </row>
    <row r="44" spans="1:3" x14ac:dyDescent="0.35">
      <c r="A44" t="s">
        <v>474</v>
      </c>
      <c r="B44" t="s">
        <v>454</v>
      </c>
      <c r="C44" t="s">
        <v>487</v>
      </c>
    </row>
    <row r="45" spans="1:3" x14ac:dyDescent="0.35">
      <c r="A45" t="s">
        <v>474</v>
      </c>
      <c r="B45" t="s">
        <v>454</v>
      </c>
      <c r="C45" t="s">
        <v>488</v>
      </c>
    </row>
    <row r="46" spans="1:3" x14ac:dyDescent="0.35">
      <c r="A46" t="s">
        <v>474</v>
      </c>
      <c r="B46" t="s">
        <v>454</v>
      </c>
      <c r="C46" t="s">
        <v>489</v>
      </c>
    </row>
    <row r="47" spans="1:3" x14ac:dyDescent="0.35">
      <c r="A47" t="s">
        <v>474</v>
      </c>
      <c r="B47" t="s">
        <v>454</v>
      </c>
      <c r="C47" t="s">
        <v>490</v>
      </c>
    </row>
    <row r="48" spans="1:3" x14ac:dyDescent="0.35">
      <c r="A48" t="s">
        <v>474</v>
      </c>
      <c r="B48" t="s">
        <v>454</v>
      </c>
      <c r="C48" t="s">
        <v>491</v>
      </c>
    </row>
    <row r="49" spans="1:3" x14ac:dyDescent="0.35">
      <c r="A49" t="s">
        <v>474</v>
      </c>
      <c r="B49" t="s">
        <v>454</v>
      </c>
      <c r="C49" t="s">
        <v>492</v>
      </c>
    </row>
    <row r="50" spans="1:3" x14ac:dyDescent="0.35">
      <c r="A50" t="s">
        <v>493</v>
      </c>
      <c r="B50" t="s">
        <v>440</v>
      </c>
      <c r="C50" t="s">
        <v>78</v>
      </c>
    </row>
    <row r="51" spans="1:3" x14ac:dyDescent="0.35">
      <c r="A51" t="s">
        <v>493</v>
      </c>
      <c r="B51" t="s">
        <v>440</v>
      </c>
      <c r="C51" t="s">
        <v>494</v>
      </c>
    </row>
    <row r="52" spans="1:3" x14ac:dyDescent="0.35">
      <c r="A52" t="s">
        <v>493</v>
      </c>
      <c r="B52" t="s">
        <v>440</v>
      </c>
      <c r="C52" t="s">
        <v>495</v>
      </c>
    </row>
    <row r="53" spans="1:3" x14ac:dyDescent="0.35">
      <c r="A53" t="s">
        <v>493</v>
      </c>
      <c r="B53" t="s">
        <v>440</v>
      </c>
      <c r="C53" t="s">
        <v>496</v>
      </c>
    </row>
    <row r="54" spans="1:3" x14ac:dyDescent="0.35">
      <c r="A54" t="s">
        <v>493</v>
      </c>
      <c r="B54" t="s">
        <v>440</v>
      </c>
      <c r="C54" t="s">
        <v>497</v>
      </c>
    </row>
    <row r="55" spans="1:3" x14ac:dyDescent="0.35">
      <c r="A55" t="s">
        <v>493</v>
      </c>
      <c r="B55" t="s">
        <v>440</v>
      </c>
      <c r="C55" t="s">
        <v>498</v>
      </c>
    </row>
    <row r="56" spans="1:3" x14ac:dyDescent="0.35">
      <c r="A56" t="s">
        <v>493</v>
      </c>
      <c r="B56" t="s">
        <v>447</v>
      </c>
      <c r="C56" t="s">
        <v>499</v>
      </c>
    </row>
    <row r="57" spans="1:3" x14ac:dyDescent="0.35">
      <c r="A57" t="s">
        <v>493</v>
      </c>
      <c r="B57" t="s">
        <v>447</v>
      </c>
      <c r="C57" t="s">
        <v>500</v>
      </c>
    </row>
    <row r="58" spans="1:3" x14ac:dyDescent="0.35">
      <c r="A58" t="s">
        <v>493</v>
      </c>
      <c r="B58" t="s">
        <v>447</v>
      </c>
      <c r="C58" t="s">
        <v>501</v>
      </c>
    </row>
    <row r="59" spans="1:3" x14ac:dyDescent="0.35">
      <c r="A59" t="s">
        <v>493</v>
      </c>
      <c r="B59" t="s">
        <v>447</v>
      </c>
      <c r="C59" t="s">
        <v>502</v>
      </c>
    </row>
    <row r="60" spans="1:3" x14ac:dyDescent="0.35">
      <c r="A60" t="s">
        <v>493</v>
      </c>
      <c r="B60" t="s">
        <v>447</v>
      </c>
      <c r="C60" t="s">
        <v>503</v>
      </c>
    </row>
    <row r="61" spans="1:3" x14ac:dyDescent="0.35">
      <c r="A61" t="s">
        <v>493</v>
      </c>
      <c r="B61" t="s">
        <v>447</v>
      </c>
      <c r="C61" t="s">
        <v>504</v>
      </c>
    </row>
    <row r="62" spans="1:3" x14ac:dyDescent="0.35">
      <c r="A62" t="s">
        <v>493</v>
      </c>
      <c r="B62" t="s">
        <v>447</v>
      </c>
      <c r="C62" t="s">
        <v>505</v>
      </c>
    </row>
    <row r="63" spans="1:3" x14ac:dyDescent="0.35">
      <c r="A63" t="s">
        <v>493</v>
      </c>
      <c r="B63" t="s">
        <v>447</v>
      </c>
      <c r="C63" t="s">
        <v>506</v>
      </c>
    </row>
    <row r="64" spans="1:3" x14ac:dyDescent="0.35">
      <c r="A64" t="s">
        <v>493</v>
      </c>
      <c r="B64" t="s">
        <v>454</v>
      </c>
      <c r="C64" t="s">
        <v>507</v>
      </c>
    </row>
    <row r="65" spans="1:3" x14ac:dyDescent="0.35">
      <c r="A65" t="s">
        <v>493</v>
      </c>
      <c r="B65" t="s">
        <v>454</v>
      </c>
      <c r="C65" t="s">
        <v>110</v>
      </c>
    </row>
    <row r="66" spans="1:3" x14ac:dyDescent="0.35">
      <c r="A66" t="s">
        <v>493</v>
      </c>
      <c r="B66" t="s">
        <v>454</v>
      </c>
      <c r="C66" t="s">
        <v>508</v>
      </c>
    </row>
    <row r="67" spans="1:3" x14ac:dyDescent="0.35">
      <c r="A67" t="s">
        <v>493</v>
      </c>
      <c r="B67" t="s">
        <v>454</v>
      </c>
      <c r="C67" t="s">
        <v>509</v>
      </c>
    </row>
    <row r="68" spans="1:3" x14ac:dyDescent="0.35">
      <c r="A68" t="s">
        <v>493</v>
      </c>
      <c r="B68" t="s">
        <v>454</v>
      </c>
      <c r="C68" t="s">
        <v>510</v>
      </c>
    </row>
    <row r="69" spans="1:3" x14ac:dyDescent="0.35">
      <c r="A69" t="s">
        <v>511</v>
      </c>
      <c r="B69" t="s">
        <v>440</v>
      </c>
      <c r="C69" t="s">
        <v>512</v>
      </c>
    </row>
    <row r="70" spans="1:3" x14ac:dyDescent="0.35">
      <c r="A70" t="s">
        <v>511</v>
      </c>
      <c r="B70" t="s">
        <v>440</v>
      </c>
      <c r="C70" t="s">
        <v>513</v>
      </c>
    </row>
    <row r="71" spans="1:3" x14ac:dyDescent="0.35">
      <c r="A71" t="s">
        <v>511</v>
      </c>
      <c r="B71" t="s">
        <v>440</v>
      </c>
      <c r="C71" t="s">
        <v>514</v>
      </c>
    </row>
    <row r="72" spans="1:3" x14ac:dyDescent="0.35">
      <c r="A72" t="s">
        <v>511</v>
      </c>
      <c r="B72" t="s">
        <v>440</v>
      </c>
      <c r="C72" t="s">
        <v>515</v>
      </c>
    </row>
    <row r="73" spans="1:3" x14ac:dyDescent="0.35">
      <c r="A73" t="s">
        <v>511</v>
      </c>
      <c r="B73" t="s">
        <v>440</v>
      </c>
      <c r="C73" t="s">
        <v>516</v>
      </c>
    </row>
    <row r="74" spans="1:3" x14ac:dyDescent="0.35">
      <c r="A74" t="s">
        <v>511</v>
      </c>
      <c r="B74" t="s">
        <v>447</v>
      </c>
      <c r="C74" t="s">
        <v>517</v>
      </c>
    </row>
    <row r="75" spans="1:3" x14ac:dyDescent="0.35">
      <c r="A75" t="s">
        <v>511</v>
      </c>
      <c r="B75" t="s">
        <v>447</v>
      </c>
      <c r="C75" t="s">
        <v>518</v>
      </c>
    </row>
    <row r="76" spans="1:3" x14ac:dyDescent="0.35">
      <c r="A76" t="s">
        <v>511</v>
      </c>
      <c r="B76" t="s">
        <v>447</v>
      </c>
      <c r="C76" t="s">
        <v>519</v>
      </c>
    </row>
    <row r="77" spans="1:3" x14ac:dyDescent="0.35">
      <c r="A77" t="s">
        <v>511</v>
      </c>
      <c r="B77" t="s">
        <v>447</v>
      </c>
      <c r="C77" t="s">
        <v>520</v>
      </c>
    </row>
    <row r="78" spans="1:3" x14ac:dyDescent="0.35">
      <c r="A78" t="s">
        <v>511</v>
      </c>
      <c r="B78" t="s">
        <v>447</v>
      </c>
      <c r="C78" t="s">
        <v>521</v>
      </c>
    </row>
    <row r="79" spans="1:3" x14ac:dyDescent="0.35">
      <c r="A79" t="s">
        <v>511</v>
      </c>
      <c r="B79" t="s">
        <v>447</v>
      </c>
      <c r="C79" t="s">
        <v>522</v>
      </c>
    </row>
    <row r="80" spans="1:3" x14ac:dyDescent="0.35">
      <c r="A80" t="s">
        <v>511</v>
      </c>
      <c r="B80" t="s">
        <v>454</v>
      </c>
      <c r="C80" t="s">
        <v>523</v>
      </c>
    </row>
    <row r="81" spans="1:3" x14ac:dyDescent="0.35">
      <c r="A81" t="s">
        <v>511</v>
      </c>
      <c r="B81" t="s">
        <v>454</v>
      </c>
      <c r="C81" t="s">
        <v>524</v>
      </c>
    </row>
    <row r="82" spans="1:3" x14ac:dyDescent="0.35">
      <c r="A82" t="s">
        <v>511</v>
      </c>
      <c r="B82" t="s">
        <v>454</v>
      </c>
      <c r="C82" t="s">
        <v>525</v>
      </c>
    </row>
    <row r="83" spans="1:3" x14ac:dyDescent="0.35">
      <c r="A83" t="s">
        <v>511</v>
      </c>
      <c r="B83" t="s">
        <v>454</v>
      </c>
      <c r="C83" t="s">
        <v>526</v>
      </c>
    </row>
    <row r="84" spans="1:3" x14ac:dyDescent="0.35">
      <c r="A84" t="s">
        <v>511</v>
      </c>
      <c r="B84" t="s">
        <v>454</v>
      </c>
      <c r="C84" t="s">
        <v>527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33C00"/>
  </sheetPr>
  <dimension ref="A1:H2998"/>
  <sheetViews>
    <sheetView topLeftCell="D3" workbookViewId="0"/>
  </sheetViews>
  <sheetFormatPr baseColWidth="10" defaultColWidth="8.6640625" defaultRowHeight="14.5" x14ac:dyDescent="0.35"/>
  <cols>
    <col min="1" max="1" width="14" customWidth="1"/>
    <col min="2" max="2" width="42" customWidth="1"/>
    <col min="3" max="3" width="16" customWidth="1"/>
    <col min="4" max="4" width="28" customWidth="1"/>
    <col min="5" max="5" width="24" customWidth="1"/>
    <col min="6" max="6" width="45" customWidth="1"/>
    <col min="7" max="7" width="38" customWidth="1"/>
    <col min="8" max="8" width="24" customWidth="1"/>
  </cols>
  <sheetData>
    <row r="1" spans="1:8" x14ac:dyDescent="0.35">
      <c r="A1" s="4" t="s">
        <v>528</v>
      </c>
      <c r="B1" s="4" t="s">
        <v>438</v>
      </c>
      <c r="C1" s="4" t="s">
        <v>437</v>
      </c>
      <c r="D1" s="4" t="s">
        <v>2</v>
      </c>
      <c r="E1" s="4" t="s">
        <v>1</v>
      </c>
      <c r="F1" s="4" t="s">
        <v>529</v>
      </c>
      <c r="G1" s="4" t="s">
        <v>0</v>
      </c>
      <c r="H1" s="4" t="s">
        <v>4</v>
      </c>
    </row>
    <row r="2" spans="1:8" ht="29" customHeight="1" x14ac:dyDescent="0.35">
      <c r="A2" s="5" t="str">
        <f>IFERROR(IF(Portafolio_Proyectos!$AP2="","","CAP-"&amp;ROW()-1),"")</f>
        <v>CAP-1</v>
      </c>
      <c r="B2" s="5" t="str">
        <f>IFERROR(IF(Portafolio_Proyectos!$AP2="","",Portafolio_Proyectos!$AP2),"")</f>
        <v>Indicadores de sostenibilidad ambiental</v>
      </c>
      <c r="C2" s="5" t="str">
        <f>IFERROR(IF(Portafolio_Proyectos!$AP2="","","Emergente"),"")</f>
        <v>Emergente</v>
      </c>
      <c r="D2" s="5" t="str">
        <f>IFERROR(IF(Portafolio_Proyectos!$AP2="","",Portafolio_Proyectos!$C2),"")</f>
        <v>Fisiología vegetal y nutrición</v>
      </c>
      <c r="E2" s="5" t="str">
        <f>IFERROR(IF(Portafolio_Proyectos!$AP2="","",Portafolio_Proyectos!$B2),"")</f>
        <v>Aguacate Hass</v>
      </c>
      <c r="F2" s="5" t="str">
        <f>IFERROR(IF(Portafolio_Proyectos!$AP2="","",Portafolio_Proyectos!$D2),"")</f>
        <v xml:space="preserve">Convenio 1790. Manejo integrado del cultivo </v>
      </c>
      <c r="G2" s="5" t="str">
        <f>IFERROR(IF(Portafolio_Proyectos!$AP2="","",Portafolio_Proyectos!$A2),"")</f>
        <v>Bioeconomía: Prácticas de agricultura sostenible</v>
      </c>
      <c r="H2" s="5" t="str">
        <f>IFERROR(IF(Portafolio_Proyectos!$AP2="","",Portafolio_Proyectos!$E2),"")</f>
        <v>Alexander Rebolledo Roa</v>
      </c>
    </row>
    <row r="3" spans="1:8" x14ac:dyDescent="0.35">
      <c r="A3" s="5" t="str">
        <f>IFERROR(IF(Portafolio_Proyectos!$AQ2="","","CAP-"&amp;ROW()-1),"")</f>
        <v/>
      </c>
      <c r="B3" s="5" t="str">
        <f>IFERROR(IF(Portafolio_Proyectos!$AQ2="","",Portafolio_Proyectos!$AQ2),"")</f>
        <v/>
      </c>
      <c r="C3" s="5" t="str">
        <f>IFERROR(IF(Portafolio_Proyectos!$AQ2="","","Consolidada"),"")</f>
        <v/>
      </c>
      <c r="D3" s="5" t="str">
        <f>IFERROR(IF(Portafolio_Proyectos!$AQ2="","",Portafolio_Proyectos!$C2),"")</f>
        <v/>
      </c>
      <c r="E3" s="5" t="str">
        <f>IFERROR(IF(Portafolio_Proyectos!$AQ2="","",Portafolio_Proyectos!$B2),"")</f>
        <v/>
      </c>
      <c r="F3" s="5" t="str">
        <f>IFERROR(IF(Portafolio_Proyectos!$AQ2="","",Portafolio_Proyectos!$D2),"")</f>
        <v/>
      </c>
      <c r="G3" s="5" t="str">
        <f>IFERROR(IF(Portafolio_Proyectos!$AQ2="","",Portafolio_Proyectos!$A2),"")</f>
        <v/>
      </c>
      <c r="H3" s="5" t="str">
        <f>IFERROR(IF(Portafolio_Proyectos!$AQ2="","",Portafolio_Proyectos!$E2),"")</f>
        <v/>
      </c>
    </row>
    <row r="4" spans="1:8" x14ac:dyDescent="0.35">
      <c r="A4" s="5" t="str">
        <f>IFERROR(IF(Portafolio_Proyectos!$AR2="","","CAP-"&amp;ROW()-1),"")</f>
        <v/>
      </c>
      <c r="B4" s="5" t="str">
        <f>IFERROR(IF(Portafolio_Proyectos!$AR2="","",Portafolio_Proyectos!$AR2),"")</f>
        <v/>
      </c>
      <c r="C4" s="5" t="str">
        <f>IFERROR(IF(Portafolio_Proyectos!$AR2="","","Distintiva"),"")</f>
        <v/>
      </c>
      <c r="D4" s="5" t="str">
        <f>IFERROR(IF(Portafolio_Proyectos!$AR2="","",Portafolio_Proyectos!$C2),"")</f>
        <v/>
      </c>
      <c r="E4" s="5" t="str">
        <f>IFERROR(IF(Portafolio_Proyectos!$AR2="","",Portafolio_Proyectos!$B2),"")</f>
        <v/>
      </c>
      <c r="F4" s="5" t="str">
        <f>IFERROR(IF(Portafolio_Proyectos!$AR2="","",Portafolio_Proyectos!$D2),"")</f>
        <v/>
      </c>
      <c r="G4" s="5" t="str">
        <f>IFERROR(IF(Portafolio_Proyectos!$AR2="","",Portafolio_Proyectos!$A2),"")</f>
        <v/>
      </c>
      <c r="H4" s="5" t="str">
        <f>IFERROR(IF(Portafolio_Proyectos!$AR2="","",Portafolio_Proyectos!$E2),"")</f>
        <v/>
      </c>
    </row>
    <row r="5" spans="1:8" x14ac:dyDescent="0.35">
      <c r="A5" s="5" t="str">
        <f>IFERROR(IF(Portafolio_Proyectos!$AP3="","","CAP-"&amp;ROW()-1),"")</f>
        <v/>
      </c>
      <c r="B5" s="5" t="str">
        <f>IFERROR(IF(Portafolio_Proyectos!$AP3="","",Portafolio_Proyectos!$AP3),"")</f>
        <v/>
      </c>
      <c r="C5" s="5" t="str">
        <f>IFERROR(IF(Portafolio_Proyectos!$AP3="","","Emergente"),"")</f>
        <v/>
      </c>
      <c r="D5" s="5" t="str">
        <f>IFERROR(IF(Portafolio_Proyectos!$AP3="","",Portafolio_Proyectos!$C3),"")</f>
        <v/>
      </c>
      <c r="E5" s="5" t="str">
        <f>IFERROR(IF(Portafolio_Proyectos!$AP3="","",Portafolio_Proyectos!$B3),"")</f>
        <v/>
      </c>
      <c r="F5" s="5" t="str">
        <f>IFERROR(IF(Portafolio_Proyectos!$AP3="","",Portafolio_Proyectos!$D3),"")</f>
        <v/>
      </c>
      <c r="G5" s="5" t="str">
        <f>IFERROR(IF(Portafolio_Proyectos!$AP3="","",Portafolio_Proyectos!$A3),"")</f>
        <v/>
      </c>
      <c r="H5" s="5" t="str">
        <f>IFERROR(IF(Portafolio_Proyectos!$AP3="","",Portafolio_Proyectos!$E3),"")</f>
        <v/>
      </c>
    </row>
    <row r="6" spans="1:8" x14ac:dyDescent="0.35">
      <c r="A6" s="5" t="str">
        <f>IFERROR(IF(Portafolio_Proyectos!$AQ3="","","CAP-"&amp;ROW()-1),"")</f>
        <v/>
      </c>
      <c r="B6" s="5" t="str">
        <f>IFERROR(IF(Portafolio_Proyectos!$AQ3="","",Portafolio_Proyectos!$AQ3),"")</f>
        <v/>
      </c>
      <c r="C6" s="5" t="str">
        <f>IFERROR(IF(Portafolio_Proyectos!$AQ3="","","Consolidada"),"")</f>
        <v/>
      </c>
      <c r="D6" s="5" t="str">
        <f>IFERROR(IF(Portafolio_Proyectos!$AQ3="","",Portafolio_Proyectos!$C3),"")</f>
        <v/>
      </c>
      <c r="E6" s="5" t="str">
        <f>IFERROR(IF(Portafolio_Proyectos!$AQ3="","",Portafolio_Proyectos!$B3),"")</f>
        <v/>
      </c>
      <c r="F6" s="5" t="str">
        <f>IFERROR(IF(Portafolio_Proyectos!$AQ3="","",Portafolio_Proyectos!$D3),"")</f>
        <v/>
      </c>
      <c r="G6" s="5" t="str">
        <f>IFERROR(IF(Portafolio_Proyectos!$AQ3="","",Portafolio_Proyectos!$A3),"")</f>
        <v/>
      </c>
      <c r="H6" s="5" t="str">
        <f>IFERROR(IF(Portafolio_Proyectos!$AQ3="","",Portafolio_Proyectos!$E3),"")</f>
        <v/>
      </c>
    </row>
    <row r="7" spans="1:8" x14ac:dyDescent="0.35">
      <c r="A7" s="5" t="str">
        <f>IFERROR(IF(Portafolio_Proyectos!$AR3="","","CAP-"&amp;ROW()-1),"")</f>
        <v/>
      </c>
      <c r="B7" s="5" t="str">
        <f>IFERROR(IF(Portafolio_Proyectos!$AR3="","",Portafolio_Proyectos!$AR3),"")</f>
        <v/>
      </c>
      <c r="C7" s="5" t="str">
        <f>IFERROR(IF(Portafolio_Proyectos!$AR3="","","Distintiva"),"")</f>
        <v/>
      </c>
      <c r="D7" s="5" t="str">
        <f>IFERROR(IF(Portafolio_Proyectos!$AR3="","",Portafolio_Proyectos!$C3),"")</f>
        <v/>
      </c>
      <c r="E7" s="5" t="str">
        <f>IFERROR(IF(Portafolio_Proyectos!$AR3="","",Portafolio_Proyectos!$B3),"")</f>
        <v/>
      </c>
      <c r="F7" s="5" t="str">
        <f>IFERROR(IF(Portafolio_Proyectos!$AR3="","",Portafolio_Proyectos!$D3),"")</f>
        <v/>
      </c>
      <c r="G7" s="5" t="str">
        <f>IFERROR(IF(Portafolio_Proyectos!$AR3="","",Portafolio_Proyectos!$A3),"")</f>
        <v/>
      </c>
      <c r="H7" s="5" t="str">
        <f>IFERROR(IF(Portafolio_Proyectos!$AR3="","",Portafolio_Proyectos!$E3),"")</f>
        <v/>
      </c>
    </row>
    <row r="8" spans="1:8" x14ac:dyDescent="0.35">
      <c r="A8" s="5" t="str">
        <f>IFERROR(IF(Portafolio_Proyectos!$AP4="","","CAP-"&amp;ROW()-1),"")</f>
        <v/>
      </c>
      <c r="B8" s="5" t="str">
        <f>IFERROR(IF(Portafolio_Proyectos!$AP4="","",Portafolio_Proyectos!$AP4),"")</f>
        <v/>
      </c>
      <c r="C8" s="5" t="str">
        <f>IFERROR(IF(Portafolio_Proyectos!$AP4="","","Emergente"),"")</f>
        <v/>
      </c>
      <c r="D8" s="5" t="str">
        <f>IFERROR(IF(Portafolio_Proyectos!$AP4="","",Portafolio_Proyectos!$C4),"")</f>
        <v/>
      </c>
      <c r="E8" s="5" t="str">
        <f>IFERROR(IF(Portafolio_Proyectos!$AP4="","",Portafolio_Proyectos!$B4),"")</f>
        <v/>
      </c>
      <c r="F8" s="5" t="str">
        <f>IFERROR(IF(Portafolio_Proyectos!$AP4="","",Portafolio_Proyectos!$D4),"")</f>
        <v/>
      </c>
      <c r="G8" s="5" t="str">
        <f>IFERROR(IF(Portafolio_Proyectos!$AP4="","",Portafolio_Proyectos!$A4),"")</f>
        <v/>
      </c>
      <c r="H8" s="5" t="str">
        <f>IFERROR(IF(Portafolio_Proyectos!$AP4="","",Portafolio_Proyectos!$E4),"")</f>
        <v/>
      </c>
    </row>
    <row r="9" spans="1:8" x14ac:dyDescent="0.35">
      <c r="A9" s="5" t="str">
        <f>IFERROR(IF(Portafolio_Proyectos!$AQ4="","","CAP-"&amp;ROW()-1),"")</f>
        <v/>
      </c>
      <c r="B9" s="5" t="str">
        <f>IFERROR(IF(Portafolio_Proyectos!$AQ4="","",Portafolio_Proyectos!$AQ4),"")</f>
        <v/>
      </c>
      <c r="C9" s="5" t="str">
        <f>IFERROR(IF(Portafolio_Proyectos!$AQ4="","","Consolidada"),"")</f>
        <v/>
      </c>
      <c r="D9" s="5" t="str">
        <f>IFERROR(IF(Portafolio_Proyectos!$AQ4="","",Portafolio_Proyectos!$C4),"")</f>
        <v/>
      </c>
      <c r="E9" s="5" t="str">
        <f>IFERROR(IF(Portafolio_Proyectos!$AQ4="","",Portafolio_Proyectos!$B4),"")</f>
        <v/>
      </c>
      <c r="F9" s="5" t="str">
        <f>IFERROR(IF(Portafolio_Proyectos!$AQ4="","",Portafolio_Proyectos!$D4),"")</f>
        <v/>
      </c>
      <c r="G9" s="5" t="str">
        <f>IFERROR(IF(Portafolio_Proyectos!$AQ4="","",Portafolio_Proyectos!$A4),"")</f>
        <v/>
      </c>
      <c r="H9" s="5" t="str">
        <f>IFERROR(IF(Portafolio_Proyectos!$AQ4="","",Portafolio_Proyectos!$E4),"")</f>
        <v/>
      </c>
    </row>
    <row r="10" spans="1:8" x14ac:dyDescent="0.35">
      <c r="A10" s="5" t="str">
        <f>IFERROR(IF(Portafolio_Proyectos!$AR4="","","CAP-"&amp;ROW()-1),"")</f>
        <v/>
      </c>
      <c r="B10" s="5" t="str">
        <f>IFERROR(IF(Portafolio_Proyectos!$AR4="","",Portafolio_Proyectos!$AR4),"")</f>
        <v/>
      </c>
      <c r="C10" s="5" t="str">
        <f>IFERROR(IF(Portafolio_Proyectos!$AR4="","","Distintiva"),"")</f>
        <v/>
      </c>
      <c r="D10" s="5" t="str">
        <f>IFERROR(IF(Portafolio_Proyectos!$AR4="","",Portafolio_Proyectos!$C4),"")</f>
        <v/>
      </c>
      <c r="E10" s="5" t="str">
        <f>IFERROR(IF(Portafolio_Proyectos!$AR4="","",Portafolio_Proyectos!$B4),"")</f>
        <v/>
      </c>
      <c r="F10" s="5" t="str">
        <f>IFERROR(IF(Portafolio_Proyectos!$AR4="","",Portafolio_Proyectos!$D4),"")</f>
        <v/>
      </c>
      <c r="G10" s="5" t="str">
        <f>IFERROR(IF(Portafolio_Proyectos!$AR4="","",Portafolio_Proyectos!$A4),"")</f>
        <v/>
      </c>
      <c r="H10" s="5" t="str">
        <f>IFERROR(IF(Portafolio_Proyectos!$AR4="","",Portafolio_Proyectos!$E4),"")</f>
        <v/>
      </c>
    </row>
    <row r="11" spans="1:8" x14ac:dyDescent="0.35">
      <c r="A11" s="5" t="str">
        <f>IFERROR(IF(Portafolio_Proyectos!$AP5="","","CAP-"&amp;ROW()-1),"")</f>
        <v/>
      </c>
      <c r="B11" s="5" t="str">
        <f>IFERROR(IF(Portafolio_Proyectos!$AP5="","",Portafolio_Proyectos!$AP5),"")</f>
        <v/>
      </c>
      <c r="C11" s="5" t="str">
        <f>IFERROR(IF(Portafolio_Proyectos!$AP5="","","Emergente"),"")</f>
        <v/>
      </c>
      <c r="D11" s="5" t="str">
        <f>IFERROR(IF(Portafolio_Proyectos!$AP5="","",Portafolio_Proyectos!$C5),"")</f>
        <v/>
      </c>
      <c r="E11" s="5" t="str">
        <f>IFERROR(IF(Portafolio_Proyectos!$AP5="","",Portafolio_Proyectos!$B5),"")</f>
        <v/>
      </c>
      <c r="F11" s="5" t="str">
        <f>IFERROR(IF(Portafolio_Proyectos!$AP5="","",Portafolio_Proyectos!$D5),"")</f>
        <v/>
      </c>
      <c r="G11" s="5" t="str">
        <f>IFERROR(IF(Portafolio_Proyectos!$AP5="","",Portafolio_Proyectos!$A5),"")</f>
        <v/>
      </c>
      <c r="H11" s="5" t="str">
        <f>IFERROR(IF(Portafolio_Proyectos!$AP5="","",Portafolio_Proyectos!$E5),"")</f>
        <v/>
      </c>
    </row>
    <row r="12" spans="1:8" x14ac:dyDescent="0.35">
      <c r="A12" s="5" t="str">
        <f>IFERROR(IF(Portafolio_Proyectos!$AQ5="","","CAP-"&amp;ROW()-1),"")</f>
        <v/>
      </c>
      <c r="B12" s="5" t="str">
        <f>IFERROR(IF(Portafolio_Proyectos!$AQ5="","",Portafolio_Proyectos!$AQ5),"")</f>
        <v/>
      </c>
      <c r="C12" s="5" t="str">
        <f>IFERROR(IF(Portafolio_Proyectos!$AQ5="","","Consolidada"),"")</f>
        <v/>
      </c>
      <c r="D12" s="5" t="str">
        <f>IFERROR(IF(Portafolio_Proyectos!$AQ5="","",Portafolio_Proyectos!$C5),"")</f>
        <v/>
      </c>
      <c r="E12" s="5" t="str">
        <f>IFERROR(IF(Portafolio_Proyectos!$AQ5="","",Portafolio_Proyectos!$B5),"")</f>
        <v/>
      </c>
      <c r="F12" s="5" t="str">
        <f>IFERROR(IF(Portafolio_Proyectos!$AQ5="","",Portafolio_Proyectos!$D5),"")</f>
        <v/>
      </c>
      <c r="G12" s="5" t="str">
        <f>IFERROR(IF(Portafolio_Proyectos!$AQ5="","",Portafolio_Proyectos!$A5),"")</f>
        <v/>
      </c>
      <c r="H12" s="5" t="str">
        <f>IFERROR(IF(Portafolio_Proyectos!$AQ5="","",Portafolio_Proyectos!$E5),"")</f>
        <v/>
      </c>
    </row>
    <row r="13" spans="1:8" x14ac:dyDescent="0.35">
      <c r="A13" s="5" t="str">
        <f>IFERROR(IF(Portafolio_Proyectos!$AR5="","","CAP-"&amp;ROW()-1),"")</f>
        <v/>
      </c>
      <c r="B13" s="5" t="str">
        <f>IFERROR(IF(Portafolio_Proyectos!$AR5="","",Portafolio_Proyectos!$AR5),"")</f>
        <v/>
      </c>
      <c r="C13" s="5" t="str">
        <f>IFERROR(IF(Portafolio_Proyectos!$AR5="","","Distintiva"),"")</f>
        <v/>
      </c>
      <c r="D13" s="5" t="str">
        <f>IFERROR(IF(Portafolio_Proyectos!$AR5="","",Portafolio_Proyectos!$C5),"")</f>
        <v/>
      </c>
      <c r="E13" s="5" t="str">
        <f>IFERROR(IF(Portafolio_Proyectos!$AR5="","",Portafolio_Proyectos!$B5),"")</f>
        <v/>
      </c>
      <c r="F13" s="5" t="str">
        <f>IFERROR(IF(Portafolio_Proyectos!$AR5="","",Portafolio_Proyectos!$D5),"")</f>
        <v/>
      </c>
      <c r="G13" s="5" t="str">
        <f>IFERROR(IF(Portafolio_Proyectos!$AR5="","",Portafolio_Proyectos!$A5),"")</f>
        <v/>
      </c>
      <c r="H13" s="5" t="str">
        <f>IFERROR(IF(Portafolio_Proyectos!$AR5="","",Portafolio_Proyectos!$E5),"")</f>
        <v/>
      </c>
    </row>
    <row r="14" spans="1:8" x14ac:dyDescent="0.35">
      <c r="A14" s="5" t="str">
        <f>IFERROR(IF(Portafolio_Proyectos!#REF!="","","CAP-"&amp;ROW()-1),"")</f>
        <v/>
      </c>
      <c r="B14" s="5" t="str">
        <f>IFERROR(IF(Portafolio_Proyectos!#REF!="","",Portafolio_Proyectos!#REF!),"")</f>
        <v/>
      </c>
      <c r="C14" s="5" t="str">
        <f>IFERROR(IF(Portafolio_Proyectos!#REF!="","","Emergente"),"")</f>
        <v/>
      </c>
      <c r="D14" s="5" t="str">
        <f>IFERROR(IF(Portafolio_Proyectos!#REF!="","",Portafolio_Proyectos!#REF!),"")</f>
        <v/>
      </c>
      <c r="E14" s="5" t="str">
        <f>IFERROR(IF(Portafolio_Proyectos!#REF!="","",Portafolio_Proyectos!#REF!),"")</f>
        <v/>
      </c>
      <c r="F14" s="5" t="str">
        <f>IFERROR(IF(Portafolio_Proyectos!#REF!="","",Portafolio_Proyectos!#REF!),"")</f>
        <v/>
      </c>
      <c r="G14" s="5" t="str">
        <f>IFERROR(IF(Portafolio_Proyectos!#REF!="","",Portafolio_Proyectos!#REF!),"")</f>
        <v/>
      </c>
      <c r="H14" s="5" t="str">
        <f>IFERROR(IF(Portafolio_Proyectos!#REF!="","",Portafolio_Proyectos!#REF!),"")</f>
        <v/>
      </c>
    </row>
    <row r="15" spans="1:8" ht="58" customHeight="1" x14ac:dyDescent="0.35">
      <c r="A15" s="5" t="str">
        <f>IFERROR(IF(Portafolio_Proyectos!#REF!="","","CAP-"&amp;ROW()-1),"")</f>
        <v/>
      </c>
      <c r="B15" s="5" t="str">
        <f>IFERROR(IF(Portafolio_Proyectos!#REF!="","",Portafolio_Proyectos!#REF!),"")</f>
        <v/>
      </c>
      <c r="C15" s="5" t="str">
        <f>IFERROR(IF(Portafolio_Proyectos!#REF!="","","Consolidada"),"")</f>
        <v/>
      </c>
      <c r="D15" s="5" t="str">
        <f>IFERROR(IF(Portafolio_Proyectos!#REF!="","",Portafolio_Proyectos!#REF!),"")</f>
        <v/>
      </c>
      <c r="E15" s="5" t="str">
        <f>IFERROR(IF(Portafolio_Proyectos!#REF!="","",Portafolio_Proyectos!#REF!),"")</f>
        <v/>
      </c>
      <c r="F15" s="5" t="str">
        <f>IFERROR(IF(Portafolio_Proyectos!#REF!="","",Portafolio_Proyectos!#REF!),"")</f>
        <v/>
      </c>
      <c r="G15" s="5" t="str">
        <f>IFERROR(IF(Portafolio_Proyectos!#REF!="","",Portafolio_Proyectos!#REF!),"")</f>
        <v/>
      </c>
      <c r="H15" s="5" t="str">
        <f>IFERROR(IF(Portafolio_Proyectos!#REF!="","",Portafolio_Proyectos!#REF!),"")</f>
        <v/>
      </c>
    </row>
    <row r="16" spans="1:8" x14ac:dyDescent="0.35">
      <c r="A16" s="5" t="str">
        <f>IFERROR(IF(Portafolio_Proyectos!#REF!="","","CAP-"&amp;ROW()-1),"")</f>
        <v/>
      </c>
      <c r="B16" s="5" t="str">
        <f>IFERROR(IF(Portafolio_Proyectos!#REF!="","",Portafolio_Proyectos!#REF!),"")</f>
        <v/>
      </c>
      <c r="C16" s="5" t="str">
        <f>IFERROR(IF(Portafolio_Proyectos!#REF!="","","Distintiva"),"")</f>
        <v/>
      </c>
      <c r="D16" s="5" t="str">
        <f>IFERROR(IF(Portafolio_Proyectos!#REF!="","",Portafolio_Proyectos!#REF!),"")</f>
        <v/>
      </c>
      <c r="E16" s="5" t="str">
        <f>IFERROR(IF(Portafolio_Proyectos!#REF!="","",Portafolio_Proyectos!#REF!),"")</f>
        <v/>
      </c>
      <c r="F16" s="5" t="str">
        <f>IFERROR(IF(Portafolio_Proyectos!#REF!="","",Portafolio_Proyectos!#REF!),"")</f>
        <v/>
      </c>
      <c r="G16" s="5" t="str">
        <f>IFERROR(IF(Portafolio_Proyectos!#REF!="","",Portafolio_Proyectos!#REF!),"")</f>
        <v/>
      </c>
      <c r="H16" s="5" t="str">
        <f>IFERROR(IF(Portafolio_Proyectos!#REF!="","",Portafolio_Proyectos!#REF!),"")</f>
        <v/>
      </c>
    </row>
    <row r="17" spans="1:8" ht="43.5" x14ac:dyDescent="0.35">
      <c r="A17" s="5" t="str">
        <f>IFERROR(IF(Portafolio_Proyectos!$AP6="","","CAP-"&amp;ROW()-1),"")</f>
        <v>CAP-16</v>
      </c>
      <c r="B17" s="5" t="str">
        <f>IFERROR(IF(Portafolio_Proyectos!$AP6="","",Portafolio_Proyectos!$AP6),"")</f>
        <v>Indicadores de sostenibilidad ambiental</v>
      </c>
      <c r="C17" s="5" t="str">
        <f>IFERROR(IF(Portafolio_Proyectos!$AP6="","","Emergente"),"")</f>
        <v>Emergente</v>
      </c>
      <c r="D17" s="5" t="str">
        <f>IFERROR(IF(Portafolio_Proyectos!$AP6="","",Portafolio_Proyectos!$C6),"")</f>
        <v>Fisiología vegetal y nutrición</v>
      </c>
      <c r="E17" s="5" t="str">
        <f>IFERROR(IF(Portafolio_Proyectos!$AP6="","",Portafolio_Proyectos!$B6),"")</f>
        <v>Aguacate Hass</v>
      </c>
      <c r="F17" s="5" t="str">
        <f>IFERROR(IF(Portafolio_Proyectos!$AP6="","",Portafolio_Proyectos!$D6),"")</f>
        <v xml:space="preserve">Convenio 1929. Desarrollo y validación de tecnologías para incrementar la productividad del cultivo </v>
      </c>
      <c r="G17" s="5" t="str">
        <f>IFERROR(IF(Portafolio_Proyectos!$AP6="","",Portafolio_Proyectos!$A6),"")</f>
        <v>ACI:Productividad agrícola agroambientalmente eficiente e integralmente sostenible</v>
      </c>
      <c r="H17" s="5" t="str">
        <f>IFERROR(IF(Portafolio_Proyectos!$AP6="","",Portafolio_Proyectos!$E6),"")</f>
        <v>Alexander Rebolledo Roa</v>
      </c>
    </row>
    <row r="18" spans="1:8" ht="58" customHeight="1" x14ac:dyDescent="0.35">
      <c r="A18" s="5" t="str">
        <f>IFERROR(IF(Portafolio_Proyectos!$AQ6="","","CAP-"&amp;ROW()-1),"")</f>
        <v>CAP-17</v>
      </c>
      <c r="B18" s="5" t="str">
        <f>IFERROR(IF(Portafolio_Proyectos!$AQ6="","",Portafolio_Proyectos!$AQ6),"")</f>
        <v>Fertilización por sitio específico</v>
      </c>
      <c r="C18" s="5" t="str">
        <f>IFERROR(IF(Portafolio_Proyectos!$AQ6="","","Consolidada"),"")</f>
        <v>Consolidada</v>
      </c>
      <c r="D18" s="5" t="str">
        <f>IFERROR(IF(Portafolio_Proyectos!$AQ6="","",Portafolio_Proyectos!$C6),"")</f>
        <v>Fisiología vegetal y nutrición</v>
      </c>
      <c r="E18" s="5" t="str">
        <f>IFERROR(IF(Portafolio_Proyectos!$AQ6="","",Portafolio_Proyectos!$B6),"")</f>
        <v>Aguacate Hass</v>
      </c>
      <c r="F18" s="5" t="str">
        <f>IFERROR(IF(Portafolio_Proyectos!$AQ6="","",Portafolio_Proyectos!$D6),"")</f>
        <v xml:space="preserve">Convenio 1929. Desarrollo y validación de tecnologías para incrementar la productividad del cultivo </v>
      </c>
      <c r="G18" s="5" t="str">
        <f>IFERROR(IF(Portafolio_Proyectos!$AQ6="","",Portafolio_Proyectos!$A6),"")</f>
        <v>ACI:Productividad agrícola agroambientalmente eficiente e integralmente sostenible</v>
      </c>
      <c r="H18" s="5" t="str">
        <f>IFERROR(IF(Portafolio_Proyectos!$AQ6="","",Portafolio_Proyectos!$E6),"")</f>
        <v>Alexander Rebolledo Roa</v>
      </c>
    </row>
    <row r="19" spans="1:8" x14ac:dyDescent="0.35">
      <c r="A19" s="5" t="str">
        <f>IFERROR(IF(Portafolio_Proyectos!$AR6="","","CAP-"&amp;ROW()-1),"")</f>
        <v/>
      </c>
      <c r="B19" s="5" t="str">
        <f>IFERROR(IF(Portafolio_Proyectos!$AR6="","",Portafolio_Proyectos!$AR6),"")</f>
        <v/>
      </c>
      <c r="C19" s="5" t="str">
        <f>IFERROR(IF(Portafolio_Proyectos!$AR6="","","Distintiva"),"")</f>
        <v/>
      </c>
      <c r="D19" s="5" t="str">
        <f>IFERROR(IF(Portafolio_Proyectos!$AR6="","",Portafolio_Proyectos!$C6),"")</f>
        <v/>
      </c>
      <c r="E19" s="5" t="str">
        <f>IFERROR(IF(Portafolio_Proyectos!$AR6="","",Portafolio_Proyectos!$B6),"")</f>
        <v/>
      </c>
      <c r="F19" s="5" t="str">
        <f>IFERROR(IF(Portafolio_Proyectos!$AR6="","",Portafolio_Proyectos!$D6),"")</f>
        <v/>
      </c>
      <c r="G19" s="5" t="str">
        <f>IFERROR(IF(Portafolio_Proyectos!$AR6="","",Portafolio_Proyectos!$A6),"")</f>
        <v/>
      </c>
      <c r="H19" s="5" t="str">
        <f>IFERROR(IF(Portafolio_Proyectos!$AR6="","",Portafolio_Proyectos!$E6),"")</f>
        <v/>
      </c>
    </row>
    <row r="20" spans="1:8" ht="58" customHeight="1" x14ac:dyDescent="0.35">
      <c r="A20" s="5" t="str">
        <f>IFERROR(IF(Portafolio_Proyectos!$AP7="","","CAP-"&amp;ROW()-1),"")</f>
        <v>CAP-19</v>
      </c>
      <c r="B20" s="5" t="str">
        <f>IFERROR(IF(Portafolio_Proyectos!$AP7="","",Portafolio_Proyectos!$AP7),"")</f>
        <v>Nutrición y riego para aguacate de consumo interno (Lorena)</v>
      </c>
      <c r="C20" s="5" t="str">
        <f>IFERROR(IF(Portafolio_Proyectos!$AP7="","","Emergente"),"")</f>
        <v>Emergente</v>
      </c>
      <c r="D20" s="5" t="str">
        <f>IFERROR(IF(Portafolio_Proyectos!$AP7="","",Portafolio_Proyectos!$C7),"")</f>
        <v>Fisiología vegetal y nutrición</v>
      </c>
      <c r="E20" s="5" t="str">
        <f>IFERROR(IF(Portafolio_Proyectos!$AP7="","",Portafolio_Proyectos!$B7),"")</f>
        <v>Aguacate Hass</v>
      </c>
      <c r="F20" s="5" t="str">
        <f>IFERROR(IF(Portafolio_Proyectos!$AP7="","",Portafolio_Proyectos!$D7),"")</f>
        <v>Portafolio. Fortalecimiento cadena de valor de aguacate. Convocatoria 42. SGR-Región Pacífico</v>
      </c>
      <c r="G20" s="5" t="str">
        <f>IFERROR(IF(Portafolio_Proyectos!$AP7="","",Portafolio_Proyectos!$A7),"")</f>
        <v>ACI:Productividad agrícola agroambientalmente eficiente e integralmente sostenible</v>
      </c>
      <c r="H20" s="5" t="str">
        <f>IFERROR(IF(Portafolio_Proyectos!$AP7="","",Portafolio_Proyectos!$E7),"")</f>
        <v>Alexander Rebolledo Roa</v>
      </c>
    </row>
    <row r="21" spans="1:8" ht="58" customHeight="1" x14ac:dyDescent="0.35">
      <c r="A21" s="5" t="str">
        <f>IFERROR(IF(Portafolio_Proyectos!$AQ7="","","CAP-"&amp;ROW()-1),"")</f>
        <v>CAP-20</v>
      </c>
      <c r="B21" s="5" t="str">
        <f>IFERROR(IF(Portafolio_Proyectos!$AQ7="","",Portafolio_Proyectos!$AQ7),"")</f>
        <v>Fertilización por sitio específico (IBN) y riego por balance hídrico</v>
      </c>
      <c r="C21" s="5" t="str">
        <f>IFERROR(IF(Portafolio_Proyectos!$AQ7="","","Consolidada"),"")</f>
        <v>Consolidada</v>
      </c>
      <c r="D21" s="5" t="str">
        <f>IFERROR(IF(Portafolio_Proyectos!$AQ7="","",Portafolio_Proyectos!$C7),"")</f>
        <v>Fisiología vegetal y nutrición</v>
      </c>
      <c r="E21" s="5" t="str">
        <f>IFERROR(IF(Portafolio_Proyectos!$AQ7="","",Portafolio_Proyectos!$B7),"")</f>
        <v>Aguacate Hass</v>
      </c>
      <c r="F21" s="5" t="str">
        <f>IFERROR(IF(Portafolio_Proyectos!$AQ7="","",Portafolio_Proyectos!$D7),"")</f>
        <v>Portafolio. Fortalecimiento cadena de valor de aguacate. Convocatoria 42. SGR-Región Pacífico</v>
      </c>
      <c r="G21" s="5" t="str">
        <f>IFERROR(IF(Portafolio_Proyectos!$AQ7="","",Portafolio_Proyectos!$A7),"")</f>
        <v>ACI:Productividad agrícola agroambientalmente eficiente e integralmente sostenible</v>
      </c>
      <c r="H21" s="5" t="str">
        <f>IFERROR(IF(Portafolio_Proyectos!$AQ7="","",Portafolio_Proyectos!$E7),"")</f>
        <v>Alexander Rebolledo Roa</v>
      </c>
    </row>
    <row r="22" spans="1:8" x14ac:dyDescent="0.35">
      <c r="A22" s="5" t="str">
        <f>IFERROR(IF(Portafolio_Proyectos!$AR7="","","CAP-"&amp;ROW()-1),"")</f>
        <v/>
      </c>
      <c r="B22" s="5" t="str">
        <f>IFERROR(IF(Portafolio_Proyectos!$AR7="","",Portafolio_Proyectos!$AR7),"")</f>
        <v/>
      </c>
      <c r="C22" s="5" t="str">
        <f>IFERROR(IF(Portafolio_Proyectos!$AR7="","","Distintiva"),"")</f>
        <v/>
      </c>
      <c r="D22" s="5" t="str">
        <f>IFERROR(IF(Portafolio_Proyectos!$AR7="","",Portafolio_Proyectos!$C7),"")</f>
        <v/>
      </c>
      <c r="E22" s="5" t="str">
        <f>IFERROR(IF(Portafolio_Proyectos!$AR7="","",Portafolio_Proyectos!$B7),"")</f>
        <v/>
      </c>
      <c r="F22" s="5" t="str">
        <f>IFERROR(IF(Portafolio_Proyectos!$AR7="","",Portafolio_Proyectos!$D7),"")</f>
        <v/>
      </c>
      <c r="G22" s="5" t="str">
        <f>IFERROR(IF(Portafolio_Proyectos!$AR7="","",Portafolio_Proyectos!$A7),"")</f>
        <v/>
      </c>
      <c r="H22" s="5" t="str">
        <f>IFERROR(IF(Portafolio_Proyectos!$AR7="","",Portafolio_Proyectos!$E7),"")</f>
        <v/>
      </c>
    </row>
    <row r="23" spans="1:8" ht="29" customHeight="1" x14ac:dyDescent="0.35">
      <c r="A23" s="5" t="str">
        <f>IFERROR(IF(Portafolio_Proyectos!$AP8="","","CAP-"&amp;ROW()-1),"")</f>
        <v>CAP-22</v>
      </c>
      <c r="B23" s="5" t="str">
        <f>IFERROR(IF(Portafolio_Proyectos!$AP8="","",Portafolio_Proyectos!$AP8),"")</f>
        <v>Modelación fenológica con acumulación térmica (GDD) en sistemas frutícolas altoandinos</v>
      </c>
      <c r="C23" s="5" t="str">
        <f>IFERROR(IF(Portafolio_Proyectos!$AP8="","","Emergente"),"")</f>
        <v>Emergente</v>
      </c>
      <c r="D23" s="5" t="str">
        <f>IFERROR(IF(Portafolio_Proyectos!$AP8="","",Portafolio_Proyectos!$C8),"")</f>
        <v>Fisiología vegetal y nutrición</v>
      </c>
      <c r="E23" s="5" t="str">
        <f>IFERROR(IF(Portafolio_Proyectos!$AP8="","",Portafolio_Proyectos!$B8),"")</f>
        <v>Aguacate Hass</v>
      </c>
      <c r="F23" s="5" t="str">
        <f>IFERROR(IF(Portafolio_Proyectos!$AP8="","",Portafolio_Proyectos!$D8),"")</f>
        <v>Convenio 2207. Desarrollo de modelo fenológico  aguacate Hass  Pijao – Quindío (Fase 1)</v>
      </c>
      <c r="G23" s="5" t="str">
        <f>IFERROR(IF(Portafolio_Proyectos!$AP8="","",Portafolio_Proyectos!$A8),"")</f>
        <v>Bioeconomía: Prácticas de agricultura sostenible</v>
      </c>
      <c r="H23" s="5" t="str">
        <f>IFERROR(IF(Portafolio_Proyectos!$AP8="","",Portafolio_Proyectos!$E8),"")</f>
        <v>Alexander Rebolledo Roa</v>
      </c>
    </row>
    <row r="24" spans="1:8" ht="29" customHeight="1" x14ac:dyDescent="0.35">
      <c r="A24" s="5" t="str">
        <f>IFERROR(IF(Portafolio_Proyectos!$AQ8="","","CAP-"&amp;ROW()-1),"")</f>
        <v>CAP-23</v>
      </c>
      <c r="B24" s="5" t="str">
        <f>IFERROR(IF(Portafolio_Proyectos!$AQ8="","",Portafolio_Proyectos!$AQ8),"")</f>
        <v>Fertilización por sitio específico</v>
      </c>
      <c r="C24" s="5" t="str">
        <f>IFERROR(IF(Portafolio_Proyectos!$AQ8="","","Consolidada"),"")</f>
        <v>Consolidada</v>
      </c>
      <c r="D24" s="5" t="str">
        <f>IFERROR(IF(Portafolio_Proyectos!$AQ8="","",Portafolio_Proyectos!$C8),"")</f>
        <v>Fisiología vegetal y nutrición</v>
      </c>
      <c r="E24" s="5" t="str">
        <f>IFERROR(IF(Portafolio_Proyectos!$AQ8="","",Portafolio_Proyectos!$B8),"")</f>
        <v>Aguacate Hass</v>
      </c>
      <c r="F24" s="5" t="str">
        <f>IFERROR(IF(Portafolio_Proyectos!$AQ8="","",Portafolio_Proyectos!$D8),"")</f>
        <v>Convenio 2207. Desarrollo de modelo fenológico  aguacate Hass  Pijao – Quindío (Fase 1)</v>
      </c>
      <c r="G24" s="5" t="str">
        <f>IFERROR(IF(Portafolio_Proyectos!$AQ8="","",Portafolio_Proyectos!$A8),"")</f>
        <v>Bioeconomía: Prácticas de agricultura sostenible</v>
      </c>
      <c r="H24" s="5" t="str">
        <f>IFERROR(IF(Portafolio_Proyectos!$AQ8="","",Portafolio_Proyectos!$E8),"")</f>
        <v>Alexander Rebolledo Roa</v>
      </c>
    </row>
    <row r="25" spans="1:8" x14ac:dyDescent="0.35">
      <c r="A25" s="5" t="str">
        <f>IFERROR(IF(Portafolio_Proyectos!$AR8="","","CAP-"&amp;ROW()-1),"")</f>
        <v/>
      </c>
      <c r="B25" s="5" t="str">
        <f>IFERROR(IF(Portafolio_Proyectos!$AR8="","",Portafolio_Proyectos!$AR8),"")</f>
        <v/>
      </c>
      <c r="C25" s="5" t="str">
        <f>IFERROR(IF(Portafolio_Proyectos!$AR8="","","Distintiva"),"")</f>
        <v/>
      </c>
      <c r="D25" s="5" t="str">
        <f>IFERROR(IF(Portafolio_Proyectos!$AR8="","",Portafolio_Proyectos!$C8),"")</f>
        <v/>
      </c>
      <c r="E25" s="5" t="str">
        <f>IFERROR(IF(Portafolio_Proyectos!$AR8="","",Portafolio_Proyectos!$B8),"")</f>
        <v/>
      </c>
      <c r="F25" s="5" t="str">
        <f>IFERROR(IF(Portafolio_Proyectos!$AR8="","",Portafolio_Proyectos!$D8),"")</f>
        <v/>
      </c>
      <c r="G25" s="5" t="str">
        <f>IFERROR(IF(Portafolio_Proyectos!$AR8="","",Portafolio_Proyectos!$A8),"")</f>
        <v/>
      </c>
      <c r="H25" s="5" t="str">
        <f>IFERROR(IF(Portafolio_Proyectos!$AR8="","",Portafolio_Proyectos!$E8),"")</f>
        <v/>
      </c>
    </row>
    <row r="26" spans="1:8" x14ac:dyDescent="0.35">
      <c r="A26" s="5" t="str">
        <f>IFERROR(IF(Portafolio_Proyectos!$AP9="","","CAP-"&amp;ROW()-1),"")</f>
        <v/>
      </c>
      <c r="B26" s="5" t="str">
        <f>IFERROR(IF(Portafolio_Proyectos!$AP9="","",Portafolio_Proyectos!$AP9),"")</f>
        <v/>
      </c>
      <c r="C26" s="5" t="str">
        <f>IFERROR(IF(Portafolio_Proyectos!$AP9="","","Emergente"),"")</f>
        <v/>
      </c>
      <c r="D26" s="5" t="str">
        <f>IFERROR(IF(Portafolio_Proyectos!$AP9="","",Portafolio_Proyectos!$C9),"")</f>
        <v/>
      </c>
      <c r="E26" s="5" t="str">
        <f>IFERROR(IF(Portafolio_Proyectos!$AP9="","",Portafolio_Proyectos!$B9),"")</f>
        <v/>
      </c>
      <c r="F26" s="5" t="str">
        <f>IFERROR(IF(Portafolio_Proyectos!$AP9="","",Portafolio_Proyectos!$D9),"")</f>
        <v/>
      </c>
      <c r="G26" s="5" t="str">
        <f>IFERROR(IF(Portafolio_Proyectos!$AP9="","",Portafolio_Proyectos!$A9),"")</f>
        <v/>
      </c>
      <c r="H26" s="5" t="str">
        <f>IFERROR(IF(Portafolio_Proyectos!$AP9="","",Portafolio_Proyectos!$E9),"")</f>
        <v/>
      </c>
    </row>
    <row r="27" spans="1:8" x14ac:dyDescent="0.35">
      <c r="A27" s="5" t="str">
        <f>IFERROR(IF(Portafolio_Proyectos!$AQ9="","","CAP-"&amp;ROW()-1),"")</f>
        <v/>
      </c>
      <c r="B27" s="5" t="str">
        <f>IFERROR(IF(Portafolio_Proyectos!$AQ9="","",Portafolio_Proyectos!$AQ9),"")</f>
        <v/>
      </c>
      <c r="C27" s="5" t="str">
        <f>IFERROR(IF(Portafolio_Proyectos!$AQ9="","","Consolidada"),"")</f>
        <v/>
      </c>
      <c r="D27" s="5" t="str">
        <f>IFERROR(IF(Portafolio_Proyectos!$AQ9="","",Portafolio_Proyectos!$C9),"")</f>
        <v/>
      </c>
      <c r="E27" s="5" t="str">
        <f>IFERROR(IF(Portafolio_Proyectos!$AQ9="","",Portafolio_Proyectos!$B9),"")</f>
        <v/>
      </c>
      <c r="F27" s="5" t="str">
        <f>IFERROR(IF(Portafolio_Proyectos!$AQ9="","",Portafolio_Proyectos!$D9),"")</f>
        <v/>
      </c>
      <c r="G27" s="5" t="str">
        <f>IFERROR(IF(Portafolio_Proyectos!$AQ9="","",Portafolio_Proyectos!$A9),"")</f>
        <v/>
      </c>
      <c r="H27" s="5" t="str">
        <f>IFERROR(IF(Portafolio_Proyectos!$AQ9="","",Portafolio_Proyectos!$E9),"")</f>
        <v/>
      </c>
    </row>
    <row r="28" spans="1:8" x14ac:dyDescent="0.35">
      <c r="A28" s="5" t="str">
        <f>IFERROR(IF(Portafolio_Proyectos!$AR9="","","CAP-"&amp;ROW()-1),"")</f>
        <v/>
      </c>
      <c r="B28" s="5" t="str">
        <f>IFERROR(IF(Portafolio_Proyectos!$AR9="","",Portafolio_Proyectos!$AR9),"")</f>
        <v/>
      </c>
      <c r="C28" s="5" t="str">
        <f>IFERROR(IF(Portafolio_Proyectos!$AR9="","","Distintiva"),"")</f>
        <v/>
      </c>
      <c r="D28" s="5" t="str">
        <f>IFERROR(IF(Portafolio_Proyectos!$AR9="","",Portafolio_Proyectos!$C9),"")</f>
        <v/>
      </c>
      <c r="E28" s="5" t="str">
        <f>IFERROR(IF(Portafolio_Proyectos!$AR9="","",Portafolio_Proyectos!$B9),"")</f>
        <v/>
      </c>
      <c r="F28" s="5" t="str">
        <f>IFERROR(IF(Portafolio_Proyectos!$AR9="","",Portafolio_Proyectos!$D9),"")</f>
        <v/>
      </c>
      <c r="G28" s="5" t="str">
        <f>IFERROR(IF(Portafolio_Proyectos!$AR9="","",Portafolio_Proyectos!$A9),"")</f>
        <v/>
      </c>
      <c r="H28" s="5" t="str">
        <f>IFERROR(IF(Portafolio_Proyectos!$AR9="","",Portafolio_Proyectos!$E9),"")</f>
        <v/>
      </c>
    </row>
    <row r="29" spans="1:8" x14ac:dyDescent="0.35">
      <c r="A29" s="5" t="str">
        <f>IFERROR(IF(Portafolio_Proyectos!$AP10="","","CAP-"&amp;ROW()-1),"")</f>
        <v/>
      </c>
      <c r="B29" s="5" t="str">
        <f>IFERROR(IF(Portafolio_Proyectos!$AP10="","",Portafolio_Proyectos!$AP10),"")</f>
        <v/>
      </c>
      <c r="C29" s="5" t="str">
        <f>IFERROR(IF(Portafolio_Proyectos!$AP10="","","Emergente"),"")</f>
        <v/>
      </c>
      <c r="D29" s="5" t="str">
        <f>IFERROR(IF(Portafolio_Proyectos!$AP10="","",Portafolio_Proyectos!$C10),"")</f>
        <v/>
      </c>
      <c r="E29" s="5" t="str">
        <f>IFERROR(IF(Portafolio_Proyectos!$AP10="","",Portafolio_Proyectos!$B10),"")</f>
        <v/>
      </c>
      <c r="F29" s="5" t="str">
        <f>IFERROR(IF(Portafolio_Proyectos!$AP10="","",Portafolio_Proyectos!$D10),"")</f>
        <v/>
      </c>
      <c r="G29" s="5" t="str">
        <f>IFERROR(IF(Portafolio_Proyectos!$AP10="","",Portafolio_Proyectos!$A10),"")</f>
        <v/>
      </c>
      <c r="H29" s="5" t="str">
        <f>IFERROR(IF(Portafolio_Proyectos!$AP10="","",Portafolio_Proyectos!$E10),"")</f>
        <v/>
      </c>
    </row>
    <row r="30" spans="1:8" x14ac:dyDescent="0.35">
      <c r="A30" s="5" t="str">
        <f>IFERROR(IF(Portafolio_Proyectos!$AQ10="","","CAP-"&amp;ROW()-1),"")</f>
        <v/>
      </c>
      <c r="B30" s="5" t="str">
        <f>IFERROR(IF(Portafolio_Proyectos!$AQ10="","",Portafolio_Proyectos!$AQ10),"")</f>
        <v/>
      </c>
      <c r="C30" s="5" t="str">
        <f>IFERROR(IF(Portafolio_Proyectos!$AQ10="","","Consolidada"),"")</f>
        <v/>
      </c>
      <c r="D30" s="5" t="str">
        <f>IFERROR(IF(Portafolio_Proyectos!$AQ10="","",Portafolio_Proyectos!$C10),"")</f>
        <v/>
      </c>
      <c r="E30" s="5" t="str">
        <f>IFERROR(IF(Portafolio_Proyectos!$AQ10="","",Portafolio_Proyectos!$B10),"")</f>
        <v/>
      </c>
      <c r="F30" s="5" t="str">
        <f>IFERROR(IF(Portafolio_Proyectos!$AQ10="","",Portafolio_Proyectos!$D10),"")</f>
        <v/>
      </c>
      <c r="G30" s="5" t="str">
        <f>IFERROR(IF(Portafolio_Proyectos!$AQ10="","",Portafolio_Proyectos!$A10),"")</f>
        <v/>
      </c>
      <c r="H30" s="5" t="str">
        <f>IFERROR(IF(Portafolio_Proyectos!$AQ10="","",Portafolio_Proyectos!$E10),"")</f>
        <v/>
      </c>
    </row>
    <row r="31" spans="1:8" x14ac:dyDescent="0.35">
      <c r="A31" s="5" t="str">
        <f>IFERROR(IF(Portafolio_Proyectos!$AR10="","","CAP-"&amp;ROW()-1),"")</f>
        <v/>
      </c>
      <c r="B31" s="5" t="str">
        <f>IFERROR(IF(Portafolio_Proyectos!$AR10="","",Portafolio_Proyectos!$AR10),"")</f>
        <v/>
      </c>
      <c r="C31" s="5" t="str">
        <f>IFERROR(IF(Portafolio_Proyectos!$AR10="","","Distintiva"),"")</f>
        <v/>
      </c>
      <c r="D31" s="5" t="str">
        <f>IFERROR(IF(Portafolio_Proyectos!$AR10="","",Portafolio_Proyectos!$C10),"")</f>
        <v/>
      </c>
      <c r="E31" s="5" t="str">
        <f>IFERROR(IF(Portafolio_Proyectos!$AR10="","",Portafolio_Proyectos!$B10),"")</f>
        <v/>
      </c>
      <c r="F31" s="5" t="str">
        <f>IFERROR(IF(Portafolio_Proyectos!$AR10="","",Portafolio_Proyectos!$D10),"")</f>
        <v/>
      </c>
      <c r="G31" s="5" t="str">
        <f>IFERROR(IF(Portafolio_Proyectos!$AR10="","",Portafolio_Proyectos!$A10),"")</f>
        <v/>
      </c>
      <c r="H31" s="5" t="str">
        <f>IFERROR(IF(Portafolio_Proyectos!$AR10="","",Portafolio_Proyectos!$E10),"")</f>
        <v/>
      </c>
    </row>
    <row r="32" spans="1:8" x14ac:dyDescent="0.35">
      <c r="A32" s="5" t="str">
        <f>IFERROR(IF(Portafolio_Proyectos!$AP11="","","CAP-"&amp;ROW()-1),"")</f>
        <v/>
      </c>
      <c r="B32" s="5" t="str">
        <f>IFERROR(IF(Portafolio_Proyectos!$AP11="","",Portafolio_Proyectos!$AP11),"")</f>
        <v/>
      </c>
      <c r="C32" s="5" t="str">
        <f>IFERROR(IF(Portafolio_Proyectos!$AP11="","","Emergente"),"")</f>
        <v/>
      </c>
      <c r="D32" s="5" t="str">
        <f>IFERROR(IF(Portafolio_Proyectos!$AP11="","",Portafolio_Proyectos!$C11),"")</f>
        <v/>
      </c>
      <c r="E32" s="5" t="str">
        <f>IFERROR(IF(Portafolio_Proyectos!$AP11="","",Portafolio_Proyectos!$B11),"")</f>
        <v/>
      </c>
      <c r="F32" s="5" t="str">
        <f>IFERROR(IF(Portafolio_Proyectos!$AP11="","",Portafolio_Proyectos!$D11),"")</f>
        <v/>
      </c>
      <c r="G32" s="5" t="str">
        <f>IFERROR(IF(Portafolio_Proyectos!$AP11="","",Portafolio_Proyectos!$A11),"")</f>
        <v/>
      </c>
      <c r="H32" s="5" t="str">
        <f>IFERROR(IF(Portafolio_Proyectos!$AP11="","",Portafolio_Proyectos!$E11),"")</f>
        <v/>
      </c>
    </row>
    <row r="33" spans="1:8" x14ac:dyDescent="0.35">
      <c r="A33" s="5" t="str">
        <f>IFERROR(IF(Portafolio_Proyectos!$AQ11="","","CAP-"&amp;ROW()-1),"")</f>
        <v/>
      </c>
      <c r="B33" s="5" t="str">
        <f>IFERROR(IF(Portafolio_Proyectos!$AQ11="","",Portafolio_Proyectos!$AQ11),"")</f>
        <v/>
      </c>
      <c r="C33" s="5" t="str">
        <f>IFERROR(IF(Portafolio_Proyectos!$AQ11="","","Consolidada"),"")</f>
        <v/>
      </c>
      <c r="D33" s="5" t="str">
        <f>IFERROR(IF(Portafolio_Proyectos!$AQ11="","",Portafolio_Proyectos!$C11),"")</f>
        <v/>
      </c>
      <c r="E33" s="5" t="str">
        <f>IFERROR(IF(Portafolio_Proyectos!$AQ11="","",Portafolio_Proyectos!$B11),"")</f>
        <v/>
      </c>
      <c r="F33" s="5" t="str">
        <f>IFERROR(IF(Portafolio_Proyectos!$AQ11="","",Portafolio_Proyectos!$D11),"")</f>
        <v/>
      </c>
      <c r="G33" s="5" t="str">
        <f>IFERROR(IF(Portafolio_Proyectos!$AQ11="","",Portafolio_Proyectos!$A11),"")</f>
        <v/>
      </c>
      <c r="H33" s="5" t="str">
        <f>IFERROR(IF(Portafolio_Proyectos!$AQ11="","",Portafolio_Proyectos!$E11),"")</f>
        <v/>
      </c>
    </row>
    <row r="34" spans="1:8" x14ac:dyDescent="0.35">
      <c r="A34" s="5" t="str">
        <f>IFERROR(IF(Portafolio_Proyectos!$AR11="","","CAP-"&amp;ROW()-1),"")</f>
        <v/>
      </c>
      <c r="B34" s="5" t="str">
        <f>IFERROR(IF(Portafolio_Proyectos!$AR11="","",Portafolio_Proyectos!$AR11),"")</f>
        <v/>
      </c>
      <c r="C34" s="5" t="str">
        <f>IFERROR(IF(Portafolio_Proyectos!$AR11="","","Distintiva"),"")</f>
        <v/>
      </c>
      <c r="D34" s="5" t="str">
        <f>IFERROR(IF(Portafolio_Proyectos!$AR11="","",Portafolio_Proyectos!$C11),"")</f>
        <v/>
      </c>
      <c r="E34" s="5" t="str">
        <f>IFERROR(IF(Portafolio_Proyectos!$AR11="","",Portafolio_Proyectos!$B11),"")</f>
        <v/>
      </c>
      <c r="F34" s="5" t="str">
        <f>IFERROR(IF(Portafolio_Proyectos!$AR11="","",Portafolio_Proyectos!$D11),"")</f>
        <v/>
      </c>
      <c r="G34" s="5" t="str">
        <f>IFERROR(IF(Portafolio_Proyectos!$AR11="","",Portafolio_Proyectos!$A11),"")</f>
        <v/>
      </c>
      <c r="H34" s="5" t="str">
        <f>IFERROR(IF(Portafolio_Proyectos!$AR11="","",Portafolio_Proyectos!$E11),"")</f>
        <v/>
      </c>
    </row>
    <row r="35" spans="1:8" x14ac:dyDescent="0.35">
      <c r="A35" s="5" t="str">
        <f>IFERROR(IF(Portafolio_Proyectos!$AP12="","","CAP-"&amp;ROW()-1),"")</f>
        <v/>
      </c>
      <c r="B35" s="5" t="str">
        <f>IFERROR(IF(Portafolio_Proyectos!$AP12="","",Portafolio_Proyectos!$AP12),"")</f>
        <v/>
      </c>
      <c r="C35" s="5" t="str">
        <f>IFERROR(IF(Portafolio_Proyectos!$AP12="","","Emergente"),"")</f>
        <v/>
      </c>
      <c r="D35" s="5" t="str">
        <f>IFERROR(IF(Portafolio_Proyectos!$AP12="","",Portafolio_Proyectos!$C12),"")</f>
        <v/>
      </c>
      <c r="E35" s="5" t="str">
        <f>IFERROR(IF(Portafolio_Proyectos!$AP12="","",Portafolio_Proyectos!$B12),"")</f>
        <v/>
      </c>
      <c r="F35" s="5" t="str">
        <f>IFERROR(IF(Portafolio_Proyectos!$AP12="","",Portafolio_Proyectos!$D12),"")</f>
        <v/>
      </c>
      <c r="G35" s="5" t="str">
        <f>IFERROR(IF(Portafolio_Proyectos!$AP12="","",Portafolio_Proyectos!$A12),"")</f>
        <v/>
      </c>
      <c r="H35" s="5" t="str">
        <f>IFERROR(IF(Portafolio_Proyectos!$AP12="","",Portafolio_Proyectos!$E12),"")</f>
        <v/>
      </c>
    </row>
    <row r="36" spans="1:8" x14ac:dyDescent="0.35">
      <c r="A36" s="5" t="str">
        <f>IFERROR(IF(Portafolio_Proyectos!$AQ12="","","CAP-"&amp;ROW()-1),"")</f>
        <v/>
      </c>
      <c r="B36" s="5" t="str">
        <f>IFERROR(IF(Portafolio_Proyectos!$AQ12="","",Portafolio_Proyectos!$AQ12),"")</f>
        <v/>
      </c>
      <c r="C36" s="5" t="str">
        <f>IFERROR(IF(Portafolio_Proyectos!$AQ12="","","Consolidada"),"")</f>
        <v/>
      </c>
      <c r="D36" s="5" t="str">
        <f>IFERROR(IF(Portafolio_Proyectos!$AQ12="","",Portafolio_Proyectos!$C12),"")</f>
        <v/>
      </c>
      <c r="E36" s="5" t="str">
        <f>IFERROR(IF(Portafolio_Proyectos!$AQ12="","",Portafolio_Proyectos!$B12),"")</f>
        <v/>
      </c>
      <c r="F36" s="5" t="str">
        <f>IFERROR(IF(Portafolio_Proyectos!$AQ12="","",Portafolio_Proyectos!$D12),"")</f>
        <v/>
      </c>
      <c r="G36" s="5" t="str">
        <f>IFERROR(IF(Portafolio_Proyectos!$AQ12="","",Portafolio_Proyectos!$A12),"")</f>
        <v/>
      </c>
      <c r="H36" s="5" t="str">
        <f>IFERROR(IF(Portafolio_Proyectos!$AQ12="","",Portafolio_Proyectos!$E12),"")</f>
        <v/>
      </c>
    </row>
    <row r="37" spans="1:8" x14ac:dyDescent="0.35">
      <c r="A37" s="5" t="str">
        <f>IFERROR(IF(Portafolio_Proyectos!$AR12="","","CAP-"&amp;ROW()-1),"")</f>
        <v/>
      </c>
      <c r="B37" s="5" t="str">
        <f>IFERROR(IF(Portafolio_Proyectos!$AR12="","",Portafolio_Proyectos!$AR12),"")</f>
        <v/>
      </c>
      <c r="C37" s="5" t="str">
        <f>IFERROR(IF(Portafolio_Proyectos!$AR12="","","Distintiva"),"")</f>
        <v/>
      </c>
      <c r="D37" s="5" t="str">
        <f>IFERROR(IF(Portafolio_Proyectos!$AR12="","",Portafolio_Proyectos!$C12),"")</f>
        <v/>
      </c>
      <c r="E37" s="5" t="str">
        <f>IFERROR(IF(Portafolio_Proyectos!$AR12="","",Portafolio_Proyectos!$B12),"")</f>
        <v/>
      </c>
      <c r="F37" s="5" t="str">
        <f>IFERROR(IF(Portafolio_Proyectos!$AR12="","",Portafolio_Proyectos!$D12),"")</f>
        <v/>
      </c>
      <c r="G37" s="5" t="str">
        <f>IFERROR(IF(Portafolio_Proyectos!$AR12="","",Portafolio_Proyectos!$A12),"")</f>
        <v/>
      </c>
      <c r="H37" s="5" t="str">
        <f>IFERROR(IF(Portafolio_Proyectos!$AR12="","",Portafolio_Proyectos!$E12),"")</f>
        <v/>
      </c>
    </row>
    <row r="38" spans="1:8" x14ac:dyDescent="0.35">
      <c r="A38" s="5" t="str">
        <f>IFERROR(IF(Portafolio_Proyectos!$AP13="","","CAP-"&amp;ROW()-1),"")</f>
        <v/>
      </c>
      <c r="B38" s="5" t="str">
        <f>IFERROR(IF(Portafolio_Proyectos!$AP13="","",Portafolio_Proyectos!$AP13),"")</f>
        <v/>
      </c>
      <c r="C38" s="5" t="str">
        <f>IFERROR(IF(Portafolio_Proyectos!$AP13="","","Emergente"),"")</f>
        <v/>
      </c>
      <c r="D38" s="5" t="str">
        <f>IFERROR(IF(Portafolio_Proyectos!$AP13="","",Portafolio_Proyectos!$C13),"")</f>
        <v/>
      </c>
      <c r="E38" s="5" t="str">
        <f>IFERROR(IF(Portafolio_Proyectos!$AP13="","",Portafolio_Proyectos!$B13),"")</f>
        <v/>
      </c>
      <c r="F38" s="5" t="str">
        <f>IFERROR(IF(Portafolio_Proyectos!$AP13="","",Portafolio_Proyectos!$D13),"")</f>
        <v/>
      </c>
      <c r="G38" s="5" t="str">
        <f>IFERROR(IF(Portafolio_Proyectos!$AP13="","",Portafolio_Proyectos!$A13),"")</f>
        <v/>
      </c>
      <c r="H38" s="5" t="str">
        <f>IFERROR(IF(Portafolio_Proyectos!$AP13="","",Portafolio_Proyectos!$E13),"")</f>
        <v/>
      </c>
    </row>
    <row r="39" spans="1:8" x14ac:dyDescent="0.35">
      <c r="A39" s="5" t="str">
        <f>IFERROR(IF(Portafolio_Proyectos!$AQ13="","","CAP-"&amp;ROW()-1),"")</f>
        <v/>
      </c>
      <c r="B39" s="5" t="str">
        <f>IFERROR(IF(Portafolio_Proyectos!$AQ13="","",Portafolio_Proyectos!$AQ13),"")</f>
        <v/>
      </c>
      <c r="C39" s="5" t="str">
        <f>IFERROR(IF(Portafolio_Proyectos!$AQ13="","","Consolidada"),"")</f>
        <v/>
      </c>
      <c r="D39" s="5" t="str">
        <f>IFERROR(IF(Portafolio_Proyectos!$AQ13="","",Portafolio_Proyectos!$C13),"")</f>
        <v/>
      </c>
      <c r="E39" s="5" t="str">
        <f>IFERROR(IF(Portafolio_Proyectos!$AQ13="","",Portafolio_Proyectos!$B13),"")</f>
        <v/>
      </c>
      <c r="F39" s="5" t="str">
        <f>IFERROR(IF(Portafolio_Proyectos!$AQ13="","",Portafolio_Proyectos!$D13),"")</f>
        <v/>
      </c>
      <c r="G39" s="5" t="str">
        <f>IFERROR(IF(Portafolio_Proyectos!$AQ13="","",Portafolio_Proyectos!$A13),"")</f>
        <v/>
      </c>
      <c r="H39" s="5" t="str">
        <f>IFERROR(IF(Portafolio_Proyectos!$AQ13="","",Portafolio_Proyectos!$E13),"")</f>
        <v/>
      </c>
    </row>
    <row r="40" spans="1:8" x14ac:dyDescent="0.35">
      <c r="A40" s="5" t="str">
        <f>IFERROR(IF(Portafolio_Proyectos!$AR13="","","CAP-"&amp;ROW()-1),"")</f>
        <v/>
      </c>
      <c r="B40" s="5" t="str">
        <f>IFERROR(IF(Portafolio_Proyectos!$AR13="","",Portafolio_Proyectos!$AR13),"")</f>
        <v/>
      </c>
      <c r="C40" s="5" t="str">
        <f>IFERROR(IF(Portafolio_Proyectos!$AR13="","","Distintiva"),"")</f>
        <v/>
      </c>
      <c r="D40" s="5" t="str">
        <f>IFERROR(IF(Portafolio_Proyectos!$AR13="","",Portafolio_Proyectos!$C13),"")</f>
        <v/>
      </c>
      <c r="E40" s="5" t="str">
        <f>IFERROR(IF(Portafolio_Proyectos!$AR13="","",Portafolio_Proyectos!$B13),"")</f>
        <v/>
      </c>
      <c r="F40" s="5" t="str">
        <f>IFERROR(IF(Portafolio_Proyectos!$AR13="","",Portafolio_Proyectos!$D13),"")</f>
        <v/>
      </c>
      <c r="G40" s="5" t="str">
        <f>IFERROR(IF(Portafolio_Proyectos!$AR13="","",Portafolio_Proyectos!$A13),"")</f>
        <v/>
      </c>
      <c r="H40" s="5" t="str">
        <f>IFERROR(IF(Portafolio_Proyectos!$AR13="","",Portafolio_Proyectos!$E13),"")</f>
        <v/>
      </c>
    </row>
    <row r="41" spans="1:8" x14ac:dyDescent="0.35">
      <c r="A41" s="5" t="str">
        <f>IFERROR(IF(Portafolio_Proyectos!$AP14="","","CAP-"&amp;ROW()-1),"")</f>
        <v/>
      </c>
      <c r="B41" s="5" t="str">
        <f>IFERROR(IF(Portafolio_Proyectos!$AP14="","",Portafolio_Proyectos!$AP14),"")</f>
        <v/>
      </c>
      <c r="C41" s="5" t="str">
        <f>IFERROR(IF(Portafolio_Proyectos!$AP14="","","Emergente"),"")</f>
        <v/>
      </c>
      <c r="D41" s="5" t="str">
        <f>IFERROR(IF(Portafolio_Proyectos!$AP14="","",Portafolio_Proyectos!$C14),"")</f>
        <v/>
      </c>
      <c r="E41" s="5" t="str">
        <f>IFERROR(IF(Portafolio_Proyectos!$AP14="","",Portafolio_Proyectos!$B14),"")</f>
        <v/>
      </c>
      <c r="F41" s="5" t="str">
        <f>IFERROR(IF(Portafolio_Proyectos!$AP14="","",Portafolio_Proyectos!$D14),"")</f>
        <v/>
      </c>
      <c r="G41" s="5" t="str">
        <f>IFERROR(IF(Portafolio_Proyectos!$AP14="","",Portafolio_Proyectos!$A14),"")</f>
        <v/>
      </c>
      <c r="H41" s="5" t="str">
        <f>IFERROR(IF(Portafolio_Proyectos!$AP14="","",Portafolio_Proyectos!$E14),"")</f>
        <v/>
      </c>
    </row>
    <row r="42" spans="1:8" x14ac:dyDescent="0.35">
      <c r="A42" s="5" t="str">
        <f>IFERROR(IF(Portafolio_Proyectos!$AQ14="","","CAP-"&amp;ROW()-1),"")</f>
        <v/>
      </c>
      <c r="B42" s="5" t="str">
        <f>IFERROR(IF(Portafolio_Proyectos!$AQ14="","",Portafolio_Proyectos!$AQ14),"")</f>
        <v/>
      </c>
      <c r="C42" s="5" t="str">
        <f>IFERROR(IF(Portafolio_Proyectos!$AQ14="","","Consolidada"),"")</f>
        <v/>
      </c>
      <c r="D42" s="5" t="str">
        <f>IFERROR(IF(Portafolio_Proyectos!$AQ14="","",Portafolio_Proyectos!$C14),"")</f>
        <v/>
      </c>
      <c r="E42" s="5" t="str">
        <f>IFERROR(IF(Portafolio_Proyectos!$AQ14="","",Portafolio_Proyectos!$B14),"")</f>
        <v/>
      </c>
      <c r="F42" s="5" t="str">
        <f>IFERROR(IF(Portafolio_Proyectos!$AQ14="","",Portafolio_Proyectos!$D14),"")</f>
        <v/>
      </c>
      <c r="G42" s="5" t="str">
        <f>IFERROR(IF(Portafolio_Proyectos!$AQ14="","",Portafolio_Proyectos!$A14),"")</f>
        <v/>
      </c>
      <c r="H42" s="5" t="str">
        <f>IFERROR(IF(Portafolio_Proyectos!$AQ14="","",Portafolio_Proyectos!$E14),"")</f>
        <v/>
      </c>
    </row>
    <row r="43" spans="1:8" x14ac:dyDescent="0.35">
      <c r="A43" s="5" t="str">
        <f>IFERROR(IF(Portafolio_Proyectos!$AR14="","","CAP-"&amp;ROW()-1),"")</f>
        <v/>
      </c>
      <c r="B43" s="5" t="str">
        <f>IFERROR(IF(Portafolio_Proyectos!$AR14="","",Portafolio_Proyectos!$AR14),"")</f>
        <v/>
      </c>
      <c r="C43" s="5" t="str">
        <f>IFERROR(IF(Portafolio_Proyectos!$AR14="","","Distintiva"),"")</f>
        <v/>
      </c>
      <c r="D43" s="5" t="str">
        <f>IFERROR(IF(Portafolio_Proyectos!$AR14="","",Portafolio_Proyectos!$C14),"")</f>
        <v/>
      </c>
      <c r="E43" s="5" t="str">
        <f>IFERROR(IF(Portafolio_Proyectos!$AR14="","",Portafolio_Proyectos!$B14),"")</f>
        <v/>
      </c>
      <c r="F43" s="5" t="str">
        <f>IFERROR(IF(Portafolio_Proyectos!$AR14="","",Portafolio_Proyectos!$D14),"")</f>
        <v/>
      </c>
      <c r="G43" s="5" t="str">
        <f>IFERROR(IF(Portafolio_Proyectos!$AR14="","",Portafolio_Proyectos!$A14),"")</f>
        <v/>
      </c>
      <c r="H43" s="5" t="str">
        <f>IFERROR(IF(Portafolio_Proyectos!$AR14="","",Portafolio_Proyectos!$E14),"")</f>
        <v/>
      </c>
    </row>
    <row r="44" spans="1:8" x14ac:dyDescent="0.35">
      <c r="A44" s="5" t="str">
        <f>IFERROR(IF(Portafolio_Proyectos!$AP15="","","CAP-"&amp;ROW()-1),"")</f>
        <v/>
      </c>
      <c r="B44" s="5" t="str">
        <f>IFERROR(IF(Portafolio_Proyectos!$AP15="","",Portafolio_Proyectos!$AP15),"")</f>
        <v/>
      </c>
      <c r="C44" s="5" t="str">
        <f>IFERROR(IF(Portafolio_Proyectos!$AP15="","","Emergente"),"")</f>
        <v/>
      </c>
      <c r="D44" s="5" t="str">
        <f>IFERROR(IF(Portafolio_Proyectos!$AP15="","",Portafolio_Proyectos!$C15),"")</f>
        <v/>
      </c>
      <c r="E44" s="5" t="str">
        <f>IFERROR(IF(Portafolio_Proyectos!$AP15="","",Portafolio_Proyectos!$B15),"")</f>
        <v/>
      </c>
      <c r="F44" s="5" t="str">
        <f>IFERROR(IF(Portafolio_Proyectos!$AP15="","",Portafolio_Proyectos!$D15),"")</f>
        <v/>
      </c>
      <c r="G44" s="5" t="str">
        <f>IFERROR(IF(Portafolio_Proyectos!$AP15="","",Portafolio_Proyectos!$A15),"")</f>
        <v/>
      </c>
      <c r="H44" s="5" t="str">
        <f>IFERROR(IF(Portafolio_Proyectos!$AP15="","",Portafolio_Proyectos!$E15),"")</f>
        <v/>
      </c>
    </row>
    <row r="45" spans="1:8" x14ac:dyDescent="0.35">
      <c r="A45" s="5" t="str">
        <f>IFERROR(IF(Portafolio_Proyectos!$AQ15="","","CAP-"&amp;ROW()-1),"")</f>
        <v/>
      </c>
      <c r="B45" s="5" t="str">
        <f>IFERROR(IF(Portafolio_Proyectos!$AQ15="","",Portafolio_Proyectos!$AQ15),"")</f>
        <v/>
      </c>
      <c r="C45" s="5" t="str">
        <f>IFERROR(IF(Portafolio_Proyectos!$AQ15="","","Consolidada"),"")</f>
        <v/>
      </c>
      <c r="D45" s="5" t="str">
        <f>IFERROR(IF(Portafolio_Proyectos!$AQ15="","",Portafolio_Proyectos!$C15),"")</f>
        <v/>
      </c>
      <c r="E45" s="5" t="str">
        <f>IFERROR(IF(Portafolio_Proyectos!$AQ15="","",Portafolio_Proyectos!$B15),"")</f>
        <v/>
      </c>
      <c r="F45" s="5" t="str">
        <f>IFERROR(IF(Portafolio_Proyectos!$AQ15="","",Portafolio_Proyectos!$D15),"")</f>
        <v/>
      </c>
      <c r="G45" s="5" t="str">
        <f>IFERROR(IF(Portafolio_Proyectos!$AQ15="","",Portafolio_Proyectos!$A15),"")</f>
        <v/>
      </c>
      <c r="H45" s="5" t="str">
        <f>IFERROR(IF(Portafolio_Proyectos!$AQ15="","",Portafolio_Proyectos!$E15),"")</f>
        <v/>
      </c>
    </row>
    <row r="46" spans="1:8" x14ac:dyDescent="0.35">
      <c r="A46" s="5" t="str">
        <f>IFERROR(IF(Portafolio_Proyectos!$AR15="","","CAP-"&amp;ROW()-1),"")</f>
        <v/>
      </c>
      <c r="B46" s="5" t="str">
        <f>IFERROR(IF(Portafolio_Proyectos!$AR15="","",Portafolio_Proyectos!$AR15),"")</f>
        <v/>
      </c>
      <c r="C46" s="5" t="str">
        <f>IFERROR(IF(Portafolio_Proyectos!$AR15="","","Distintiva"),"")</f>
        <v/>
      </c>
      <c r="D46" s="5" t="str">
        <f>IFERROR(IF(Portafolio_Proyectos!$AR15="","",Portafolio_Proyectos!$C15),"")</f>
        <v/>
      </c>
      <c r="E46" s="5" t="str">
        <f>IFERROR(IF(Portafolio_Proyectos!$AR15="","",Portafolio_Proyectos!$B15),"")</f>
        <v/>
      </c>
      <c r="F46" s="5" t="str">
        <f>IFERROR(IF(Portafolio_Proyectos!$AR15="","",Portafolio_Proyectos!$D15),"")</f>
        <v/>
      </c>
      <c r="G46" s="5" t="str">
        <f>IFERROR(IF(Portafolio_Proyectos!$AR15="","",Portafolio_Proyectos!$A15),"")</f>
        <v/>
      </c>
      <c r="H46" s="5" t="str">
        <f>IFERROR(IF(Portafolio_Proyectos!$AR15="","",Portafolio_Proyectos!$E15),"")</f>
        <v/>
      </c>
    </row>
    <row r="47" spans="1:8" x14ac:dyDescent="0.35">
      <c r="A47" s="5" t="str">
        <f>IFERROR(IF(Portafolio_Proyectos!$AP16="","","CAP-"&amp;ROW()-1),"")</f>
        <v/>
      </c>
      <c r="B47" s="5" t="str">
        <f>IFERROR(IF(Portafolio_Proyectos!$AP16="","",Portafolio_Proyectos!$AP16),"")</f>
        <v/>
      </c>
      <c r="C47" s="5" t="str">
        <f>IFERROR(IF(Portafolio_Proyectos!$AP16="","","Emergente"),"")</f>
        <v/>
      </c>
      <c r="D47" s="5" t="str">
        <f>IFERROR(IF(Portafolio_Proyectos!$AP16="","",Portafolio_Proyectos!$C16),"")</f>
        <v/>
      </c>
      <c r="E47" s="5" t="str">
        <f>IFERROR(IF(Portafolio_Proyectos!$AP16="","",Portafolio_Proyectos!$B16),"")</f>
        <v/>
      </c>
      <c r="F47" s="5" t="str">
        <f>IFERROR(IF(Portafolio_Proyectos!$AP16="","",Portafolio_Proyectos!$D16),"")</f>
        <v/>
      </c>
      <c r="G47" s="5" t="str">
        <f>IFERROR(IF(Portafolio_Proyectos!$AP16="","",Portafolio_Proyectos!$A16),"")</f>
        <v/>
      </c>
      <c r="H47" s="5" t="str">
        <f>IFERROR(IF(Portafolio_Proyectos!$AP16="","",Portafolio_Proyectos!$E16),"")</f>
        <v/>
      </c>
    </row>
    <row r="48" spans="1:8" x14ac:dyDescent="0.35">
      <c r="A48" s="5" t="str">
        <f>IFERROR(IF(Portafolio_Proyectos!$AQ16="","","CAP-"&amp;ROW()-1),"")</f>
        <v/>
      </c>
      <c r="B48" s="5" t="str">
        <f>IFERROR(IF(Portafolio_Proyectos!$AQ16="","",Portafolio_Proyectos!$AQ16),"")</f>
        <v/>
      </c>
      <c r="C48" s="5" t="str">
        <f>IFERROR(IF(Portafolio_Proyectos!$AQ16="","","Consolidada"),"")</f>
        <v/>
      </c>
      <c r="D48" s="5" t="str">
        <f>IFERROR(IF(Portafolio_Proyectos!$AQ16="","",Portafolio_Proyectos!$C16),"")</f>
        <v/>
      </c>
      <c r="E48" s="5" t="str">
        <f>IFERROR(IF(Portafolio_Proyectos!$AQ16="","",Portafolio_Proyectos!$B16),"")</f>
        <v/>
      </c>
      <c r="F48" s="5" t="str">
        <f>IFERROR(IF(Portafolio_Proyectos!$AQ16="","",Portafolio_Proyectos!$D16),"")</f>
        <v/>
      </c>
      <c r="G48" s="5" t="str">
        <f>IFERROR(IF(Portafolio_Proyectos!$AQ16="","",Portafolio_Proyectos!$A16),"")</f>
        <v/>
      </c>
      <c r="H48" s="5" t="str">
        <f>IFERROR(IF(Portafolio_Proyectos!$AQ16="","",Portafolio_Proyectos!$E16),"")</f>
        <v/>
      </c>
    </row>
    <row r="49" spans="1:8" x14ac:dyDescent="0.35">
      <c r="A49" s="5" t="str">
        <f>IFERROR(IF(Portafolio_Proyectos!$AR16="","","CAP-"&amp;ROW()-1),"")</f>
        <v/>
      </c>
      <c r="B49" s="5" t="str">
        <f>IFERROR(IF(Portafolio_Proyectos!$AR16="","",Portafolio_Proyectos!$AR16),"")</f>
        <v/>
      </c>
      <c r="C49" s="5" t="str">
        <f>IFERROR(IF(Portafolio_Proyectos!$AR16="","","Distintiva"),"")</f>
        <v/>
      </c>
      <c r="D49" s="5" t="str">
        <f>IFERROR(IF(Portafolio_Proyectos!$AR16="","",Portafolio_Proyectos!$C16),"")</f>
        <v/>
      </c>
      <c r="E49" s="5" t="str">
        <f>IFERROR(IF(Portafolio_Proyectos!$AR16="","",Portafolio_Proyectos!$B16),"")</f>
        <v/>
      </c>
      <c r="F49" s="5" t="str">
        <f>IFERROR(IF(Portafolio_Proyectos!$AR16="","",Portafolio_Proyectos!$D16),"")</f>
        <v/>
      </c>
      <c r="G49" s="5" t="str">
        <f>IFERROR(IF(Portafolio_Proyectos!$AR16="","",Portafolio_Proyectos!$A16),"")</f>
        <v/>
      </c>
      <c r="H49" s="5" t="str">
        <f>IFERROR(IF(Portafolio_Proyectos!$AR16="","",Portafolio_Proyectos!$E16),"")</f>
        <v/>
      </c>
    </row>
    <row r="50" spans="1:8" x14ac:dyDescent="0.35">
      <c r="A50" s="5" t="str">
        <f>IFERROR(IF(Portafolio_Proyectos!$AP17="","","CAP-"&amp;ROW()-1),"")</f>
        <v/>
      </c>
      <c r="B50" s="5" t="str">
        <f>IFERROR(IF(Portafolio_Proyectos!$AP17="","",Portafolio_Proyectos!$AP17),"")</f>
        <v/>
      </c>
      <c r="C50" s="5" t="str">
        <f>IFERROR(IF(Portafolio_Proyectos!$AP17="","","Emergente"),"")</f>
        <v/>
      </c>
      <c r="D50" s="5" t="str">
        <f>IFERROR(IF(Portafolio_Proyectos!$AP17="","",Portafolio_Proyectos!$C17),"")</f>
        <v/>
      </c>
      <c r="E50" s="5" t="str">
        <f>IFERROR(IF(Portafolio_Proyectos!$AP17="","",Portafolio_Proyectos!$B17),"")</f>
        <v/>
      </c>
      <c r="F50" s="5" t="str">
        <f>IFERROR(IF(Portafolio_Proyectos!$AP17="","",Portafolio_Proyectos!$D17),"")</f>
        <v/>
      </c>
      <c r="G50" s="5" t="str">
        <f>IFERROR(IF(Portafolio_Proyectos!$AP17="","",Portafolio_Proyectos!$A17),"")</f>
        <v/>
      </c>
      <c r="H50" s="5" t="str">
        <f>IFERROR(IF(Portafolio_Proyectos!$AP17="","",Portafolio_Proyectos!$E17),"")</f>
        <v/>
      </c>
    </row>
    <row r="51" spans="1:8" x14ac:dyDescent="0.35">
      <c r="A51" s="5" t="str">
        <f>IFERROR(IF(Portafolio_Proyectos!$AQ17="","","CAP-"&amp;ROW()-1),"")</f>
        <v/>
      </c>
      <c r="B51" s="5" t="str">
        <f>IFERROR(IF(Portafolio_Proyectos!$AQ17="","",Portafolio_Proyectos!$AQ17),"")</f>
        <v/>
      </c>
      <c r="C51" s="5" t="str">
        <f>IFERROR(IF(Portafolio_Proyectos!$AQ17="","","Consolidada"),"")</f>
        <v/>
      </c>
      <c r="D51" s="5" t="str">
        <f>IFERROR(IF(Portafolio_Proyectos!$AQ17="","",Portafolio_Proyectos!$C17),"")</f>
        <v/>
      </c>
      <c r="E51" s="5" t="str">
        <f>IFERROR(IF(Portafolio_Proyectos!$AQ17="","",Portafolio_Proyectos!$B17),"")</f>
        <v/>
      </c>
      <c r="F51" s="5" t="str">
        <f>IFERROR(IF(Portafolio_Proyectos!$AQ17="","",Portafolio_Proyectos!$D17),"")</f>
        <v/>
      </c>
      <c r="G51" s="5" t="str">
        <f>IFERROR(IF(Portafolio_Proyectos!$AQ17="","",Portafolio_Proyectos!$A17),"")</f>
        <v/>
      </c>
      <c r="H51" s="5" t="str">
        <f>IFERROR(IF(Portafolio_Proyectos!$AQ17="","",Portafolio_Proyectos!$E17),"")</f>
        <v/>
      </c>
    </row>
    <row r="52" spans="1:8" x14ac:dyDescent="0.35">
      <c r="A52" s="5" t="str">
        <f>IFERROR(IF(Portafolio_Proyectos!$AR17="","","CAP-"&amp;ROW()-1),"")</f>
        <v/>
      </c>
      <c r="B52" s="5" t="str">
        <f>IFERROR(IF(Portafolio_Proyectos!$AR17="","",Portafolio_Proyectos!$AR17),"")</f>
        <v/>
      </c>
      <c r="C52" s="5" t="str">
        <f>IFERROR(IF(Portafolio_Proyectos!$AR17="","","Distintiva"),"")</f>
        <v/>
      </c>
      <c r="D52" s="5" t="str">
        <f>IFERROR(IF(Portafolio_Proyectos!$AR17="","",Portafolio_Proyectos!$C17),"")</f>
        <v/>
      </c>
      <c r="E52" s="5" t="str">
        <f>IFERROR(IF(Portafolio_Proyectos!$AR17="","",Portafolio_Proyectos!$B17),"")</f>
        <v/>
      </c>
      <c r="F52" s="5" t="str">
        <f>IFERROR(IF(Portafolio_Proyectos!$AR17="","",Portafolio_Proyectos!$D17),"")</f>
        <v/>
      </c>
      <c r="G52" s="5" t="str">
        <f>IFERROR(IF(Portafolio_Proyectos!$AR17="","",Portafolio_Proyectos!$A17),"")</f>
        <v/>
      </c>
      <c r="H52" s="5" t="str">
        <f>IFERROR(IF(Portafolio_Proyectos!$AR17="","",Portafolio_Proyectos!$E17),"")</f>
        <v/>
      </c>
    </row>
    <row r="53" spans="1:8" x14ac:dyDescent="0.35">
      <c r="A53" s="5" t="str">
        <f>IFERROR(IF(Portafolio_Proyectos!$AP18="","","CAP-"&amp;ROW()-1),"")</f>
        <v/>
      </c>
      <c r="B53" s="5" t="str">
        <f>IFERROR(IF(Portafolio_Proyectos!$AP18="","",Portafolio_Proyectos!$AP18),"")</f>
        <v/>
      </c>
      <c r="C53" s="5" t="str">
        <f>IFERROR(IF(Portafolio_Proyectos!$AP18="","","Emergente"),"")</f>
        <v/>
      </c>
      <c r="D53" s="5" t="str">
        <f>IFERROR(IF(Portafolio_Proyectos!$AP18="","",Portafolio_Proyectos!$C18),"")</f>
        <v/>
      </c>
      <c r="E53" s="5" t="str">
        <f>IFERROR(IF(Portafolio_Proyectos!$AP18="","",Portafolio_Proyectos!$B18),"")</f>
        <v/>
      </c>
      <c r="F53" s="5" t="str">
        <f>IFERROR(IF(Portafolio_Proyectos!$AP18="","",Portafolio_Proyectos!$D18),"")</f>
        <v/>
      </c>
      <c r="G53" s="5" t="str">
        <f>IFERROR(IF(Portafolio_Proyectos!$AP18="","",Portafolio_Proyectos!$A18),"")</f>
        <v/>
      </c>
      <c r="H53" s="5" t="str">
        <f>IFERROR(IF(Portafolio_Proyectos!$AP18="","",Portafolio_Proyectos!$E18),"")</f>
        <v/>
      </c>
    </row>
    <row r="54" spans="1:8" x14ac:dyDescent="0.35">
      <c r="A54" s="5" t="str">
        <f>IFERROR(IF(Portafolio_Proyectos!$AQ18="","","CAP-"&amp;ROW()-1),"")</f>
        <v/>
      </c>
      <c r="B54" s="5" t="str">
        <f>IFERROR(IF(Portafolio_Proyectos!$AQ18="","",Portafolio_Proyectos!$AQ18),"")</f>
        <v/>
      </c>
      <c r="C54" s="5" t="str">
        <f>IFERROR(IF(Portafolio_Proyectos!$AQ18="","","Consolidada"),"")</f>
        <v/>
      </c>
      <c r="D54" s="5" t="str">
        <f>IFERROR(IF(Portafolio_Proyectos!$AQ18="","",Portafolio_Proyectos!$C18),"")</f>
        <v/>
      </c>
      <c r="E54" s="5" t="str">
        <f>IFERROR(IF(Portafolio_Proyectos!$AQ18="","",Portafolio_Proyectos!$B18),"")</f>
        <v/>
      </c>
      <c r="F54" s="5" t="str">
        <f>IFERROR(IF(Portafolio_Proyectos!$AQ18="","",Portafolio_Proyectos!$D18),"")</f>
        <v/>
      </c>
      <c r="G54" s="5" t="str">
        <f>IFERROR(IF(Portafolio_Proyectos!$AQ18="","",Portafolio_Proyectos!$A18),"")</f>
        <v/>
      </c>
      <c r="H54" s="5" t="str">
        <f>IFERROR(IF(Portafolio_Proyectos!$AQ18="","",Portafolio_Proyectos!$E18),"")</f>
        <v/>
      </c>
    </row>
    <row r="55" spans="1:8" x14ac:dyDescent="0.35">
      <c r="A55" s="5" t="str">
        <f>IFERROR(IF(Portafolio_Proyectos!$AR18="","","CAP-"&amp;ROW()-1),"")</f>
        <v/>
      </c>
      <c r="B55" s="5" t="str">
        <f>IFERROR(IF(Portafolio_Proyectos!$AR18="","",Portafolio_Proyectos!$AR18),"")</f>
        <v/>
      </c>
      <c r="C55" s="5" t="str">
        <f>IFERROR(IF(Portafolio_Proyectos!$AR18="","","Distintiva"),"")</f>
        <v/>
      </c>
      <c r="D55" s="5" t="str">
        <f>IFERROR(IF(Portafolio_Proyectos!$AR18="","",Portafolio_Proyectos!$C18),"")</f>
        <v/>
      </c>
      <c r="E55" s="5" t="str">
        <f>IFERROR(IF(Portafolio_Proyectos!$AR18="","",Portafolio_Proyectos!$B18),"")</f>
        <v/>
      </c>
      <c r="F55" s="5" t="str">
        <f>IFERROR(IF(Portafolio_Proyectos!$AR18="","",Portafolio_Proyectos!$D18),"")</f>
        <v/>
      </c>
      <c r="G55" s="5" t="str">
        <f>IFERROR(IF(Portafolio_Proyectos!$AR18="","",Portafolio_Proyectos!$A18),"")</f>
        <v/>
      </c>
      <c r="H55" s="5" t="str">
        <f>IFERROR(IF(Portafolio_Proyectos!$AR18="","",Portafolio_Proyectos!$E18),"")</f>
        <v/>
      </c>
    </row>
    <row r="56" spans="1:8" x14ac:dyDescent="0.35">
      <c r="A56" s="5" t="str">
        <f>IFERROR(IF(Portafolio_Proyectos!$AP19="","","CAP-"&amp;ROW()-1),"")</f>
        <v/>
      </c>
      <c r="B56" s="5" t="str">
        <f>IFERROR(IF(Portafolio_Proyectos!$AP19="","",Portafolio_Proyectos!$AP19),"")</f>
        <v/>
      </c>
      <c r="C56" s="5" t="str">
        <f>IFERROR(IF(Portafolio_Proyectos!$AP19="","","Emergente"),"")</f>
        <v/>
      </c>
      <c r="D56" s="5" t="str">
        <f>IFERROR(IF(Portafolio_Proyectos!$AP19="","",Portafolio_Proyectos!$C19),"")</f>
        <v/>
      </c>
      <c r="E56" s="5" t="str">
        <f>IFERROR(IF(Portafolio_Proyectos!$AP19="","",Portafolio_Proyectos!$B19),"")</f>
        <v/>
      </c>
      <c r="F56" s="5" t="str">
        <f>IFERROR(IF(Portafolio_Proyectos!$AP19="","",Portafolio_Proyectos!$D19),"")</f>
        <v/>
      </c>
      <c r="G56" s="5" t="str">
        <f>IFERROR(IF(Portafolio_Proyectos!$AP19="","",Portafolio_Proyectos!$A19),"")</f>
        <v/>
      </c>
      <c r="H56" s="5" t="str">
        <f>IFERROR(IF(Portafolio_Proyectos!$AP19="","",Portafolio_Proyectos!$E19),"")</f>
        <v/>
      </c>
    </row>
    <row r="57" spans="1:8" x14ac:dyDescent="0.35">
      <c r="A57" s="5" t="str">
        <f>IFERROR(IF(Portafolio_Proyectos!$AQ19="","","CAP-"&amp;ROW()-1),"")</f>
        <v/>
      </c>
      <c r="B57" s="5" t="str">
        <f>IFERROR(IF(Portafolio_Proyectos!$AQ19="","",Portafolio_Proyectos!$AQ19),"")</f>
        <v/>
      </c>
      <c r="C57" s="5" t="str">
        <f>IFERROR(IF(Portafolio_Proyectos!$AQ19="","","Consolidada"),"")</f>
        <v/>
      </c>
      <c r="D57" s="5" t="str">
        <f>IFERROR(IF(Portafolio_Proyectos!$AQ19="","",Portafolio_Proyectos!$C19),"")</f>
        <v/>
      </c>
      <c r="E57" s="5" t="str">
        <f>IFERROR(IF(Portafolio_Proyectos!$AQ19="","",Portafolio_Proyectos!$B19),"")</f>
        <v/>
      </c>
      <c r="F57" s="5" t="str">
        <f>IFERROR(IF(Portafolio_Proyectos!$AQ19="","",Portafolio_Proyectos!$D19),"")</f>
        <v/>
      </c>
      <c r="G57" s="5" t="str">
        <f>IFERROR(IF(Portafolio_Proyectos!$AQ19="","",Portafolio_Proyectos!$A19),"")</f>
        <v/>
      </c>
      <c r="H57" s="5" t="str">
        <f>IFERROR(IF(Portafolio_Proyectos!$AQ19="","",Portafolio_Proyectos!$E19),"")</f>
        <v/>
      </c>
    </row>
    <row r="58" spans="1:8" x14ac:dyDescent="0.35">
      <c r="A58" s="5" t="str">
        <f>IFERROR(IF(Portafolio_Proyectos!$AR19="","","CAP-"&amp;ROW()-1),"")</f>
        <v/>
      </c>
      <c r="B58" s="5" t="str">
        <f>IFERROR(IF(Portafolio_Proyectos!$AR19="","",Portafolio_Proyectos!$AR19),"")</f>
        <v/>
      </c>
      <c r="C58" s="5" t="str">
        <f>IFERROR(IF(Portafolio_Proyectos!$AR19="","","Distintiva"),"")</f>
        <v/>
      </c>
      <c r="D58" s="5" t="str">
        <f>IFERROR(IF(Portafolio_Proyectos!$AR19="","",Portafolio_Proyectos!$C19),"")</f>
        <v/>
      </c>
      <c r="E58" s="5" t="str">
        <f>IFERROR(IF(Portafolio_Proyectos!$AR19="","",Portafolio_Proyectos!$B19),"")</f>
        <v/>
      </c>
      <c r="F58" s="5" t="str">
        <f>IFERROR(IF(Portafolio_Proyectos!$AR19="","",Portafolio_Proyectos!$D19),"")</f>
        <v/>
      </c>
      <c r="G58" s="5" t="str">
        <f>IFERROR(IF(Portafolio_Proyectos!$AR19="","",Portafolio_Proyectos!$A19),"")</f>
        <v/>
      </c>
      <c r="H58" s="5" t="str">
        <f>IFERROR(IF(Portafolio_Proyectos!$AR19="","",Portafolio_Proyectos!$E19),"")</f>
        <v/>
      </c>
    </row>
    <row r="59" spans="1:8" x14ac:dyDescent="0.35">
      <c r="A59" s="5" t="str">
        <f>IFERROR(IF(Portafolio_Proyectos!$AP20="","","CAP-"&amp;ROW()-1),"")</f>
        <v/>
      </c>
      <c r="B59" s="5" t="str">
        <f>IFERROR(IF(Portafolio_Proyectos!$AP20="","",Portafolio_Proyectos!$AP20),"")</f>
        <v/>
      </c>
      <c r="C59" s="5" t="str">
        <f>IFERROR(IF(Portafolio_Proyectos!$AP20="","","Emergente"),"")</f>
        <v/>
      </c>
      <c r="D59" s="5" t="str">
        <f>IFERROR(IF(Portafolio_Proyectos!$AP20="","",Portafolio_Proyectos!$C20),"")</f>
        <v/>
      </c>
      <c r="E59" s="5" t="str">
        <f>IFERROR(IF(Portafolio_Proyectos!$AP20="","",Portafolio_Proyectos!$B20),"")</f>
        <v/>
      </c>
      <c r="F59" s="5" t="str">
        <f>IFERROR(IF(Portafolio_Proyectos!$AP20="","",Portafolio_Proyectos!$D20),"")</f>
        <v/>
      </c>
      <c r="G59" s="5" t="str">
        <f>IFERROR(IF(Portafolio_Proyectos!$AP20="","",Portafolio_Proyectos!$A20),"")</f>
        <v/>
      </c>
      <c r="H59" s="5" t="str">
        <f>IFERROR(IF(Portafolio_Proyectos!$AP20="","",Portafolio_Proyectos!$E20),"")</f>
        <v/>
      </c>
    </row>
    <row r="60" spans="1:8" x14ac:dyDescent="0.35">
      <c r="A60" s="5" t="str">
        <f>IFERROR(IF(Portafolio_Proyectos!$AQ20="","","CAP-"&amp;ROW()-1),"")</f>
        <v/>
      </c>
      <c r="B60" s="5" t="str">
        <f>IFERROR(IF(Portafolio_Proyectos!$AQ20="","",Portafolio_Proyectos!$AQ20),"")</f>
        <v/>
      </c>
      <c r="C60" s="5" t="str">
        <f>IFERROR(IF(Portafolio_Proyectos!$AQ20="","","Consolidada"),"")</f>
        <v/>
      </c>
      <c r="D60" s="5" t="str">
        <f>IFERROR(IF(Portafolio_Proyectos!$AQ20="","",Portafolio_Proyectos!$C20),"")</f>
        <v/>
      </c>
      <c r="E60" s="5" t="str">
        <f>IFERROR(IF(Portafolio_Proyectos!$AQ20="","",Portafolio_Proyectos!$B20),"")</f>
        <v/>
      </c>
      <c r="F60" s="5" t="str">
        <f>IFERROR(IF(Portafolio_Proyectos!$AQ20="","",Portafolio_Proyectos!$D20),"")</f>
        <v/>
      </c>
      <c r="G60" s="5" t="str">
        <f>IFERROR(IF(Portafolio_Proyectos!$AQ20="","",Portafolio_Proyectos!$A20),"")</f>
        <v/>
      </c>
      <c r="H60" s="5" t="str">
        <f>IFERROR(IF(Portafolio_Proyectos!$AQ20="","",Portafolio_Proyectos!$E20),"")</f>
        <v/>
      </c>
    </row>
    <row r="61" spans="1:8" x14ac:dyDescent="0.35">
      <c r="A61" s="5" t="str">
        <f>IFERROR(IF(Portafolio_Proyectos!$AR20="","","CAP-"&amp;ROW()-1),"")</f>
        <v/>
      </c>
      <c r="B61" s="5" t="str">
        <f>IFERROR(IF(Portafolio_Proyectos!$AR20="","",Portafolio_Proyectos!$AR20),"")</f>
        <v/>
      </c>
      <c r="C61" s="5" t="str">
        <f>IFERROR(IF(Portafolio_Proyectos!$AR20="","","Distintiva"),"")</f>
        <v/>
      </c>
      <c r="D61" s="5" t="str">
        <f>IFERROR(IF(Portafolio_Proyectos!$AR20="","",Portafolio_Proyectos!$C20),"")</f>
        <v/>
      </c>
      <c r="E61" s="5" t="str">
        <f>IFERROR(IF(Portafolio_Proyectos!$AR20="","",Portafolio_Proyectos!$B20),"")</f>
        <v/>
      </c>
      <c r="F61" s="5" t="str">
        <f>IFERROR(IF(Portafolio_Proyectos!$AR20="","",Portafolio_Proyectos!$D20),"")</f>
        <v/>
      </c>
      <c r="G61" s="5" t="str">
        <f>IFERROR(IF(Portafolio_Proyectos!$AR20="","",Portafolio_Proyectos!$A20),"")</f>
        <v/>
      </c>
      <c r="H61" s="5" t="str">
        <f>IFERROR(IF(Portafolio_Proyectos!$AR20="","",Portafolio_Proyectos!$E20),"")</f>
        <v/>
      </c>
    </row>
    <row r="62" spans="1:8" x14ac:dyDescent="0.35">
      <c r="A62" s="5" t="str">
        <f>IFERROR(IF(Portafolio_Proyectos!$AP21="","","CAP-"&amp;ROW()-1),"")</f>
        <v/>
      </c>
      <c r="B62" s="5" t="str">
        <f>IFERROR(IF(Portafolio_Proyectos!$AP21="","",Portafolio_Proyectos!$AP21),"")</f>
        <v/>
      </c>
      <c r="C62" s="5" t="str">
        <f>IFERROR(IF(Portafolio_Proyectos!$AP21="","","Emergente"),"")</f>
        <v/>
      </c>
      <c r="D62" s="5" t="str">
        <f>IFERROR(IF(Portafolio_Proyectos!$AP21="","",Portafolio_Proyectos!$C21),"")</f>
        <v/>
      </c>
      <c r="E62" s="5" t="str">
        <f>IFERROR(IF(Portafolio_Proyectos!$AP21="","",Portafolio_Proyectos!$B21),"")</f>
        <v/>
      </c>
      <c r="F62" s="5" t="str">
        <f>IFERROR(IF(Portafolio_Proyectos!$AP21="","",Portafolio_Proyectos!$D21),"")</f>
        <v/>
      </c>
      <c r="G62" s="5" t="str">
        <f>IFERROR(IF(Portafolio_Proyectos!$AP21="","",Portafolio_Proyectos!$A21),"")</f>
        <v/>
      </c>
      <c r="H62" s="5" t="str">
        <f>IFERROR(IF(Portafolio_Proyectos!$AP21="","",Portafolio_Proyectos!$E21),"")</f>
        <v/>
      </c>
    </row>
    <row r="63" spans="1:8" x14ac:dyDescent="0.35">
      <c r="A63" s="5" t="str">
        <f>IFERROR(IF(Portafolio_Proyectos!$AQ21="","","CAP-"&amp;ROW()-1),"")</f>
        <v/>
      </c>
      <c r="B63" s="5" t="str">
        <f>IFERROR(IF(Portafolio_Proyectos!$AQ21="","",Portafolio_Proyectos!$AQ21),"")</f>
        <v/>
      </c>
      <c r="C63" s="5" t="str">
        <f>IFERROR(IF(Portafolio_Proyectos!$AQ21="","","Consolidada"),"")</f>
        <v/>
      </c>
      <c r="D63" s="5" t="str">
        <f>IFERROR(IF(Portafolio_Proyectos!$AQ21="","",Portafolio_Proyectos!$C21),"")</f>
        <v/>
      </c>
      <c r="E63" s="5" t="str">
        <f>IFERROR(IF(Portafolio_Proyectos!$AQ21="","",Portafolio_Proyectos!$B21),"")</f>
        <v/>
      </c>
      <c r="F63" s="5" t="str">
        <f>IFERROR(IF(Portafolio_Proyectos!$AQ21="","",Portafolio_Proyectos!$D21),"")</f>
        <v/>
      </c>
      <c r="G63" s="5" t="str">
        <f>IFERROR(IF(Portafolio_Proyectos!$AQ21="","",Portafolio_Proyectos!$A21),"")</f>
        <v/>
      </c>
      <c r="H63" s="5" t="str">
        <f>IFERROR(IF(Portafolio_Proyectos!$AQ21="","",Portafolio_Proyectos!$E21),"")</f>
        <v/>
      </c>
    </row>
    <row r="64" spans="1:8" x14ac:dyDescent="0.35">
      <c r="A64" s="5" t="str">
        <f>IFERROR(IF(Portafolio_Proyectos!$AR21="","","CAP-"&amp;ROW()-1),"")</f>
        <v/>
      </c>
      <c r="B64" s="5" t="str">
        <f>IFERROR(IF(Portafolio_Proyectos!$AR21="","",Portafolio_Proyectos!$AR21),"")</f>
        <v/>
      </c>
      <c r="C64" s="5" t="str">
        <f>IFERROR(IF(Portafolio_Proyectos!$AR21="","","Distintiva"),"")</f>
        <v/>
      </c>
      <c r="D64" s="5" t="str">
        <f>IFERROR(IF(Portafolio_Proyectos!$AR21="","",Portafolio_Proyectos!$C21),"")</f>
        <v/>
      </c>
      <c r="E64" s="5" t="str">
        <f>IFERROR(IF(Portafolio_Proyectos!$AR21="","",Portafolio_Proyectos!$B21),"")</f>
        <v/>
      </c>
      <c r="F64" s="5" t="str">
        <f>IFERROR(IF(Portafolio_Proyectos!$AR21="","",Portafolio_Proyectos!$D21),"")</f>
        <v/>
      </c>
      <c r="G64" s="5" t="str">
        <f>IFERROR(IF(Portafolio_Proyectos!$AR21="","",Portafolio_Proyectos!$A21),"")</f>
        <v/>
      </c>
      <c r="H64" s="5" t="str">
        <f>IFERROR(IF(Portafolio_Proyectos!$AR21="","",Portafolio_Proyectos!$E21),"")</f>
        <v/>
      </c>
    </row>
    <row r="65" spans="1:8" x14ac:dyDescent="0.35">
      <c r="A65" s="5" t="str">
        <f>IFERROR(IF(Portafolio_Proyectos!$AP22="","","CAP-"&amp;ROW()-1),"")</f>
        <v/>
      </c>
      <c r="B65" s="5" t="str">
        <f>IFERROR(IF(Portafolio_Proyectos!$AP22="","",Portafolio_Proyectos!$AP22),"")</f>
        <v/>
      </c>
      <c r="C65" s="5" t="str">
        <f>IFERROR(IF(Portafolio_Proyectos!$AP22="","","Emergente"),"")</f>
        <v/>
      </c>
      <c r="D65" s="5" t="str">
        <f>IFERROR(IF(Portafolio_Proyectos!$AP22="","",Portafolio_Proyectos!$C22),"")</f>
        <v/>
      </c>
      <c r="E65" s="5" t="str">
        <f>IFERROR(IF(Portafolio_Proyectos!$AP22="","",Portafolio_Proyectos!$B22),"")</f>
        <v/>
      </c>
      <c r="F65" s="5" t="str">
        <f>IFERROR(IF(Portafolio_Proyectos!$AP22="","",Portafolio_Proyectos!$D22),"")</f>
        <v/>
      </c>
      <c r="G65" s="5" t="str">
        <f>IFERROR(IF(Portafolio_Proyectos!$AP22="","",Portafolio_Proyectos!$A22),"")</f>
        <v/>
      </c>
      <c r="H65" s="5" t="str">
        <f>IFERROR(IF(Portafolio_Proyectos!$AP22="","",Portafolio_Proyectos!$E22),"")</f>
        <v/>
      </c>
    </row>
    <row r="66" spans="1:8" x14ac:dyDescent="0.35">
      <c r="A66" s="5" t="str">
        <f>IFERROR(IF(Portafolio_Proyectos!$AQ22="","","CAP-"&amp;ROW()-1),"")</f>
        <v/>
      </c>
      <c r="B66" s="5" t="str">
        <f>IFERROR(IF(Portafolio_Proyectos!$AQ22="","",Portafolio_Proyectos!$AQ22),"")</f>
        <v/>
      </c>
      <c r="C66" s="5" t="str">
        <f>IFERROR(IF(Portafolio_Proyectos!$AQ22="","","Consolidada"),"")</f>
        <v/>
      </c>
      <c r="D66" s="5" t="str">
        <f>IFERROR(IF(Portafolio_Proyectos!$AQ22="","",Portafolio_Proyectos!$C22),"")</f>
        <v/>
      </c>
      <c r="E66" s="5" t="str">
        <f>IFERROR(IF(Portafolio_Proyectos!$AQ22="","",Portafolio_Proyectos!$B22),"")</f>
        <v/>
      </c>
      <c r="F66" s="5" t="str">
        <f>IFERROR(IF(Portafolio_Proyectos!$AQ22="","",Portafolio_Proyectos!$D22),"")</f>
        <v/>
      </c>
      <c r="G66" s="5" t="str">
        <f>IFERROR(IF(Portafolio_Proyectos!$AQ22="","",Portafolio_Proyectos!$A22),"")</f>
        <v/>
      </c>
      <c r="H66" s="5" t="str">
        <f>IFERROR(IF(Portafolio_Proyectos!$AQ22="","",Portafolio_Proyectos!$E22),"")</f>
        <v/>
      </c>
    </row>
    <row r="67" spans="1:8" x14ac:dyDescent="0.35">
      <c r="A67" s="5" t="str">
        <f>IFERROR(IF(Portafolio_Proyectos!$AR22="","","CAP-"&amp;ROW()-1),"")</f>
        <v/>
      </c>
      <c r="B67" s="5" t="str">
        <f>IFERROR(IF(Portafolio_Proyectos!$AR22="","",Portafolio_Proyectos!$AR22),"")</f>
        <v/>
      </c>
      <c r="C67" s="5" t="str">
        <f>IFERROR(IF(Portafolio_Proyectos!$AR22="","","Distintiva"),"")</f>
        <v/>
      </c>
      <c r="D67" s="5" t="str">
        <f>IFERROR(IF(Portafolio_Proyectos!$AR22="","",Portafolio_Proyectos!$C22),"")</f>
        <v/>
      </c>
      <c r="E67" s="5" t="str">
        <f>IFERROR(IF(Portafolio_Proyectos!$AR22="","",Portafolio_Proyectos!$B22),"")</f>
        <v/>
      </c>
      <c r="F67" s="5" t="str">
        <f>IFERROR(IF(Portafolio_Proyectos!$AR22="","",Portafolio_Proyectos!$D22),"")</f>
        <v/>
      </c>
      <c r="G67" s="5" t="str">
        <f>IFERROR(IF(Portafolio_Proyectos!$AR22="","",Portafolio_Proyectos!$A22),"")</f>
        <v/>
      </c>
      <c r="H67" s="5" t="str">
        <f>IFERROR(IF(Portafolio_Proyectos!$AR22="","",Portafolio_Proyectos!$E22),"")</f>
        <v/>
      </c>
    </row>
    <row r="68" spans="1:8" x14ac:dyDescent="0.35">
      <c r="A68" s="5" t="str">
        <f>IFERROR(IF(Portafolio_Proyectos!$AP23="","","CAP-"&amp;ROW()-1),"")</f>
        <v/>
      </c>
      <c r="B68" s="5" t="str">
        <f>IFERROR(IF(Portafolio_Proyectos!$AP23="","",Portafolio_Proyectos!$AP23),"")</f>
        <v/>
      </c>
      <c r="C68" s="5" t="str">
        <f>IFERROR(IF(Portafolio_Proyectos!$AP23="","","Emergente"),"")</f>
        <v/>
      </c>
      <c r="D68" s="5" t="str">
        <f>IFERROR(IF(Portafolio_Proyectos!$AP23="","",Portafolio_Proyectos!$C23),"")</f>
        <v/>
      </c>
      <c r="E68" s="5" t="str">
        <f>IFERROR(IF(Portafolio_Proyectos!$AP23="","",Portafolio_Proyectos!$B23),"")</f>
        <v/>
      </c>
      <c r="F68" s="5" t="str">
        <f>IFERROR(IF(Portafolio_Proyectos!$AP23="","",Portafolio_Proyectos!$D23),"")</f>
        <v/>
      </c>
      <c r="G68" s="5" t="str">
        <f>IFERROR(IF(Portafolio_Proyectos!$AP23="","",Portafolio_Proyectos!$A23),"")</f>
        <v/>
      </c>
      <c r="H68" s="5" t="str">
        <f>IFERROR(IF(Portafolio_Proyectos!$AP23="","",Portafolio_Proyectos!$E23),"")</f>
        <v/>
      </c>
    </row>
    <row r="69" spans="1:8" x14ac:dyDescent="0.35">
      <c r="A69" s="5" t="str">
        <f>IFERROR(IF(Portafolio_Proyectos!$AQ23="","","CAP-"&amp;ROW()-1),"")</f>
        <v/>
      </c>
      <c r="B69" s="5" t="str">
        <f>IFERROR(IF(Portafolio_Proyectos!$AQ23="","",Portafolio_Proyectos!$AQ23),"")</f>
        <v/>
      </c>
      <c r="C69" s="5" t="str">
        <f>IFERROR(IF(Portafolio_Proyectos!$AQ23="","","Consolidada"),"")</f>
        <v/>
      </c>
      <c r="D69" s="5" t="str">
        <f>IFERROR(IF(Portafolio_Proyectos!$AQ23="","",Portafolio_Proyectos!$C23),"")</f>
        <v/>
      </c>
      <c r="E69" s="5" t="str">
        <f>IFERROR(IF(Portafolio_Proyectos!$AQ23="","",Portafolio_Proyectos!$B23),"")</f>
        <v/>
      </c>
      <c r="F69" s="5" t="str">
        <f>IFERROR(IF(Portafolio_Proyectos!$AQ23="","",Portafolio_Proyectos!$D23),"")</f>
        <v/>
      </c>
      <c r="G69" s="5" t="str">
        <f>IFERROR(IF(Portafolio_Proyectos!$AQ23="","",Portafolio_Proyectos!$A23),"")</f>
        <v/>
      </c>
      <c r="H69" s="5" t="str">
        <f>IFERROR(IF(Portafolio_Proyectos!$AQ23="","",Portafolio_Proyectos!$E23),"")</f>
        <v/>
      </c>
    </row>
    <row r="70" spans="1:8" x14ac:dyDescent="0.35">
      <c r="A70" s="5" t="str">
        <f>IFERROR(IF(Portafolio_Proyectos!$AR23="","","CAP-"&amp;ROW()-1),"")</f>
        <v/>
      </c>
      <c r="B70" s="5" t="str">
        <f>IFERROR(IF(Portafolio_Proyectos!$AR23="","",Portafolio_Proyectos!$AR23),"")</f>
        <v/>
      </c>
      <c r="C70" s="5" t="str">
        <f>IFERROR(IF(Portafolio_Proyectos!$AR23="","","Distintiva"),"")</f>
        <v/>
      </c>
      <c r="D70" s="5" t="str">
        <f>IFERROR(IF(Portafolio_Proyectos!$AR23="","",Portafolio_Proyectos!$C23),"")</f>
        <v/>
      </c>
      <c r="E70" s="5" t="str">
        <f>IFERROR(IF(Portafolio_Proyectos!$AR23="","",Portafolio_Proyectos!$B23),"")</f>
        <v/>
      </c>
      <c r="F70" s="5" t="str">
        <f>IFERROR(IF(Portafolio_Proyectos!$AR23="","",Portafolio_Proyectos!$D23),"")</f>
        <v/>
      </c>
      <c r="G70" s="5" t="str">
        <f>IFERROR(IF(Portafolio_Proyectos!$AR23="","",Portafolio_Proyectos!$A23),"")</f>
        <v/>
      </c>
      <c r="H70" s="5" t="str">
        <f>IFERROR(IF(Portafolio_Proyectos!$AR23="","",Portafolio_Proyectos!$E23),"")</f>
        <v/>
      </c>
    </row>
    <row r="71" spans="1:8" x14ac:dyDescent="0.35">
      <c r="A71" s="5" t="str">
        <f>IFERROR(IF(Portafolio_Proyectos!$AP24="","","CAP-"&amp;ROW()-1),"")</f>
        <v/>
      </c>
      <c r="B71" s="5" t="str">
        <f>IFERROR(IF(Portafolio_Proyectos!$AP24="","",Portafolio_Proyectos!$AP24),"")</f>
        <v/>
      </c>
      <c r="C71" s="5" t="str">
        <f>IFERROR(IF(Portafolio_Proyectos!$AP24="","","Emergente"),"")</f>
        <v/>
      </c>
      <c r="D71" s="5" t="str">
        <f>IFERROR(IF(Portafolio_Proyectos!$AP24="","",Portafolio_Proyectos!$C24),"")</f>
        <v/>
      </c>
      <c r="E71" s="5" t="str">
        <f>IFERROR(IF(Portafolio_Proyectos!$AP24="","",Portafolio_Proyectos!$B24),"")</f>
        <v/>
      </c>
      <c r="F71" s="5" t="str">
        <f>IFERROR(IF(Portafolio_Proyectos!$AP24="","",Portafolio_Proyectos!$D24),"")</f>
        <v/>
      </c>
      <c r="G71" s="5" t="str">
        <f>IFERROR(IF(Portafolio_Proyectos!$AP24="","",Portafolio_Proyectos!$A24),"")</f>
        <v/>
      </c>
      <c r="H71" s="5" t="str">
        <f>IFERROR(IF(Portafolio_Proyectos!$AP24="","",Portafolio_Proyectos!$E24),"")</f>
        <v/>
      </c>
    </row>
    <row r="72" spans="1:8" x14ac:dyDescent="0.35">
      <c r="A72" s="5" t="str">
        <f>IFERROR(IF(Portafolio_Proyectos!$AQ24="","","CAP-"&amp;ROW()-1),"")</f>
        <v/>
      </c>
      <c r="B72" s="5" t="str">
        <f>IFERROR(IF(Portafolio_Proyectos!$AQ24="","",Portafolio_Proyectos!$AQ24),"")</f>
        <v/>
      </c>
      <c r="C72" s="5" t="str">
        <f>IFERROR(IF(Portafolio_Proyectos!$AQ24="","","Consolidada"),"")</f>
        <v/>
      </c>
      <c r="D72" s="5" t="str">
        <f>IFERROR(IF(Portafolio_Proyectos!$AQ24="","",Portafolio_Proyectos!$C24),"")</f>
        <v/>
      </c>
      <c r="E72" s="5" t="str">
        <f>IFERROR(IF(Portafolio_Proyectos!$AQ24="","",Portafolio_Proyectos!$B24),"")</f>
        <v/>
      </c>
      <c r="F72" s="5" t="str">
        <f>IFERROR(IF(Portafolio_Proyectos!$AQ24="","",Portafolio_Proyectos!$D24),"")</f>
        <v/>
      </c>
      <c r="G72" s="5" t="str">
        <f>IFERROR(IF(Portafolio_Proyectos!$AQ24="","",Portafolio_Proyectos!$A24),"")</f>
        <v/>
      </c>
      <c r="H72" s="5" t="str">
        <f>IFERROR(IF(Portafolio_Proyectos!$AQ24="","",Portafolio_Proyectos!$E24),"")</f>
        <v/>
      </c>
    </row>
    <row r="73" spans="1:8" x14ac:dyDescent="0.35">
      <c r="A73" s="5" t="str">
        <f>IFERROR(IF(Portafolio_Proyectos!$AR24="","","CAP-"&amp;ROW()-1),"")</f>
        <v/>
      </c>
      <c r="B73" s="5" t="str">
        <f>IFERROR(IF(Portafolio_Proyectos!$AR24="","",Portafolio_Proyectos!$AR24),"")</f>
        <v/>
      </c>
      <c r="C73" s="5" t="str">
        <f>IFERROR(IF(Portafolio_Proyectos!$AR24="","","Distintiva"),"")</f>
        <v/>
      </c>
      <c r="D73" s="5" t="str">
        <f>IFERROR(IF(Portafolio_Proyectos!$AR24="","",Portafolio_Proyectos!$C24),"")</f>
        <v/>
      </c>
      <c r="E73" s="5" t="str">
        <f>IFERROR(IF(Portafolio_Proyectos!$AR24="","",Portafolio_Proyectos!$B24),"")</f>
        <v/>
      </c>
      <c r="F73" s="5" t="str">
        <f>IFERROR(IF(Portafolio_Proyectos!$AR24="","",Portafolio_Proyectos!$D24),"")</f>
        <v/>
      </c>
      <c r="G73" s="5" t="str">
        <f>IFERROR(IF(Portafolio_Proyectos!$AR24="","",Portafolio_Proyectos!$A24),"")</f>
        <v/>
      </c>
      <c r="H73" s="5" t="str">
        <f>IFERROR(IF(Portafolio_Proyectos!$AR24="","",Portafolio_Proyectos!$E24),"")</f>
        <v/>
      </c>
    </row>
    <row r="74" spans="1:8" x14ac:dyDescent="0.35">
      <c r="A74" s="5" t="str">
        <f>IFERROR(IF(Portafolio_Proyectos!$AP25="","","CAP-"&amp;ROW()-1),"")</f>
        <v/>
      </c>
      <c r="B74" s="5" t="str">
        <f>IFERROR(IF(Portafolio_Proyectos!$AP25="","",Portafolio_Proyectos!$AP25),"")</f>
        <v/>
      </c>
      <c r="C74" s="5" t="str">
        <f>IFERROR(IF(Portafolio_Proyectos!$AP25="","","Emergente"),"")</f>
        <v/>
      </c>
      <c r="D74" s="5" t="str">
        <f>IFERROR(IF(Portafolio_Proyectos!$AP25="","",Portafolio_Proyectos!$C25),"")</f>
        <v/>
      </c>
      <c r="E74" s="5" t="str">
        <f>IFERROR(IF(Portafolio_Proyectos!$AP25="","",Portafolio_Proyectos!$B25),"")</f>
        <v/>
      </c>
      <c r="F74" s="5" t="str">
        <f>IFERROR(IF(Portafolio_Proyectos!$AP25="","",Portafolio_Proyectos!$D25),"")</f>
        <v/>
      </c>
      <c r="G74" s="5" t="str">
        <f>IFERROR(IF(Portafolio_Proyectos!$AP25="","",Portafolio_Proyectos!$A25),"")</f>
        <v/>
      </c>
      <c r="H74" s="5" t="str">
        <f>IFERROR(IF(Portafolio_Proyectos!$AP25="","",Portafolio_Proyectos!$E25),"")</f>
        <v/>
      </c>
    </row>
    <row r="75" spans="1:8" x14ac:dyDescent="0.35">
      <c r="A75" s="5" t="str">
        <f>IFERROR(IF(Portafolio_Proyectos!$AQ25="","","CAP-"&amp;ROW()-1),"")</f>
        <v/>
      </c>
      <c r="B75" s="5" t="str">
        <f>IFERROR(IF(Portafolio_Proyectos!$AQ25="","",Portafolio_Proyectos!$AQ25),"")</f>
        <v/>
      </c>
      <c r="C75" s="5" t="str">
        <f>IFERROR(IF(Portafolio_Proyectos!$AQ25="","","Consolidada"),"")</f>
        <v/>
      </c>
      <c r="D75" s="5" t="str">
        <f>IFERROR(IF(Portafolio_Proyectos!$AQ25="","",Portafolio_Proyectos!$C25),"")</f>
        <v/>
      </c>
      <c r="E75" s="5" t="str">
        <f>IFERROR(IF(Portafolio_Proyectos!$AQ25="","",Portafolio_Proyectos!$B25),"")</f>
        <v/>
      </c>
      <c r="F75" s="5" t="str">
        <f>IFERROR(IF(Portafolio_Proyectos!$AQ25="","",Portafolio_Proyectos!$D25),"")</f>
        <v/>
      </c>
      <c r="G75" s="5" t="str">
        <f>IFERROR(IF(Portafolio_Proyectos!$AQ25="","",Portafolio_Proyectos!$A25),"")</f>
        <v/>
      </c>
      <c r="H75" s="5" t="str">
        <f>IFERROR(IF(Portafolio_Proyectos!$AQ25="","",Portafolio_Proyectos!$E25),"")</f>
        <v/>
      </c>
    </row>
    <row r="76" spans="1:8" x14ac:dyDescent="0.35">
      <c r="A76" s="5" t="str">
        <f>IFERROR(IF(Portafolio_Proyectos!$AR25="","","CAP-"&amp;ROW()-1),"")</f>
        <v/>
      </c>
      <c r="B76" s="5" t="str">
        <f>IFERROR(IF(Portafolio_Proyectos!$AR25="","",Portafolio_Proyectos!$AR25),"")</f>
        <v/>
      </c>
      <c r="C76" s="5" t="str">
        <f>IFERROR(IF(Portafolio_Proyectos!$AR25="","","Distintiva"),"")</f>
        <v/>
      </c>
      <c r="D76" s="5" t="str">
        <f>IFERROR(IF(Portafolio_Proyectos!$AR25="","",Portafolio_Proyectos!$C25),"")</f>
        <v/>
      </c>
      <c r="E76" s="5" t="str">
        <f>IFERROR(IF(Portafolio_Proyectos!$AR25="","",Portafolio_Proyectos!$B25),"")</f>
        <v/>
      </c>
      <c r="F76" s="5" t="str">
        <f>IFERROR(IF(Portafolio_Proyectos!$AR25="","",Portafolio_Proyectos!$D25),"")</f>
        <v/>
      </c>
      <c r="G76" s="5" t="str">
        <f>IFERROR(IF(Portafolio_Proyectos!$AR25="","",Portafolio_Proyectos!$A25),"")</f>
        <v/>
      </c>
      <c r="H76" s="5" t="str">
        <f>IFERROR(IF(Portafolio_Proyectos!$AR25="","",Portafolio_Proyectos!$E25),"")</f>
        <v/>
      </c>
    </row>
    <row r="77" spans="1:8" x14ac:dyDescent="0.35">
      <c r="A77" s="5" t="str">
        <f>IFERROR(IF(Portafolio_Proyectos!$AP26="","","CAP-"&amp;ROW()-1),"")</f>
        <v/>
      </c>
      <c r="B77" s="5" t="str">
        <f>IFERROR(IF(Portafolio_Proyectos!$AP26="","",Portafolio_Proyectos!$AP26),"")</f>
        <v/>
      </c>
      <c r="C77" s="5" t="str">
        <f>IFERROR(IF(Portafolio_Proyectos!$AP26="","","Emergente"),"")</f>
        <v/>
      </c>
      <c r="D77" s="5" t="str">
        <f>IFERROR(IF(Portafolio_Proyectos!$AP26="","",Portafolio_Proyectos!$C26),"")</f>
        <v/>
      </c>
      <c r="E77" s="5" t="str">
        <f>IFERROR(IF(Portafolio_Proyectos!$AP26="","",Portafolio_Proyectos!$B26),"")</f>
        <v/>
      </c>
      <c r="F77" s="5" t="str">
        <f>IFERROR(IF(Portafolio_Proyectos!$AP26="","",Portafolio_Proyectos!$D26),"")</f>
        <v/>
      </c>
      <c r="G77" s="5" t="str">
        <f>IFERROR(IF(Portafolio_Proyectos!$AP26="","",Portafolio_Proyectos!$A26),"")</f>
        <v/>
      </c>
      <c r="H77" s="5" t="str">
        <f>IFERROR(IF(Portafolio_Proyectos!$AP26="","",Portafolio_Proyectos!$E26),"")</f>
        <v/>
      </c>
    </row>
    <row r="78" spans="1:8" x14ac:dyDescent="0.35">
      <c r="A78" s="5" t="str">
        <f>IFERROR(IF(Portafolio_Proyectos!$AQ26="","","CAP-"&amp;ROW()-1),"")</f>
        <v/>
      </c>
      <c r="B78" s="5" t="str">
        <f>IFERROR(IF(Portafolio_Proyectos!$AQ26="","",Portafolio_Proyectos!$AQ26),"")</f>
        <v/>
      </c>
      <c r="C78" s="5" t="str">
        <f>IFERROR(IF(Portafolio_Proyectos!$AQ26="","","Consolidada"),"")</f>
        <v/>
      </c>
      <c r="D78" s="5" t="str">
        <f>IFERROR(IF(Portafolio_Proyectos!$AQ26="","",Portafolio_Proyectos!$C26),"")</f>
        <v/>
      </c>
      <c r="E78" s="5" t="str">
        <f>IFERROR(IF(Portafolio_Proyectos!$AQ26="","",Portafolio_Proyectos!$B26),"")</f>
        <v/>
      </c>
      <c r="F78" s="5" t="str">
        <f>IFERROR(IF(Portafolio_Proyectos!$AQ26="","",Portafolio_Proyectos!$D26),"")</f>
        <v/>
      </c>
      <c r="G78" s="5" t="str">
        <f>IFERROR(IF(Portafolio_Proyectos!$AQ26="","",Portafolio_Proyectos!$A26),"")</f>
        <v/>
      </c>
      <c r="H78" s="5" t="str">
        <f>IFERROR(IF(Portafolio_Proyectos!$AQ26="","",Portafolio_Proyectos!$E26),"")</f>
        <v/>
      </c>
    </row>
    <row r="79" spans="1:8" x14ac:dyDescent="0.35">
      <c r="A79" s="5" t="str">
        <f>IFERROR(IF(Portafolio_Proyectos!$AR26="","","CAP-"&amp;ROW()-1),"")</f>
        <v/>
      </c>
      <c r="B79" s="5" t="str">
        <f>IFERROR(IF(Portafolio_Proyectos!$AR26="","",Portafolio_Proyectos!$AR26),"")</f>
        <v/>
      </c>
      <c r="C79" s="5" t="str">
        <f>IFERROR(IF(Portafolio_Proyectos!$AR26="","","Distintiva"),"")</f>
        <v/>
      </c>
      <c r="D79" s="5" t="str">
        <f>IFERROR(IF(Portafolio_Proyectos!$AR26="","",Portafolio_Proyectos!$C26),"")</f>
        <v/>
      </c>
      <c r="E79" s="5" t="str">
        <f>IFERROR(IF(Portafolio_Proyectos!$AR26="","",Portafolio_Proyectos!$B26),"")</f>
        <v/>
      </c>
      <c r="F79" s="5" t="str">
        <f>IFERROR(IF(Portafolio_Proyectos!$AR26="","",Portafolio_Proyectos!$D26),"")</f>
        <v/>
      </c>
      <c r="G79" s="5" t="str">
        <f>IFERROR(IF(Portafolio_Proyectos!$AR26="","",Portafolio_Proyectos!$A26),"")</f>
        <v/>
      </c>
      <c r="H79" s="5" t="str">
        <f>IFERROR(IF(Portafolio_Proyectos!$AR26="","",Portafolio_Proyectos!$E26),"")</f>
        <v/>
      </c>
    </row>
    <row r="80" spans="1:8" x14ac:dyDescent="0.35">
      <c r="A80" s="5" t="str">
        <f>IFERROR(IF(Portafolio_Proyectos!$AP27="","","CAP-"&amp;ROW()-1),"")</f>
        <v/>
      </c>
      <c r="B80" s="5" t="str">
        <f>IFERROR(IF(Portafolio_Proyectos!$AP27="","",Portafolio_Proyectos!$AP27),"")</f>
        <v/>
      </c>
      <c r="C80" s="5" t="str">
        <f>IFERROR(IF(Portafolio_Proyectos!$AP27="","","Emergente"),"")</f>
        <v/>
      </c>
      <c r="D80" s="5" t="str">
        <f>IFERROR(IF(Portafolio_Proyectos!$AP27="","",Portafolio_Proyectos!$C27),"")</f>
        <v/>
      </c>
      <c r="E80" s="5" t="str">
        <f>IFERROR(IF(Portafolio_Proyectos!$AP27="","",Portafolio_Proyectos!$B27),"")</f>
        <v/>
      </c>
      <c r="F80" s="5" t="str">
        <f>IFERROR(IF(Portafolio_Proyectos!$AP27="","",Portafolio_Proyectos!$D27),"")</f>
        <v/>
      </c>
      <c r="G80" s="5" t="str">
        <f>IFERROR(IF(Portafolio_Proyectos!$AP27="","",Portafolio_Proyectos!$A27),"")</f>
        <v/>
      </c>
      <c r="H80" s="5" t="str">
        <f>IFERROR(IF(Portafolio_Proyectos!$AP27="","",Portafolio_Proyectos!$E27),"")</f>
        <v/>
      </c>
    </row>
    <row r="81" spans="1:8" x14ac:dyDescent="0.35">
      <c r="A81" s="5" t="str">
        <f>IFERROR(IF(Portafolio_Proyectos!$AQ27="","","CAP-"&amp;ROW()-1),"")</f>
        <v/>
      </c>
      <c r="B81" s="5" t="str">
        <f>IFERROR(IF(Portafolio_Proyectos!$AQ27="","",Portafolio_Proyectos!$AQ27),"")</f>
        <v/>
      </c>
      <c r="C81" s="5" t="str">
        <f>IFERROR(IF(Portafolio_Proyectos!$AQ27="","","Consolidada"),"")</f>
        <v/>
      </c>
      <c r="D81" s="5" t="str">
        <f>IFERROR(IF(Portafolio_Proyectos!$AQ27="","",Portafolio_Proyectos!$C27),"")</f>
        <v/>
      </c>
      <c r="E81" s="5" t="str">
        <f>IFERROR(IF(Portafolio_Proyectos!$AQ27="","",Portafolio_Proyectos!$B27),"")</f>
        <v/>
      </c>
      <c r="F81" s="5" t="str">
        <f>IFERROR(IF(Portafolio_Proyectos!$AQ27="","",Portafolio_Proyectos!$D27),"")</f>
        <v/>
      </c>
      <c r="G81" s="5" t="str">
        <f>IFERROR(IF(Portafolio_Proyectos!$AQ27="","",Portafolio_Proyectos!$A27),"")</f>
        <v/>
      </c>
      <c r="H81" s="5" t="str">
        <f>IFERROR(IF(Portafolio_Proyectos!$AQ27="","",Portafolio_Proyectos!$E27),"")</f>
        <v/>
      </c>
    </row>
    <row r="82" spans="1:8" x14ac:dyDescent="0.35">
      <c r="A82" s="5" t="str">
        <f>IFERROR(IF(Portafolio_Proyectos!$AR27="","","CAP-"&amp;ROW()-1),"")</f>
        <v/>
      </c>
      <c r="B82" s="5" t="str">
        <f>IFERROR(IF(Portafolio_Proyectos!$AR27="","",Portafolio_Proyectos!$AR27),"")</f>
        <v/>
      </c>
      <c r="C82" s="5" t="str">
        <f>IFERROR(IF(Portafolio_Proyectos!$AR27="","","Distintiva"),"")</f>
        <v/>
      </c>
      <c r="D82" s="5" t="str">
        <f>IFERROR(IF(Portafolio_Proyectos!$AR27="","",Portafolio_Proyectos!$C27),"")</f>
        <v/>
      </c>
      <c r="E82" s="5" t="str">
        <f>IFERROR(IF(Portafolio_Proyectos!$AR27="","",Portafolio_Proyectos!$B27),"")</f>
        <v/>
      </c>
      <c r="F82" s="5" t="str">
        <f>IFERROR(IF(Portafolio_Proyectos!$AR27="","",Portafolio_Proyectos!$D27),"")</f>
        <v/>
      </c>
      <c r="G82" s="5" t="str">
        <f>IFERROR(IF(Portafolio_Proyectos!$AR27="","",Portafolio_Proyectos!$A27),"")</f>
        <v/>
      </c>
      <c r="H82" s="5" t="str">
        <f>IFERROR(IF(Portafolio_Proyectos!$AR27="","",Portafolio_Proyectos!$E27),"")</f>
        <v/>
      </c>
    </row>
    <row r="83" spans="1:8" x14ac:dyDescent="0.35">
      <c r="A83" s="5" t="str">
        <f>IFERROR(IF(Portafolio_Proyectos!$AP28="","","CAP-"&amp;ROW()-1),"")</f>
        <v/>
      </c>
      <c r="B83" s="5" t="str">
        <f>IFERROR(IF(Portafolio_Proyectos!$AP28="","",Portafolio_Proyectos!$AP28),"")</f>
        <v/>
      </c>
      <c r="C83" s="5" t="str">
        <f>IFERROR(IF(Portafolio_Proyectos!$AP28="","","Emergente"),"")</f>
        <v/>
      </c>
      <c r="D83" s="5" t="str">
        <f>IFERROR(IF(Portafolio_Proyectos!$AP28="","",Portafolio_Proyectos!$C28),"")</f>
        <v/>
      </c>
      <c r="E83" s="5" t="str">
        <f>IFERROR(IF(Portafolio_Proyectos!$AP28="","",Portafolio_Proyectos!$B28),"")</f>
        <v/>
      </c>
      <c r="F83" s="5" t="str">
        <f>IFERROR(IF(Portafolio_Proyectos!$AP28="","",Portafolio_Proyectos!$D28),"")</f>
        <v/>
      </c>
      <c r="G83" s="5" t="str">
        <f>IFERROR(IF(Portafolio_Proyectos!$AP28="","",Portafolio_Proyectos!$A28),"")</f>
        <v/>
      </c>
      <c r="H83" s="5" t="str">
        <f>IFERROR(IF(Portafolio_Proyectos!$AP28="","",Portafolio_Proyectos!$E28),"")</f>
        <v/>
      </c>
    </row>
    <row r="84" spans="1:8" x14ac:dyDescent="0.35">
      <c r="A84" s="5" t="str">
        <f>IFERROR(IF(Portafolio_Proyectos!$AQ28="","","CAP-"&amp;ROW()-1),"")</f>
        <v/>
      </c>
      <c r="B84" s="5" t="str">
        <f>IFERROR(IF(Portafolio_Proyectos!$AQ28="","",Portafolio_Proyectos!$AQ28),"")</f>
        <v/>
      </c>
      <c r="C84" s="5" t="str">
        <f>IFERROR(IF(Portafolio_Proyectos!$AQ28="","","Consolidada"),"")</f>
        <v/>
      </c>
      <c r="D84" s="5" t="str">
        <f>IFERROR(IF(Portafolio_Proyectos!$AQ28="","",Portafolio_Proyectos!$C28),"")</f>
        <v/>
      </c>
      <c r="E84" s="5" t="str">
        <f>IFERROR(IF(Portafolio_Proyectos!$AQ28="","",Portafolio_Proyectos!$B28),"")</f>
        <v/>
      </c>
      <c r="F84" s="5" t="str">
        <f>IFERROR(IF(Portafolio_Proyectos!$AQ28="","",Portafolio_Proyectos!$D28),"")</f>
        <v/>
      </c>
      <c r="G84" s="5" t="str">
        <f>IFERROR(IF(Portafolio_Proyectos!$AQ28="","",Portafolio_Proyectos!$A28),"")</f>
        <v/>
      </c>
      <c r="H84" s="5" t="str">
        <f>IFERROR(IF(Portafolio_Proyectos!$AQ28="","",Portafolio_Proyectos!$E28),"")</f>
        <v/>
      </c>
    </row>
    <row r="85" spans="1:8" x14ac:dyDescent="0.35">
      <c r="A85" s="5" t="str">
        <f>IFERROR(IF(Portafolio_Proyectos!$AR28="","","CAP-"&amp;ROW()-1),"")</f>
        <v/>
      </c>
      <c r="B85" s="5" t="str">
        <f>IFERROR(IF(Portafolio_Proyectos!$AR28="","",Portafolio_Proyectos!$AR28),"")</f>
        <v/>
      </c>
      <c r="C85" s="5" t="str">
        <f>IFERROR(IF(Portafolio_Proyectos!$AR28="","","Distintiva"),"")</f>
        <v/>
      </c>
      <c r="D85" s="5" t="str">
        <f>IFERROR(IF(Portafolio_Proyectos!$AR28="","",Portafolio_Proyectos!$C28),"")</f>
        <v/>
      </c>
      <c r="E85" s="5" t="str">
        <f>IFERROR(IF(Portafolio_Proyectos!$AR28="","",Portafolio_Proyectos!$B28),"")</f>
        <v/>
      </c>
      <c r="F85" s="5" t="str">
        <f>IFERROR(IF(Portafolio_Proyectos!$AR28="","",Portafolio_Proyectos!$D28),"")</f>
        <v/>
      </c>
      <c r="G85" s="5" t="str">
        <f>IFERROR(IF(Portafolio_Proyectos!$AR28="","",Portafolio_Proyectos!$A28),"")</f>
        <v/>
      </c>
      <c r="H85" s="5" t="str">
        <f>IFERROR(IF(Portafolio_Proyectos!$AR28="","",Portafolio_Proyectos!$E28),"")</f>
        <v/>
      </c>
    </row>
    <row r="86" spans="1:8" x14ac:dyDescent="0.35">
      <c r="A86" s="5" t="str">
        <f>IFERROR(IF(Portafolio_Proyectos!$AP29="","","CAP-"&amp;ROW()-1),"")</f>
        <v/>
      </c>
      <c r="B86" s="5" t="str">
        <f>IFERROR(IF(Portafolio_Proyectos!$AP29="","",Portafolio_Proyectos!$AP29),"")</f>
        <v/>
      </c>
      <c r="C86" s="5" t="str">
        <f>IFERROR(IF(Portafolio_Proyectos!$AP29="","","Emergente"),"")</f>
        <v/>
      </c>
      <c r="D86" s="5" t="str">
        <f>IFERROR(IF(Portafolio_Proyectos!$AP29="","",Portafolio_Proyectos!$C29),"")</f>
        <v/>
      </c>
      <c r="E86" s="5" t="str">
        <f>IFERROR(IF(Portafolio_Proyectos!$AP29="","",Portafolio_Proyectos!$B29),"")</f>
        <v/>
      </c>
      <c r="F86" s="5" t="str">
        <f>IFERROR(IF(Portafolio_Proyectos!$AP29="","",Portafolio_Proyectos!$D29),"")</f>
        <v/>
      </c>
      <c r="G86" s="5" t="str">
        <f>IFERROR(IF(Portafolio_Proyectos!$AP29="","",Portafolio_Proyectos!$A29),"")</f>
        <v/>
      </c>
      <c r="H86" s="5" t="str">
        <f>IFERROR(IF(Portafolio_Proyectos!$AP29="","",Portafolio_Proyectos!$E29),"")</f>
        <v/>
      </c>
    </row>
    <row r="87" spans="1:8" x14ac:dyDescent="0.35">
      <c r="A87" s="5" t="str">
        <f>IFERROR(IF(Portafolio_Proyectos!$AQ29="","","CAP-"&amp;ROW()-1),"")</f>
        <v/>
      </c>
      <c r="B87" s="5" t="str">
        <f>IFERROR(IF(Portafolio_Proyectos!$AQ29="","",Portafolio_Proyectos!$AQ29),"")</f>
        <v/>
      </c>
      <c r="C87" s="5" t="str">
        <f>IFERROR(IF(Portafolio_Proyectos!$AQ29="","","Consolidada"),"")</f>
        <v/>
      </c>
      <c r="D87" s="5" t="str">
        <f>IFERROR(IF(Portafolio_Proyectos!$AQ29="","",Portafolio_Proyectos!$C29),"")</f>
        <v/>
      </c>
      <c r="E87" s="5" t="str">
        <f>IFERROR(IF(Portafolio_Proyectos!$AQ29="","",Portafolio_Proyectos!$B29),"")</f>
        <v/>
      </c>
      <c r="F87" s="5" t="str">
        <f>IFERROR(IF(Portafolio_Proyectos!$AQ29="","",Portafolio_Proyectos!$D29),"")</f>
        <v/>
      </c>
      <c r="G87" s="5" t="str">
        <f>IFERROR(IF(Portafolio_Proyectos!$AQ29="","",Portafolio_Proyectos!$A29),"")</f>
        <v/>
      </c>
      <c r="H87" s="5" t="str">
        <f>IFERROR(IF(Portafolio_Proyectos!$AQ29="","",Portafolio_Proyectos!$E29),"")</f>
        <v/>
      </c>
    </row>
    <row r="88" spans="1:8" x14ac:dyDescent="0.35">
      <c r="A88" s="5" t="str">
        <f>IFERROR(IF(Portafolio_Proyectos!$AR29="","","CAP-"&amp;ROW()-1),"")</f>
        <v/>
      </c>
      <c r="B88" s="5" t="str">
        <f>IFERROR(IF(Portafolio_Proyectos!$AR29="","",Portafolio_Proyectos!$AR29),"")</f>
        <v/>
      </c>
      <c r="C88" s="5" t="str">
        <f>IFERROR(IF(Portafolio_Proyectos!$AR29="","","Distintiva"),"")</f>
        <v/>
      </c>
      <c r="D88" s="5" t="str">
        <f>IFERROR(IF(Portafolio_Proyectos!$AR29="","",Portafolio_Proyectos!$C29),"")</f>
        <v/>
      </c>
      <c r="E88" s="5" t="str">
        <f>IFERROR(IF(Portafolio_Proyectos!$AR29="","",Portafolio_Proyectos!$B29),"")</f>
        <v/>
      </c>
      <c r="F88" s="5" t="str">
        <f>IFERROR(IF(Portafolio_Proyectos!$AR29="","",Portafolio_Proyectos!$D29),"")</f>
        <v/>
      </c>
      <c r="G88" s="5" t="str">
        <f>IFERROR(IF(Portafolio_Proyectos!$AR29="","",Portafolio_Proyectos!$A29),"")</f>
        <v/>
      </c>
      <c r="H88" s="5" t="str">
        <f>IFERROR(IF(Portafolio_Proyectos!$AR29="","",Portafolio_Proyectos!$E29),"")</f>
        <v/>
      </c>
    </row>
    <row r="89" spans="1:8" x14ac:dyDescent="0.35">
      <c r="A89" s="5" t="str">
        <f>IFERROR(IF(Portafolio_Proyectos!$AP30="","","CAP-"&amp;ROW()-1),"")</f>
        <v/>
      </c>
      <c r="B89" s="5" t="str">
        <f>IFERROR(IF(Portafolio_Proyectos!$AP30="","",Portafolio_Proyectos!$AP30),"")</f>
        <v/>
      </c>
      <c r="C89" s="5" t="str">
        <f>IFERROR(IF(Portafolio_Proyectos!$AP30="","","Emergente"),"")</f>
        <v/>
      </c>
      <c r="D89" s="5" t="str">
        <f>IFERROR(IF(Portafolio_Proyectos!$AP30="","",Portafolio_Proyectos!$C30),"")</f>
        <v/>
      </c>
      <c r="E89" s="5" t="str">
        <f>IFERROR(IF(Portafolio_Proyectos!$AP30="","",Portafolio_Proyectos!$B30),"")</f>
        <v/>
      </c>
      <c r="F89" s="5" t="str">
        <f>IFERROR(IF(Portafolio_Proyectos!$AP30="","",Portafolio_Proyectos!$D30),"")</f>
        <v/>
      </c>
      <c r="G89" s="5" t="str">
        <f>IFERROR(IF(Portafolio_Proyectos!$AP30="","",Portafolio_Proyectos!$A30),"")</f>
        <v/>
      </c>
      <c r="H89" s="5" t="str">
        <f>IFERROR(IF(Portafolio_Proyectos!$AP30="","",Portafolio_Proyectos!$E30),"")</f>
        <v/>
      </c>
    </row>
    <row r="90" spans="1:8" x14ac:dyDescent="0.35">
      <c r="A90" s="5" t="str">
        <f>IFERROR(IF(Portafolio_Proyectos!$AQ30="","","CAP-"&amp;ROW()-1),"")</f>
        <v/>
      </c>
      <c r="B90" s="5" t="str">
        <f>IFERROR(IF(Portafolio_Proyectos!$AQ30="","",Portafolio_Proyectos!$AQ30),"")</f>
        <v/>
      </c>
      <c r="C90" s="5" t="str">
        <f>IFERROR(IF(Portafolio_Proyectos!$AQ30="","","Consolidada"),"")</f>
        <v/>
      </c>
      <c r="D90" s="5" t="str">
        <f>IFERROR(IF(Portafolio_Proyectos!$AQ30="","",Portafolio_Proyectos!$C30),"")</f>
        <v/>
      </c>
      <c r="E90" s="5" t="str">
        <f>IFERROR(IF(Portafolio_Proyectos!$AQ30="","",Portafolio_Proyectos!$B30),"")</f>
        <v/>
      </c>
      <c r="F90" s="5" t="str">
        <f>IFERROR(IF(Portafolio_Proyectos!$AQ30="","",Portafolio_Proyectos!$D30),"")</f>
        <v/>
      </c>
      <c r="G90" s="5" t="str">
        <f>IFERROR(IF(Portafolio_Proyectos!$AQ30="","",Portafolio_Proyectos!$A30),"")</f>
        <v/>
      </c>
      <c r="H90" s="5" t="str">
        <f>IFERROR(IF(Portafolio_Proyectos!$AQ30="","",Portafolio_Proyectos!$E30),"")</f>
        <v/>
      </c>
    </row>
    <row r="91" spans="1:8" ht="43.5" customHeight="1" x14ac:dyDescent="0.35">
      <c r="A91" s="5" t="str">
        <f>IFERROR(IF(Portafolio_Proyectos!$AR30="","","CAP-"&amp;ROW()-1),"")</f>
        <v>CAP-90</v>
      </c>
      <c r="B91" s="5" t="str">
        <f>IFERROR(IF(Portafolio_Proyectos!$AR30="","",Portafolio_Proyectos!$AR30),"")</f>
        <v>Desarrollo de oferta tecnológica transferible
Capacidad de convertir ciencia en productos de valor</v>
      </c>
      <c r="C91" s="5" t="str">
        <f>IFERROR(IF(Portafolio_Proyectos!$AR30="","","Distintiva"),"")</f>
        <v>Distintiva</v>
      </c>
      <c r="D91" s="5" t="str">
        <f>IFERROR(IF(Portafolio_Proyectos!$AR30="","",Portafolio_Proyectos!$C30),"")</f>
        <v>Manejo cosecha, poscosecha y transformación</v>
      </c>
      <c r="E91" s="5" t="str">
        <f>IFERROR(IF(Portafolio_Proyectos!$AR30="","",Portafolio_Proyectos!$B30),"")</f>
        <v>Cacao</v>
      </c>
      <c r="F91" s="5" t="str">
        <f>IFERROR(IF(Portafolio_Proyectos!$AR30="","",Portafolio_Proyectos!$D30),"")</f>
        <v>1002666: Viabilidad centros de fermentación en las regiones cacaoteras de Caldas, Huila y Tolima.</v>
      </c>
      <c r="G91" s="5" t="str">
        <f>IFERROR(IF(Portafolio_Proyectos!$AR30="","",Portafolio_Proyectos!$A30),"")</f>
        <v>Bioeconomía: Economía circular</v>
      </c>
      <c r="H91" s="5" t="str">
        <f>IFERROR(IF(Portafolio_Proyectos!$AR30="","",Portafolio_Proyectos!$E30),"")</f>
        <v>Jader Rodríguez Cortina</v>
      </c>
    </row>
    <row r="92" spans="1:8" x14ac:dyDescent="0.35">
      <c r="A92" s="5" t="str">
        <f>IFERROR(IF(Portafolio_Proyectos!$AP31="","","CAP-"&amp;ROW()-1),"")</f>
        <v/>
      </c>
      <c r="B92" s="5" t="str">
        <f>IFERROR(IF(Portafolio_Proyectos!$AP31="","",Portafolio_Proyectos!$AP31),"")</f>
        <v/>
      </c>
      <c r="C92" s="5" t="str">
        <f>IFERROR(IF(Portafolio_Proyectos!$AP31="","","Emergente"),"")</f>
        <v/>
      </c>
      <c r="D92" s="5" t="str">
        <f>IFERROR(IF(Portafolio_Proyectos!$AP31="","",Portafolio_Proyectos!$C31),"")</f>
        <v/>
      </c>
      <c r="E92" s="5" t="str">
        <f>IFERROR(IF(Portafolio_Proyectos!$AP31="","",Portafolio_Proyectos!$B31),"")</f>
        <v/>
      </c>
      <c r="F92" s="5" t="str">
        <f>IFERROR(IF(Portafolio_Proyectos!$AP31="","",Portafolio_Proyectos!$D31),"")</f>
        <v/>
      </c>
      <c r="G92" s="5" t="str">
        <f>IFERROR(IF(Portafolio_Proyectos!$AP31="","",Portafolio_Proyectos!$A31),"")</f>
        <v/>
      </c>
      <c r="H92" s="5" t="str">
        <f>IFERROR(IF(Portafolio_Proyectos!$AP31="","",Portafolio_Proyectos!$E31),"")</f>
        <v/>
      </c>
    </row>
    <row r="93" spans="1:8" ht="43.5" customHeight="1" x14ac:dyDescent="0.35">
      <c r="A93" s="5" t="str">
        <f>IFERROR(IF(Portafolio_Proyectos!$AQ31="","","CAP-"&amp;ROW()-1),"")</f>
        <v>CAP-92</v>
      </c>
      <c r="B93" s="5" t="str">
        <f>IFERROR(IF(Portafolio_Proyectos!$AQ31="","",Portafolio_Proyectos!$AQ31),"")</f>
        <v>Calidad sensorial de cacao
Protocolos de fermentación y secado</v>
      </c>
      <c r="C93" s="5" t="str">
        <f>IFERROR(IF(Portafolio_Proyectos!$AQ31="","","Consolidada"),"")</f>
        <v>Consolidada</v>
      </c>
      <c r="D93" s="5" t="str">
        <f>IFERROR(IF(Portafolio_Proyectos!$AQ31="","",Portafolio_Proyectos!$C31),"")</f>
        <v>Manejo cosecha, poscosecha y transformación</v>
      </c>
      <c r="E93" s="5" t="str">
        <f>IFERROR(IF(Portafolio_Proyectos!$AQ31="","",Portafolio_Proyectos!$B31),"")</f>
        <v>Cacao</v>
      </c>
      <c r="F93" s="5" t="str">
        <f>IFERROR(IF(Portafolio_Proyectos!$AQ31="","",Portafolio_Proyectos!$D31),"")</f>
        <v xml:space="preserve">ID: 1002667. Establecimiento de protocolos apropiados de fermentación basados en perfiles sensoriales del cacao en Caldas, Huila y Tolima. </v>
      </c>
      <c r="G93" s="5" t="str">
        <f>IFERROR(IF(Portafolio_Proyectos!$AQ31="","",Portafolio_Proyectos!$A31),"")</f>
        <v>Bioeconomía: Economía circular</v>
      </c>
      <c r="H93" s="5" t="str">
        <f>IFERROR(IF(Portafolio_Proyectos!$AQ31="","",Portafolio_Proyectos!$E31),"")</f>
        <v>Jader Rodríguez Cortina</v>
      </c>
    </row>
    <row r="94" spans="1:8" x14ac:dyDescent="0.35">
      <c r="A94" s="5" t="str">
        <f>IFERROR(IF(Portafolio_Proyectos!$AR31="","","CAP-"&amp;ROW()-1),"")</f>
        <v/>
      </c>
      <c r="B94" s="5" t="str">
        <f>IFERROR(IF(Portafolio_Proyectos!$AR31="","",Portafolio_Proyectos!$AR31),"")</f>
        <v/>
      </c>
      <c r="C94" s="5" t="str">
        <f>IFERROR(IF(Portafolio_Proyectos!$AR31="","","Distintiva"),"")</f>
        <v/>
      </c>
      <c r="D94" s="5" t="str">
        <f>IFERROR(IF(Portafolio_Proyectos!$AR31="","",Portafolio_Proyectos!$C31),"")</f>
        <v/>
      </c>
      <c r="E94" s="5" t="str">
        <f>IFERROR(IF(Portafolio_Proyectos!$AR31="","",Portafolio_Proyectos!$B31),"")</f>
        <v/>
      </c>
      <c r="F94" s="5" t="str">
        <f>IFERROR(IF(Portafolio_Proyectos!$AR31="","",Portafolio_Proyectos!$D31),"")</f>
        <v/>
      </c>
      <c r="G94" s="5" t="str">
        <f>IFERROR(IF(Portafolio_Proyectos!$AR31="","",Portafolio_Proyectos!$A31),"")</f>
        <v/>
      </c>
      <c r="H94" s="5" t="str">
        <f>IFERROR(IF(Portafolio_Proyectos!$AR31="","",Portafolio_Proyectos!$E31),"")</f>
        <v/>
      </c>
    </row>
    <row r="95" spans="1:8" x14ac:dyDescent="0.35">
      <c r="A95" s="5" t="str">
        <f>IFERROR(IF(Portafolio_Proyectos!$AP32="","","CAP-"&amp;ROW()-1),"")</f>
        <v/>
      </c>
      <c r="B95" s="5" t="str">
        <f>IFERROR(IF(Portafolio_Proyectos!$AP32="","",Portafolio_Proyectos!$AP32),"")</f>
        <v/>
      </c>
      <c r="C95" s="5" t="str">
        <f>IFERROR(IF(Portafolio_Proyectos!$AP32="","","Emergente"),"")</f>
        <v/>
      </c>
      <c r="D95" s="5" t="str">
        <f>IFERROR(IF(Portafolio_Proyectos!$AP32="","",Portafolio_Proyectos!$C32),"")</f>
        <v/>
      </c>
      <c r="E95" s="5" t="str">
        <f>IFERROR(IF(Portafolio_Proyectos!$AP32="","",Portafolio_Proyectos!$B32),"")</f>
        <v/>
      </c>
      <c r="F95" s="5" t="str">
        <f>IFERROR(IF(Portafolio_Proyectos!$AP32="","",Portafolio_Proyectos!$D32),"")</f>
        <v/>
      </c>
      <c r="G95" s="5" t="str">
        <f>IFERROR(IF(Portafolio_Proyectos!$AP32="","",Portafolio_Proyectos!$A32),"")</f>
        <v/>
      </c>
      <c r="H95" s="5" t="str">
        <f>IFERROR(IF(Portafolio_Proyectos!$AP32="","",Portafolio_Proyectos!$E32),"")</f>
        <v/>
      </c>
    </row>
    <row r="96" spans="1:8" ht="58" customHeight="1" x14ac:dyDescent="0.35">
      <c r="A96" s="5" t="str">
        <f>IFERROR(IF(Portafolio_Proyectos!$AQ32="","","CAP-"&amp;ROW()-1),"")</f>
        <v>CAP-95</v>
      </c>
      <c r="B96" s="5" t="str">
        <f>IFERROR(IF(Portafolio_Proyectos!$AQ32="","",Portafolio_Proyectos!$AQ32),"")</f>
        <v>Valorización de subproductos
Diseño de equipos de poscosecha
 Escalamiento de tecnologías en cacao</v>
      </c>
      <c r="C96" s="5" t="str">
        <f>IFERROR(IF(Portafolio_Proyectos!$AQ32="","","Consolidada"),"")</f>
        <v>Consolidada</v>
      </c>
      <c r="D96" s="5" t="str">
        <f>IFERROR(IF(Portafolio_Proyectos!$AQ32="","",Portafolio_Proyectos!$C32),"")</f>
        <v>Manejo cosecha, poscosecha y transformación</v>
      </c>
      <c r="E96" s="5" t="str">
        <f>IFERROR(IF(Portafolio_Proyectos!$AQ32="","",Portafolio_Proyectos!$B32),"")</f>
        <v>Cacao</v>
      </c>
      <c r="F96" s="5" t="str">
        <f>IFERROR(IF(Portafolio_Proyectos!$AQ32="","",Portafolio_Proyectos!$D32),"")</f>
        <v>ID: 1002841. Implementación de un modelo para el aprovechamiento integral de las mazorcas de cacao para la generación de productos de valor agregado por medio de alternativas biotecnológicas</v>
      </c>
      <c r="G96" s="5" t="str">
        <f>IFERROR(IF(Portafolio_Proyectos!$AQ32="","",Portafolio_Proyectos!$A32),"")</f>
        <v>Bioeconomía: Economía circular</v>
      </c>
      <c r="H96" s="5" t="str">
        <f>IFERROR(IF(Portafolio_Proyectos!$AQ32="","",Portafolio_Proyectos!$E32),"")</f>
        <v>Jader Rodríguez Cortina</v>
      </c>
    </row>
    <row r="97" spans="1:8" ht="58" customHeight="1" x14ac:dyDescent="0.35">
      <c r="A97" s="5" t="str">
        <f>IFERROR(IF(Portafolio_Proyectos!$AR32="","","CAP-"&amp;ROW()-1),"")</f>
        <v>CAP-96</v>
      </c>
      <c r="B97" s="5" t="str">
        <f>IFERROR(IF(Portafolio_Proyectos!$AR32="","",Portafolio_Proyectos!$AR32),"")</f>
        <v>Enfoque de bioeconomía en cacao
Desarrollo de oferta tecnológica transferible
Capacidad de convertir ciencia en productos de valor</v>
      </c>
      <c r="C97" s="5" t="str">
        <f>IFERROR(IF(Portafolio_Proyectos!$AR32="","","Distintiva"),"")</f>
        <v>Distintiva</v>
      </c>
      <c r="D97" s="5" t="str">
        <f>IFERROR(IF(Portafolio_Proyectos!$AR32="","",Portafolio_Proyectos!$C32),"")</f>
        <v>Manejo cosecha, poscosecha y transformación</v>
      </c>
      <c r="E97" s="5" t="str">
        <f>IFERROR(IF(Portafolio_Proyectos!$AR32="","",Portafolio_Proyectos!$B32),"")</f>
        <v>Cacao</v>
      </c>
      <c r="F97" s="5" t="str">
        <f>IFERROR(IF(Portafolio_Proyectos!$AR32="","",Portafolio_Proyectos!$D32),"")</f>
        <v>ID: 1002841. Implementación de un modelo para el aprovechamiento integral de las mazorcas de cacao para la generación de productos de valor agregado por medio de alternativas biotecnológicas</v>
      </c>
      <c r="G97" s="5" t="str">
        <f>IFERROR(IF(Portafolio_Proyectos!$AR32="","",Portafolio_Proyectos!$A32),"")</f>
        <v>Bioeconomía: Economía circular</v>
      </c>
      <c r="H97" s="5" t="str">
        <f>IFERROR(IF(Portafolio_Proyectos!$AR32="","",Portafolio_Proyectos!$E32),"")</f>
        <v>Jader Rodríguez Cortina</v>
      </c>
    </row>
    <row r="98" spans="1:8" x14ac:dyDescent="0.35">
      <c r="A98" s="5" t="str">
        <f>IFERROR(IF(Portafolio_Proyectos!$AP33="","","CAP-"&amp;ROW()-1),"")</f>
        <v/>
      </c>
      <c r="B98" s="5" t="str">
        <f>IFERROR(IF(Portafolio_Proyectos!$AP33="","",Portafolio_Proyectos!$AP33),"")</f>
        <v/>
      </c>
      <c r="C98" s="5" t="str">
        <f>IFERROR(IF(Portafolio_Proyectos!$AP33="","","Emergente"),"")</f>
        <v/>
      </c>
      <c r="D98" s="5" t="str">
        <f>IFERROR(IF(Portafolio_Proyectos!$AP33="","",Portafolio_Proyectos!$C33),"")</f>
        <v/>
      </c>
      <c r="E98" s="5" t="str">
        <f>IFERROR(IF(Portafolio_Proyectos!$AP33="","",Portafolio_Proyectos!$B33),"")</f>
        <v/>
      </c>
      <c r="F98" s="5" t="str">
        <f>IFERROR(IF(Portafolio_Proyectos!$AP33="","",Portafolio_Proyectos!$D33),"")</f>
        <v/>
      </c>
      <c r="G98" s="5" t="str">
        <f>IFERROR(IF(Portafolio_Proyectos!$AP33="","",Portafolio_Proyectos!$A33),"")</f>
        <v/>
      </c>
      <c r="H98" s="5" t="str">
        <f>IFERROR(IF(Portafolio_Proyectos!$AP33="","",Portafolio_Proyectos!$E33),"")</f>
        <v/>
      </c>
    </row>
    <row r="99" spans="1:8" x14ac:dyDescent="0.35">
      <c r="A99" s="5" t="str">
        <f>IFERROR(IF(Portafolio_Proyectos!$AQ33="","","CAP-"&amp;ROW()-1),"")</f>
        <v/>
      </c>
      <c r="B99" s="5" t="str">
        <f>IFERROR(IF(Portafolio_Proyectos!$AQ33="","",Portafolio_Proyectos!$AQ33),"")</f>
        <v/>
      </c>
      <c r="C99" s="5" t="str">
        <f>IFERROR(IF(Portafolio_Proyectos!$AQ33="","","Consolidada"),"")</f>
        <v/>
      </c>
      <c r="D99" s="5" t="str">
        <f>IFERROR(IF(Portafolio_Proyectos!$AQ33="","",Portafolio_Proyectos!$C33),"")</f>
        <v/>
      </c>
      <c r="E99" s="5" t="str">
        <f>IFERROR(IF(Portafolio_Proyectos!$AQ33="","",Portafolio_Proyectos!$B33),"")</f>
        <v/>
      </c>
      <c r="F99" s="5" t="str">
        <f>IFERROR(IF(Portafolio_Proyectos!$AQ33="","",Portafolio_Proyectos!$D33),"")</f>
        <v/>
      </c>
      <c r="G99" s="5" t="str">
        <f>IFERROR(IF(Portafolio_Proyectos!$AQ33="","",Portafolio_Proyectos!$A33),"")</f>
        <v/>
      </c>
      <c r="H99" s="5" t="str">
        <f>IFERROR(IF(Portafolio_Proyectos!$AQ33="","",Portafolio_Proyectos!$E33),"")</f>
        <v/>
      </c>
    </row>
    <row r="100" spans="1:8" x14ac:dyDescent="0.35">
      <c r="A100" s="5" t="str">
        <f>IFERROR(IF(Portafolio_Proyectos!$AR33="","","CAP-"&amp;ROW()-1),"")</f>
        <v/>
      </c>
      <c r="B100" s="5" t="str">
        <f>IFERROR(IF(Portafolio_Proyectos!$AR33="","",Portafolio_Proyectos!$AR33),"")</f>
        <v/>
      </c>
      <c r="C100" s="5" t="str">
        <f>IFERROR(IF(Portafolio_Proyectos!$AR33="","","Distintiva"),"")</f>
        <v/>
      </c>
      <c r="D100" s="5" t="str">
        <f>IFERROR(IF(Portafolio_Proyectos!$AR33="","",Portafolio_Proyectos!$C33),"")</f>
        <v/>
      </c>
      <c r="E100" s="5" t="str">
        <f>IFERROR(IF(Portafolio_Proyectos!$AR33="","",Portafolio_Proyectos!$B33),"")</f>
        <v/>
      </c>
      <c r="F100" s="5" t="str">
        <f>IFERROR(IF(Portafolio_Proyectos!$AR33="","",Portafolio_Proyectos!$D33),"")</f>
        <v/>
      </c>
      <c r="G100" s="5" t="str">
        <f>IFERROR(IF(Portafolio_Proyectos!$AR33="","",Portafolio_Proyectos!$A33),"")</f>
        <v/>
      </c>
      <c r="H100" s="5" t="str">
        <f>IFERROR(IF(Portafolio_Proyectos!$AR33="","",Portafolio_Proyectos!$E33),"")</f>
        <v/>
      </c>
    </row>
    <row r="101" spans="1:8" x14ac:dyDescent="0.35">
      <c r="A101" s="5" t="str">
        <f>IFERROR(IF(Portafolio_Proyectos!$AP34="","","CAP-"&amp;ROW()-1),"")</f>
        <v/>
      </c>
      <c r="B101" s="5" t="str">
        <f>IFERROR(IF(Portafolio_Proyectos!$AP34="","",Portafolio_Proyectos!$AP34),"")</f>
        <v/>
      </c>
      <c r="C101" s="5" t="str">
        <f>IFERROR(IF(Portafolio_Proyectos!$AP34="","","Emergente"),"")</f>
        <v/>
      </c>
      <c r="D101" s="5" t="str">
        <f>IFERROR(IF(Portafolio_Proyectos!$AP34="","",Portafolio_Proyectos!$C34),"")</f>
        <v/>
      </c>
      <c r="E101" s="5" t="str">
        <f>IFERROR(IF(Portafolio_Proyectos!$AP34="","",Portafolio_Proyectos!$B34),"")</f>
        <v/>
      </c>
      <c r="F101" s="5" t="str">
        <f>IFERROR(IF(Portafolio_Proyectos!$AP34="","",Portafolio_Proyectos!$D34),"")</f>
        <v/>
      </c>
      <c r="G101" s="5" t="str">
        <f>IFERROR(IF(Portafolio_Proyectos!$AP34="","",Portafolio_Proyectos!$A34),"")</f>
        <v/>
      </c>
      <c r="H101" s="5" t="str">
        <f>IFERROR(IF(Portafolio_Proyectos!$AP34="","",Portafolio_Proyectos!$E34),"")</f>
        <v/>
      </c>
    </row>
    <row r="102" spans="1:8" x14ac:dyDescent="0.35">
      <c r="A102" s="5" t="str">
        <f>IFERROR(IF(Portafolio_Proyectos!$AQ34="","","CAP-"&amp;ROW()-1),"")</f>
        <v/>
      </c>
      <c r="B102" s="5" t="str">
        <f>IFERROR(IF(Portafolio_Proyectos!$AQ34="","",Portafolio_Proyectos!$AQ34),"")</f>
        <v/>
      </c>
      <c r="C102" s="5" t="str">
        <f>IFERROR(IF(Portafolio_Proyectos!$AQ34="","","Consolidada"),"")</f>
        <v/>
      </c>
      <c r="D102" s="5" t="str">
        <f>IFERROR(IF(Portafolio_Proyectos!$AQ34="","",Portafolio_Proyectos!$C34),"")</f>
        <v/>
      </c>
      <c r="E102" s="5" t="str">
        <f>IFERROR(IF(Portafolio_Proyectos!$AQ34="","",Portafolio_Proyectos!$B34),"")</f>
        <v/>
      </c>
      <c r="F102" s="5" t="str">
        <f>IFERROR(IF(Portafolio_Proyectos!$AQ34="","",Portafolio_Proyectos!$D34),"")</f>
        <v/>
      </c>
      <c r="G102" s="5" t="str">
        <f>IFERROR(IF(Portafolio_Proyectos!$AQ34="","",Portafolio_Proyectos!$A34),"")</f>
        <v/>
      </c>
      <c r="H102" s="5" t="str">
        <f>IFERROR(IF(Portafolio_Proyectos!$AQ34="","",Portafolio_Proyectos!$E34),"")</f>
        <v/>
      </c>
    </row>
    <row r="103" spans="1:8" x14ac:dyDescent="0.35">
      <c r="A103" s="5" t="str">
        <f>IFERROR(IF(Portafolio_Proyectos!$AR34="","","CAP-"&amp;ROW()-1),"")</f>
        <v/>
      </c>
      <c r="B103" s="5" t="str">
        <f>IFERROR(IF(Portafolio_Proyectos!$AR34="","",Portafolio_Proyectos!$AR34),"")</f>
        <v/>
      </c>
      <c r="C103" s="5" t="str">
        <f>IFERROR(IF(Portafolio_Proyectos!$AR34="","","Distintiva"),"")</f>
        <v/>
      </c>
      <c r="D103" s="5" t="str">
        <f>IFERROR(IF(Portafolio_Proyectos!$AR34="","",Portafolio_Proyectos!$C34),"")</f>
        <v/>
      </c>
      <c r="E103" s="5" t="str">
        <f>IFERROR(IF(Portafolio_Proyectos!$AR34="","",Portafolio_Proyectos!$B34),"")</f>
        <v/>
      </c>
      <c r="F103" s="5" t="str">
        <f>IFERROR(IF(Portafolio_Proyectos!$AR34="","",Portafolio_Proyectos!$D34),"")</f>
        <v/>
      </c>
      <c r="G103" s="5" t="str">
        <f>IFERROR(IF(Portafolio_Proyectos!$AR34="","",Portafolio_Proyectos!$A34),"")</f>
        <v/>
      </c>
      <c r="H103" s="5" t="str">
        <f>IFERROR(IF(Portafolio_Proyectos!$AR34="","",Portafolio_Proyectos!$E34),"")</f>
        <v/>
      </c>
    </row>
    <row r="104" spans="1:8" x14ac:dyDescent="0.35">
      <c r="A104" s="5" t="str">
        <f>IFERROR(IF(Portafolio_Proyectos!$AP35="","","CAP-"&amp;ROW()-1),"")</f>
        <v/>
      </c>
      <c r="B104" s="5" t="str">
        <f>IFERROR(IF(Portafolio_Proyectos!$AP35="","",Portafolio_Proyectos!$AP35),"")</f>
        <v/>
      </c>
      <c r="C104" s="5" t="str">
        <f>IFERROR(IF(Portafolio_Proyectos!$AP35="","","Emergente"),"")</f>
        <v/>
      </c>
      <c r="D104" s="5" t="str">
        <f>IFERROR(IF(Portafolio_Proyectos!$AP35="","",Portafolio_Proyectos!$C35),"")</f>
        <v/>
      </c>
      <c r="E104" s="5" t="str">
        <f>IFERROR(IF(Portafolio_Proyectos!$AP35="","",Portafolio_Proyectos!$B35),"")</f>
        <v/>
      </c>
      <c r="F104" s="5" t="str">
        <f>IFERROR(IF(Portafolio_Proyectos!$AP35="","",Portafolio_Proyectos!$D35),"")</f>
        <v/>
      </c>
      <c r="G104" s="5" t="str">
        <f>IFERROR(IF(Portafolio_Proyectos!$AP35="","",Portafolio_Proyectos!$A35),"")</f>
        <v/>
      </c>
      <c r="H104" s="5" t="str">
        <f>IFERROR(IF(Portafolio_Proyectos!$AP35="","",Portafolio_Proyectos!$E35),"")</f>
        <v/>
      </c>
    </row>
    <row r="105" spans="1:8" x14ac:dyDescent="0.35">
      <c r="A105" s="5" t="str">
        <f>IFERROR(IF(Portafolio_Proyectos!$AQ35="","","CAP-"&amp;ROW()-1),"")</f>
        <v/>
      </c>
      <c r="B105" s="5" t="str">
        <f>IFERROR(IF(Portafolio_Proyectos!$AQ35="","",Portafolio_Proyectos!$AQ35),"")</f>
        <v/>
      </c>
      <c r="C105" s="5" t="str">
        <f>IFERROR(IF(Portafolio_Proyectos!$AQ35="","","Consolidada"),"")</f>
        <v/>
      </c>
      <c r="D105" s="5" t="str">
        <f>IFERROR(IF(Portafolio_Proyectos!$AQ35="","",Portafolio_Proyectos!$C35),"")</f>
        <v/>
      </c>
      <c r="E105" s="5" t="str">
        <f>IFERROR(IF(Portafolio_Proyectos!$AQ35="","",Portafolio_Proyectos!$B35),"")</f>
        <v/>
      </c>
      <c r="F105" s="5" t="str">
        <f>IFERROR(IF(Portafolio_Proyectos!$AQ35="","",Portafolio_Proyectos!$D35),"")</f>
        <v/>
      </c>
      <c r="G105" s="5" t="str">
        <f>IFERROR(IF(Portafolio_Proyectos!$AQ35="","",Portafolio_Proyectos!$A35),"")</f>
        <v/>
      </c>
      <c r="H105" s="5" t="str">
        <f>IFERROR(IF(Portafolio_Proyectos!$AQ35="","",Portafolio_Proyectos!$E35),"")</f>
        <v/>
      </c>
    </row>
    <row r="106" spans="1:8" x14ac:dyDescent="0.35">
      <c r="A106" s="5" t="str">
        <f>IFERROR(IF(Portafolio_Proyectos!$AR35="","","CAP-"&amp;ROW()-1),"")</f>
        <v/>
      </c>
      <c r="B106" s="5" t="str">
        <f>IFERROR(IF(Portafolio_Proyectos!$AR35="","",Portafolio_Proyectos!$AR35),"")</f>
        <v/>
      </c>
      <c r="C106" s="5" t="str">
        <f>IFERROR(IF(Portafolio_Proyectos!$AR35="","","Distintiva"),"")</f>
        <v/>
      </c>
      <c r="D106" s="5" t="str">
        <f>IFERROR(IF(Portafolio_Proyectos!$AR35="","",Portafolio_Proyectos!$C35),"")</f>
        <v/>
      </c>
      <c r="E106" s="5" t="str">
        <f>IFERROR(IF(Portafolio_Proyectos!$AR35="","",Portafolio_Proyectos!$B35),"")</f>
        <v/>
      </c>
      <c r="F106" s="5" t="str">
        <f>IFERROR(IF(Portafolio_Proyectos!$AR35="","",Portafolio_Proyectos!$D35),"")</f>
        <v/>
      </c>
      <c r="G106" s="5" t="str">
        <f>IFERROR(IF(Portafolio_Proyectos!$AR35="","",Portafolio_Proyectos!$A35),"")</f>
        <v/>
      </c>
      <c r="H106" s="5" t="str">
        <f>IFERROR(IF(Portafolio_Proyectos!$AR35="","",Portafolio_Proyectos!$E35),"")</f>
        <v/>
      </c>
    </row>
    <row r="107" spans="1:8" x14ac:dyDescent="0.35">
      <c r="A107" s="5" t="str">
        <f>IFERROR(IF(Portafolio_Proyectos!$AP36="","","CAP-"&amp;ROW()-1),"")</f>
        <v/>
      </c>
      <c r="B107" s="5" t="str">
        <f>IFERROR(IF(Portafolio_Proyectos!$AP36="","",Portafolio_Proyectos!$AP36),"")</f>
        <v/>
      </c>
      <c r="C107" s="5" t="str">
        <f>IFERROR(IF(Portafolio_Proyectos!$AP36="","","Emergente"),"")</f>
        <v/>
      </c>
      <c r="D107" s="5" t="str">
        <f>IFERROR(IF(Portafolio_Proyectos!$AP36="","",Portafolio_Proyectos!$C36),"")</f>
        <v/>
      </c>
      <c r="E107" s="5" t="str">
        <f>IFERROR(IF(Portafolio_Proyectos!$AP36="","",Portafolio_Proyectos!$B36),"")</f>
        <v/>
      </c>
      <c r="F107" s="5" t="str">
        <f>IFERROR(IF(Portafolio_Proyectos!$AP36="","",Portafolio_Proyectos!$D36),"")</f>
        <v/>
      </c>
      <c r="G107" s="5" t="str">
        <f>IFERROR(IF(Portafolio_Proyectos!$AP36="","",Portafolio_Proyectos!$A36),"")</f>
        <v/>
      </c>
      <c r="H107" s="5" t="str">
        <f>IFERROR(IF(Portafolio_Proyectos!$AP36="","",Portafolio_Proyectos!$E36),"")</f>
        <v/>
      </c>
    </row>
    <row r="108" spans="1:8" ht="72.5" customHeight="1" x14ac:dyDescent="0.35">
      <c r="A108" s="5" t="str">
        <f>IFERROR(IF(Portafolio_Proyectos!$AQ36="","","CAP-"&amp;ROW()-1),"")</f>
        <v>CAP-107</v>
      </c>
      <c r="B108" s="5" t="str">
        <f>IFERROR(IF(Portafolio_Proyectos!$AQ36="","",Portafolio_Proyectos!$AQ36),"")</f>
        <v>Calidad sensorial de cacao
Protocolos de fermentación y secado
Evaluación sensorial y química
Escalamiento de tecnologías en cacao
Diseño de equipos de poscosecha</v>
      </c>
      <c r="C108" s="5" t="str">
        <f>IFERROR(IF(Portafolio_Proyectos!$AQ36="","","Consolidada"),"")</f>
        <v>Consolidada</v>
      </c>
      <c r="D108" s="5" t="str">
        <f>IFERROR(IF(Portafolio_Proyectos!$AQ36="","",Portafolio_Proyectos!$C36),"")</f>
        <v>Manejo cosecha, poscosecha y transformación</v>
      </c>
      <c r="E108" s="5" t="str">
        <f>IFERROR(IF(Portafolio_Proyectos!$AQ36="","",Portafolio_Proyectos!$B36),"")</f>
        <v>Cacao</v>
      </c>
      <c r="F108" s="5" t="str">
        <f>IFERROR(IF(Portafolio_Proyectos!$AQ36="","",Portafolio_Proyectos!$D36),"")</f>
        <v xml:space="preserve">ID 001451: SGR Arauca poscosecha </v>
      </c>
      <c r="G108" s="5" t="str">
        <f>IFERROR(IF(Portafolio_Proyectos!$AQ36="","",Portafolio_Proyectos!$A36),"")</f>
        <v>Bioeconomía: Economía circular</v>
      </c>
      <c r="H108" s="5" t="str">
        <f>IFERROR(IF(Portafolio_Proyectos!$AQ36="","",Portafolio_Proyectos!$E36),"")</f>
        <v>Jader Rodríguez Cortina</v>
      </c>
    </row>
    <row r="109" spans="1:8" ht="58" customHeight="1" x14ac:dyDescent="0.35">
      <c r="A109" s="5" t="str">
        <f>IFERROR(IF(Portafolio_Proyectos!$AR36="","","CAP-"&amp;ROW()-1),"")</f>
        <v>CAP-108</v>
      </c>
      <c r="B109" s="5" t="str">
        <f>IFERROR(IF(Portafolio_Proyectos!$AR36="","",Portafolio_Proyectos!$AR36),"")</f>
        <v>Desarrollo de oferta tecnológica transferible
Modelos territoriales replicables
Capacidad de convertir ciencia en productos de valor</v>
      </c>
      <c r="C109" s="5" t="str">
        <f>IFERROR(IF(Portafolio_Proyectos!$AR36="","","Distintiva"),"")</f>
        <v>Distintiva</v>
      </c>
      <c r="D109" s="5" t="str">
        <f>IFERROR(IF(Portafolio_Proyectos!$AR36="","",Portafolio_Proyectos!$C36),"")</f>
        <v>Manejo cosecha, poscosecha y transformación</v>
      </c>
      <c r="E109" s="5" t="str">
        <f>IFERROR(IF(Portafolio_Proyectos!$AR36="","",Portafolio_Proyectos!$B36),"")</f>
        <v>Cacao</v>
      </c>
      <c r="F109" s="5" t="str">
        <f>IFERROR(IF(Portafolio_Proyectos!$AR36="","",Portafolio_Proyectos!$D36),"")</f>
        <v xml:space="preserve">ID 001451: SGR Arauca poscosecha </v>
      </c>
      <c r="G109" s="5" t="str">
        <f>IFERROR(IF(Portafolio_Proyectos!$AR36="","",Portafolio_Proyectos!$A36),"")</f>
        <v>Bioeconomía: Economía circular</v>
      </c>
      <c r="H109" s="5" t="str">
        <f>IFERROR(IF(Portafolio_Proyectos!$AR36="","",Portafolio_Proyectos!$E36),"")</f>
        <v>Jader Rodríguez Cortina</v>
      </c>
    </row>
    <row r="110" spans="1:8" x14ac:dyDescent="0.35">
      <c r="A110" s="5" t="str">
        <f>IFERROR(IF(Portafolio_Proyectos!$AP37="","","CAP-"&amp;ROW()-1),"")</f>
        <v/>
      </c>
      <c r="B110" s="5" t="str">
        <f>IFERROR(IF(Portafolio_Proyectos!$AP37="","",Portafolio_Proyectos!$AP37),"")</f>
        <v/>
      </c>
      <c r="C110" s="5" t="str">
        <f>IFERROR(IF(Portafolio_Proyectos!$AP37="","","Emergente"),"")</f>
        <v/>
      </c>
      <c r="D110" s="5" t="str">
        <f>IFERROR(IF(Portafolio_Proyectos!$AP37="","",Portafolio_Proyectos!$C37),"")</f>
        <v/>
      </c>
      <c r="E110" s="5" t="str">
        <f>IFERROR(IF(Portafolio_Proyectos!$AP37="","",Portafolio_Proyectos!$B37),"")</f>
        <v/>
      </c>
      <c r="F110" s="5" t="str">
        <f>IFERROR(IF(Portafolio_Proyectos!$AP37="","",Portafolio_Proyectos!$D37),"")</f>
        <v/>
      </c>
      <c r="G110" s="5" t="str">
        <f>IFERROR(IF(Portafolio_Proyectos!$AP37="","",Portafolio_Proyectos!$A37),"")</f>
        <v/>
      </c>
      <c r="H110" s="5" t="str">
        <f>IFERROR(IF(Portafolio_Proyectos!$AP37="","",Portafolio_Proyectos!$E37),"")</f>
        <v/>
      </c>
    </row>
    <row r="111" spans="1:8" x14ac:dyDescent="0.35">
      <c r="A111" s="5" t="str">
        <f>IFERROR(IF(Portafolio_Proyectos!$AQ37="","","CAP-"&amp;ROW()-1),"")</f>
        <v/>
      </c>
      <c r="B111" s="5" t="str">
        <f>IFERROR(IF(Portafolio_Proyectos!$AQ37="","",Portafolio_Proyectos!$AQ37),"")</f>
        <v/>
      </c>
      <c r="C111" s="5" t="str">
        <f>IFERROR(IF(Portafolio_Proyectos!$AQ37="","","Consolidada"),"")</f>
        <v/>
      </c>
      <c r="D111" s="5" t="str">
        <f>IFERROR(IF(Portafolio_Proyectos!$AQ37="","",Portafolio_Proyectos!$C37),"")</f>
        <v/>
      </c>
      <c r="E111" s="5" t="str">
        <f>IFERROR(IF(Portafolio_Proyectos!$AQ37="","",Portafolio_Proyectos!$B37),"")</f>
        <v/>
      </c>
      <c r="F111" s="5" t="str">
        <f>IFERROR(IF(Portafolio_Proyectos!$AQ37="","",Portafolio_Proyectos!$D37),"")</f>
        <v/>
      </c>
      <c r="G111" s="5" t="str">
        <f>IFERROR(IF(Portafolio_Proyectos!$AQ37="","",Portafolio_Proyectos!$A37),"")</f>
        <v/>
      </c>
      <c r="H111" s="5" t="str">
        <f>IFERROR(IF(Portafolio_Proyectos!$AQ37="","",Portafolio_Proyectos!$E37),"")</f>
        <v/>
      </c>
    </row>
    <row r="112" spans="1:8" x14ac:dyDescent="0.35">
      <c r="A112" s="5" t="str">
        <f>IFERROR(IF(Portafolio_Proyectos!$AR37="","","CAP-"&amp;ROW()-1),"")</f>
        <v/>
      </c>
      <c r="B112" s="5" t="str">
        <f>IFERROR(IF(Portafolio_Proyectos!$AR37="","",Portafolio_Proyectos!$AR37),"")</f>
        <v/>
      </c>
      <c r="C112" s="5" t="str">
        <f>IFERROR(IF(Portafolio_Proyectos!$AR37="","","Distintiva"),"")</f>
        <v/>
      </c>
      <c r="D112" s="5" t="str">
        <f>IFERROR(IF(Portafolio_Proyectos!$AR37="","",Portafolio_Proyectos!$C37),"")</f>
        <v/>
      </c>
      <c r="E112" s="5" t="str">
        <f>IFERROR(IF(Portafolio_Proyectos!$AR37="","",Portafolio_Proyectos!$B37),"")</f>
        <v/>
      </c>
      <c r="F112" s="5" t="str">
        <f>IFERROR(IF(Portafolio_Proyectos!$AR37="","",Portafolio_Proyectos!$D37),"")</f>
        <v/>
      </c>
      <c r="G112" s="5" t="str">
        <f>IFERROR(IF(Portafolio_Proyectos!$AR37="","",Portafolio_Proyectos!$A37),"")</f>
        <v/>
      </c>
      <c r="H112" s="5" t="str">
        <f>IFERROR(IF(Portafolio_Proyectos!$AR37="","",Portafolio_Proyectos!$E37),"")</f>
        <v/>
      </c>
    </row>
    <row r="113" spans="1:8" x14ac:dyDescent="0.35">
      <c r="A113" s="5" t="str">
        <f>IFERROR(IF(Portafolio_Proyectos!$AP38="","","CAP-"&amp;ROW()-1),"")</f>
        <v/>
      </c>
      <c r="B113" s="5" t="str">
        <f>IFERROR(IF(Portafolio_Proyectos!$AP38="","",Portafolio_Proyectos!$AP38),"")</f>
        <v/>
      </c>
      <c r="C113" s="5" t="str">
        <f>IFERROR(IF(Portafolio_Proyectos!$AP38="","","Emergente"),"")</f>
        <v/>
      </c>
      <c r="D113" s="5" t="str">
        <f>IFERROR(IF(Portafolio_Proyectos!$AP38="","",Portafolio_Proyectos!$C38),"")</f>
        <v/>
      </c>
      <c r="E113" s="5" t="str">
        <f>IFERROR(IF(Portafolio_Proyectos!$AP38="","",Portafolio_Proyectos!$B38),"")</f>
        <v/>
      </c>
      <c r="F113" s="5" t="str">
        <f>IFERROR(IF(Portafolio_Proyectos!$AP38="","",Portafolio_Proyectos!$D38),"")</f>
        <v/>
      </c>
      <c r="G113" s="5" t="str">
        <f>IFERROR(IF(Portafolio_Proyectos!$AP38="","",Portafolio_Proyectos!$A38),"")</f>
        <v/>
      </c>
      <c r="H113" s="5" t="str">
        <f>IFERROR(IF(Portafolio_Proyectos!$AP38="","",Portafolio_Proyectos!$E38),"")</f>
        <v/>
      </c>
    </row>
    <row r="114" spans="1:8" x14ac:dyDescent="0.35">
      <c r="A114" s="5" t="str">
        <f>IFERROR(IF(Portafolio_Proyectos!$AQ38="","","CAP-"&amp;ROW()-1),"")</f>
        <v/>
      </c>
      <c r="B114" s="5" t="str">
        <f>IFERROR(IF(Portafolio_Proyectos!$AQ38="","",Portafolio_Proyectos!$AQ38),"")</f>
        <v/>
      </c>
      <c r="C114" s="5" t="str">
        <f>IFERROR(IF(Portafolio_Proyectos!$AQ38="","","Consolidada"),"")</f>
        <v/>
      </c>
      <c r="D114" s="5" t="str">
        <f>IFERROR(IF(Portafolio_Proyectos!$AQ38="","",Portafolio_Proyectos!$C38),"")</f>
        <v/>
      </c>
      <c r="E114" s="5" t="str">
        <f>IFERROR(IF(Portafolio_Proyectos!$AQ38="","",Portafolio_Proyectos!$B38),"")</f>
        <v/>
      </c>
      <c r="F114" s="5" t="str">
        <f>IFERROR(IF(Portafolio_Proyectos!$AQ38="","",Portafolio_Proyectos!$D38),"")</f>
        <v/>
      </c>
      <c r="G114" s="5" t="str">
        <f>IFERROR(IF(Portafolio_Proyectos!$AQ38="","",Portafolio_Proyectos!$A38),"")</f>
        <v/>
      </c>
      <c r="H114" s="5" t="str">
        <f>IFERROR(IF(Portafolio_Proyectos!$AQ38="","",Portafolio_Proyectos!$E38),"")</f>
        <v/>
      </c>
    </row>
    <row r="115" spans="1:8" x14ac:dyDescent="0.35">
      <c r="A115" s="5" t="str">
        <f>IFERROR(IF(Portafolio_Proyectos!$AR38="","","CAP-"&amp;ROW()-1),"")</f>
        <v/>
      </c>
      <c r="B115" s="5" t="str">
        <f>IFERROR(IF(Portafolio_Proyectos!$AR38="","",Portafolio_Proyectos!$AR38),"")</f>
        <v/>
      </c>
      <c r="C115" s="5" t="str">
        <f>IFERROR(IF(Portafolio_Proyectos!$AR38="","","Distintiva"),"")</f>
        <v/>
      </c>
      <c r="D115" s="5" t="str">
        <f>IFERROR(IF(Portafolio_Proyectos!$AR38="","",Portafolio_Proyectos!$C38),"")</f>
        <v/>
      </c>
      <c r="E115" s="5" t="str">
        <f>IFERROR(IF(Portafolio_Proyectos!$AR38="","",Portafolio_Proyectos!$B38),"")</f>
        <v/>
      </c>
      <c r="F115" s="5" t="str">
        <f>IFERROR(IF(Portafolio_Proyectos!$AR38="","",Portafolio_Proyectos!$D38),"")</f>
        <v/>
      </c>
      <c r="G115" s="5" t="str">
        <f>IFERROR(IF(Portafolio_Proyectos!$AR38="","",Portafolio_Proyectos!$A38),"")</f>
        <v/>
      </c>
      <c r="H115" s="5" t="str">
        <f>IFERROR(IF(Portafolio_Proyectos!$AR38="","",Portafolio_Proyectos!$E38),"")</f>
        <v/>
      </c>
    </row>
    <row r="116" spans="1:8" x14ac:dyDescent="0.35">
      <c r="A116" s="5" t="str">
        <f>IFERROR(IF(Portafolio_Proyectos!$AP39="","","CAP-"&amp;ROW()-1),"")</f>
        <v/>
      </c>
      <c r="B116" s="5" t="str">
        <f>IFERROR(IF(Portafolio_Proyectos!$AP39="","",Portafolio_Proyectos!$AP39),"")</f>
        <v/>
      </c>
      <c r="C116" s="5" t="str">
        <f>IFERROR(IF(Portafolio_Proyectos!$AP39="","","Emergente"),"")</f>
        <v/>
      </c>
      <c r="D116" s="5" t="str">
        <f>IFERROR(IF(Portafolio_Proyectos!$AP39="","",Portafolio_Proyectos!$C39),"")</f>
        <v/>
      </c>
      <c r="E116" s="5" t="str">
        <f>IFERROR(IF(Portafolio_Proyectos!$AP39="","",Portafolio_Proyectos!$B39),"")</f>
        <v/>
      </c>
      <c r="F116" s="5" t="str">
        <f>IFERROR(IF(Portafolio_Proyectos!$AP39="","",Portafolio_Proyectos!$D39),"")</f>
        <v/>
      </c>
      <c r="G116" s="5" t="str">
        <f>IFERROR(IF(Portafolio_Proyectos!$AP39="","",Portafolio_Proyectos!$A39),"")</f>
        <v/>
      </c>
      <c r="H116" s="5" t="str">
        <f>IFERROR(IF(Portafolio_Proyectos!$AP39="","",Portafolio_Proyectos!$E39),"")</f>
        <v/>
      </c>
    </row>
    <row r="117" spans="1:8" x14ac:dyDescent="0.35">
      <c r="A117" s="5" t="str">
        <f>IFERROR(IF(Portafolio_Proyectos!$AQ39="","","CAP-"&amp;ROW()-1),"")</f>
        <v/>
      </c>
      <c r="B117" s="5" t="str">
        <f>IFERROR(IF(Portafolio_Proyectos!$AQ39="","",Portafolio_Proyectos!$AQ39),"")</f>
        <v/>
      </c>
      <c r="C117" s="5" t="str">
        <f>IFERROR(IF(Portafolio_Proyectos!$AQ39="","","Consolidada"),"")</f>
        <v/>
      </c>
      <c r="D117" s="5" t="str">
        <f>IFERROR(IF(Portafolio_Proyectos!$AQ39="","",Portafolio_Proyectos!$C39),"")</f>
        <v/>
      </c>
      <c r="E117" s="5" t="str">
        <f>IFERROR(IF(Portafolio_Proyectos!$AQ39="","",Portafolio_Proyectos!$B39),"")</f>
        <v/>
      </c>
      <c r="F117" s="5" t="str">
        <f>IFERROR(IF(Portafolio_Proyectos!$AQ39="","",Portafolio_Proyectos!$D39),"")</f>
        <v/>
      </c>
      <c r="G117" s="5" t="str">
        <f>IFERROR(IF(Portafolio_Proyectos!$AQ39="","",Portafolio_Proyectos!$A39),"")</f>
        <v/>
      </c>
      <c r="H117" s="5" t="str">
        <f>IFERROR(IF(Portafolio_Proyectos!$AQ39="","",Portafolio_Proyectos!$E39),"")</f>
        <v/>
      </c>
    </row>
    <row r="118" spans="1:8" x14ac:dyDescent="0.35">
      <c r="A118" s="5" t="str">
        <f>IFERROR(IF(Portafolio_Proyectos!$AR39="","","CAP-"&amp;ROW()-1),"")</f>
        <v/>
      </c>
      <c r="B118" s="5" t="str">
        <f>IFERROR(IF(Portafolio_Proyectos!$AR39="","",Portafolio_Proyectos!$AR39),"")</f>
        <v/>
      </c>
      <c r="C118" s="5" t="str">
        <f>IFERROR(IF(Portafolio_Proyectos!$AR39="","","Distintiva"),"")</f>
        <v/>
      </c>
      <c r="D118" s="5" t="str">
        <f>IFERROR(IF(Portafolio_Proyectos!$AR39="","",Portafolio_Proyectos!$C39),"")</f>
        <v/>
      </c>
      <c r="E118" s="5" t="str">
        <f>IFERROR(IF(Portafolio_Proyectos!$AR39="","",Portafolio_Proyectos!$B39),"")</f>
        <v/>
      </c>
      <c r="F118" s="5" t="str">
        <f>IFERROR(IF(Portafolio_Proyectos!$AR39="","",Portafolio_Proyectos!$D39),"")</f>
        <v/>
      </c>
      <c r="G118" s="5" t="str">
        <f>IFERROR(IF(Portafolio_Proyectos!$AR39="","",Portafolio_Proyectos!$A39),"")</f>
        <v/>
      </c>
      <c r="H118" s="5" t="str">
        <f>IFERROR(IF(Portafolio_Proyectos!$AR39="","",Portafolio_Proyectos!$E39),"")</f>
        <v/>
      </c>
    </row>
    <row r="119" spans="1:8" x14ac:dyDescent="0.35">
      <c r="A119" s="5" t="str">
        <f>IFERROR(IF(Portafolio_Proyectos!$AP40="","","CAP-"&amp;ROW()-1),"")</f>
        <v/>
      </c>
      <c r="B119" s="5" t="str">
        <f>IFERROR(IF(Portafolio_Proyectos!$AP40="","",Portafolio_Proyectos!$AP40),"")</f>
        <v/>
      </c>
      <c r="C119" s="5" t="str">
        <f>IFERROR(IF(Portafolio_Proyectos!$AP40="","","Emergente"),"")</f>
        <v/>
      </c>
      <c r="D119" s="5" t="str">
        <f>IFERROR(IF(Portafolio_Proyectos!$AP40="","",Portafolio_Proyectos!$C40),"")</f>
        <v/>
      </c>
      <c r="E119" s="5" t="str">
        <f>IFERROR(IF(Portafolio_Proyectos!$AP40="","",Portafolio_Proyectos!$B40),"")</f>
        <v/>
      </c>
      <c r="F119" s="5" t="str">
        <f>IFERROR(IF(Portafolio_Proyectos!$AP40="","",Portafolio_Proyectos!$D40),"")</f>
        <v/>
      </c>
      <c r="G119" s="5" t="str">
        <f>IFERROR(IF(Portafolio_Proyectos!$AP40="","",Portafolio_Proyectos!$A40),"")</f>
        <v/>
      </c>
      <c r="H119" s="5" t="str">
        <f>IFERROR(IF(Portafolio_Proyectos!$AP40="","",Portafolio_Proyectos!$E40),"")</f>
        <v/>
      </c>
    </row>
    <row r="120" spans="1:8" x14ac:dyDescent="0.35">
      <c r="A120" s="5" t="str">
        <f>IFERROR(IF(Portafolio_Proyectos!$AQ40="","","CAP-"&amp;ROW()-1),"")</f>
        <v/>
      </c>
      <c r="B120" s="5" t="str">
        <f>IFERROR(IF(Portafolio_Proyectos!$AQ40="","",Portafolio_Proyectos!$AQ40),"")</f>
        <v/>
      </c>
      <c r="C120" s="5" t="str">
        <f>IFERROR(IF(Portafolio_Proyectos!$AQ40="","","Consolidada"),"")</f>
        <v/>
      </c>
      <c r="D120" s="5" t="str">
        <f>IFERROR(IF(Portafolio_Proyectos!$AQ40="","",Portafolio_Proyectos!$C40),"")</f>
        <v/>
      </c>
      <c r="E120" s="5" t="str">
        <f>IFERROR(IF(Portafolio_Proyectos!$AQ40="","",Portafolio_Proyectos!$B40),"")</f>
        <v/>
      </c>
      <c r="F120" s="5" t="str">
        <f>IFERROR(IF(Portafolio_Proyectos!$AQ40="","",Portafolio_Proyectos!$D40),"")</f>
        <v/>
      </c>
      <c r="G120" s="5" t="str">
        <f>IFERROR(IF(Portafolio_Proyectos!$AQ40="","",Portafolio_Proyectos!$A40),"")</f>
        <v/>
      </c>
      <c r="H120" s="5" t="str">
        <f>IFERROR(IF(Portafolio_Proyectos!$AQ40="","",Portafolio_Proyectos!$E40),"")</f>
        <v/>
      </c>
    </row>
    <row r="121" spans="1:8" x14ac:dyDescent="0.35">
      <c r="A121" s="5" t="str">
        <f>IFERROR(IF(Portafolio_Proyectos!$AR40="","","CAP-"&amp;ROW()-1),"")</f>
        <v/>
      </c>
      <c r="B121" s="5" t="str">
        <f>IFERROR(IF(Portafolio_Proyectos!$AR40="","",Portafolio_Proyectos!$AR40),"")</f>
        <v/>
      </c>
      <c r="C121" s="5" t="str">
        <f>IFERROR(IF(Portafolio_Proyectos!$AR40="","","Distintiva"),"")</f>
        <v/>
      </c>
      <c r="D121" s="5" t="str">
        <f>IFERROR(IF(Portafolio_Proyectos!$AR40="","",Portafolio_Proyectos!$C40),"")</f>
        <v/>
      </c>
      <c r="E121" s="5" t="str">
        <f>IFERROR(IF(Portafolio_Proyectos!$AR40="","",Portafolio_Proyectos!$B40),"")</f>
        <v/>
      </c>
      <c r="F121" s="5" t="str">
        <f>IFERROR(IF(Portafolio_Proyectos!$AR40="","",Portafolio_Proyectos!$D40),"")</f>
        <v/>
      </c>
      <c r="G121" s="5" t="str">
        <f>IFERROR(IF(Portafolio_Proyectos!$AR40="","",Portafolio_Proyectos!$A40),"")</f>
        <v/>
      </c>
      <c r="H121" s="5" t="str">
        <f>IFERROR(IF(Portafolio_Proyectos!$AR40="","",Portafolio_Proyectos!$E40),"")</f>
        <v/>
      </c>
    </row>
    <row r="122" spans="1:8" x14ac:dyDescent="0.35">
      <c r="A122" s="5" t="str">
        <f>IFERROR(IF(Portafolio_Proyectos!$AP41="","","CAP-"&amp;ROW()-1),"")</f>
        <v/>
      </c>
      <c r="B122" s="5" t="str">
        <f>IFERROR(IF(Portafolio_Proyectos!$AP41="","",Portafolio_Proyectos!$AP41),"")</f>
        <v/>
      </c>
      <c r="C122" s="5" t="str">
        <f>IFERROR(IF(Portafolio_Proyectos!$AP41="","","Emergente"),"")</f>
        <v/>
      </c>
      <c r="D122" s="5" t="str">
        <f>IFERROR(IF(Portafolio_Proyectos!$AP41="","",Portafolio_Proyectos!$C41),"")</f>
        <v/>
      </c>
      <c r="E122" s="5" t="str">
        <f>IFERROR(IF(Portafolio_Proyectos!$AP41="","",Portafolio_Proyectos!$B41),"")</f>
        <v/>
      </c>
      <c r="F122" s="5" t="str">
        <f>IFERROR(IF(Portafolio_Proyectos!$AP41="","",Portafolio_Proyectos!$D41),"")</f>
        <v/>
      </c>
      <c r="G122" s="5" t="str">
        <f>IFERROR(IF(Portafolio_Proyectos!$AP41="","",Portafolio_Proyectos!$A41),"")</f>
        <v/>
      </c>
      <c r="H122" s="5" t="str">
        <f>IFERROR(IF(Portafolio_Proyectos!$AP41="","",Portafolio_Proyectos!$E41),"")</f>
        <v/>
      </c>
    </row>
    <row r="123" spans="1:8" x14ac:dyDescent="0.35">
      <c r="A123" s="5" t="str">
        <f>IFERROR(IF(Portafolio_Proyectos!$AQ41="","","CAP-"&amp;ROW()-1),"")</f>
        <v/>
      </c>
      <c r="B123" s="5" t="str">
        <f>IFERROR(IF(Portafolio_Proyectos!$AQ41="","",Portafolio_Proyectos!$AQ41),"")</f>
        <v/>
      </c>
      <c r="C123" s="5" t="str">
        <f>IFERROR(IF(Portafolio_Proyectos!$AQ41="","","Consolidada"),"")</f>
        <v/>
      </c>
      <c r="D123" s="5" t="str">
        <f>IFERROR(IF(Portafolio_Proyectos!$AQ41="","",Portafolio_Proyectos!$C41),"")</f>
        <v/>
      </c>
      <c r="E123" s="5" t="str">
        <f>IFERROR(IF(Portafolio_Proyectos!$AQ41="","",Portafolio_Proyectos!$B41),"")</f>
        <v/>
      </c>
      <c r="F123" s="5" t="str">
        <f>IFERROR(IF(Portafolio_Proyectos!$AQ41="","",Portafolio_Proyectos!$D41),"")</f>
        <v/>
      </c>
      <c r="G123" s="5" t="str">
        <f>IFERROR(IF(Portafolio_Proyectos!$AQ41="","",Portafolio_Proyectos!$A41),"")</f>
        <v/>
      </c>
      <c r="H123" s="5" t="str">
        <f>IFERROR(IF(Portafolio_Proyectos!$AQ41="","",Portafolio_Proyectos!$E41),"")</f>
        <v/>
      </c>
    </row>
    <row r="124" spans="1:8" x14ac:dyDescent="0.35">
      <c r="A124" s="5" t="str">
        <f>IFERROR(IF(Portafolio_Proyectos!$AR41="","","CAP-"&amp;ROW()-1),"")</f>
        <v/>
      </c>
      <c r="B124" s="5" t="str">
        <f>IFERROR(IF(Portafolio_Proyectos!$AR41="","",Portafolio_Proyectos!$AR41),"")</f>
        <v/>
      </c>
      <c r="C124" s="5" t="str">
        <f>IFERROR(IF(Portafolio_Proyectos!$AR41="","","Distintiva"),"")</f>
        <v/>
      </c>
      <c r="D124" s="5" t="str">
        <f>IFERROR(IF(Portafolio_Proyectos!$AR41="","",Portafolio_Proyectos!$C41),"")</f>
        <v/>
      </c>
      <c r="E124" s="5" t="str">
        <f>IFERROR(IF(Portafolio_Proyectos!$AR41="","",Portafolio_Proyectos!$B41),"")</f>
        <v/>
      </c>
      <c r="F124" s="5" t="str">
        <f>IFERROR(IF(Portafolio_Proyectos!$AR41="","",Portafolio_Proyectos!$D41),"")</f>
        <v/>
      </c>
      <c r="G124" s="5" t="str">
        <f>IFERROR(IF(Portafolio_Proyectos!$AR41="","",Portafolio_Proyectos!$A41),"")</f>
        <v/>
      </c>
      <c r="H124" s="5" t="str">
        <f>IFERROR(IF(Portafolio_Proyectos!$AR41="","",Portafolio_Proyectos!$E41),"")</f>
        <v/>
      </c>
    </row>
    <row r="125" spans="1:8" x14ac:dyDescent="0.35">
      <c r="A125" s="5" t="str">
        <f>IFERROR(IF(Portafolio_Proyectos!$AP42="","","CAP-"&amp;ROW()-1),"")</f>
        <v/>
      </c>
      <c r="B125" s="5" t="str">
        <f>IFERROR(IF(Portafolio_Proyectos!$AP42="","",Portafolio_Proyectos!$AP42),"")</f>
        <v/>
      </c>
      <c r="C125" s="5" t="str">
        <f>IFERROR(IF(Portafolio_Proyectos!$AP42="","","Emergente"),"")</f>
        <v/>
      </c>
      <c r="D125" s="5" t="str">
        <f>IFERROR(IF(Portafolio_Proyectos!$AP42="","",Portafolio_Proyectos!$C42),"")</f>
        <v/>
      </c>
      <c r="E125" s="5" t="str">
        <f>IFERROR(IF(Portafolio_Proyectos!$AP42="","",Portafolio_Proyectos!$B42),"")</f>
        <v/>
      </c>
      <c r="F125" s="5" t="str">
        <f>IFERROR(IF(Portafolio_Proyectos!$AP42="","",Portafolio_Proyectos!$D42),"")</f>
        <v/>
      </c>
      <c r="G125" s="5" t="str">
        <f>IFERROR(IF(Portafolio_Proyectos!$AP42="","",Portafolio_Proyectos!$A42),"")</f>
        <v/>
      </c>
      <c r="H125" s="5" t="str">
        <f>IFERROR(IF(Portafolio_Proyectos!$AP42="","",Portafolio_Proyectos!$E42),"")</f>
        <v/>
      </c>
    </row>
    <row r="126" spans="1:8" x14ac:dyDescent="0.35">
      <c r="A126" s="5" t="str">
        <f>IFERROR(IF(Portafolio_Proyectos!$AQ42="","","CAP-"&amp;ROW()-1),"")</f>
        <v/>
      </c>
      <c r="B126" s="5" t="str">
        <f>IFERROR(IF(Portafolio_Proyectos!$AQ42="","",Portafolio_Proyectos!$AQ42),"")</f>
        <v/>
      </c>
      <c r="C126" s="5" t="str">
        <f>IFERROR(IF(Portafolio_Proyectos!$AQ42="","","Consolidada"),"")</f>
        <v/>
      </c>
      <c r="D126" s="5" t="str">
        <f>IFERROR(IF(Portafolio_Proyectos!$AQ42="","",Portafolio_Proyectos!$C42),"")</f>
        <v/>
      </c>
      <c r="E126" s="5" t="str">
        <f>IFERROR(IF(Portafolio_Proyectos!$AQ42="","",Portafolio_Proyectos!$B42),"")</f>
        <v/>
      </c>
      <c r="F126" s="5" t="str">
        <f>IFERROR(IF(Portafolio_Proyectos!$AQ42="","",Portafolio_Proyectos!$D42),"")</f>
        <v/>
      </c>
      <c r="G126" s="5" t="str">
        <f>IFERROR(IF(Portafolio_Proyectos!$AQ42="","",Portafolio_Proyectos!$A42),"")</f>
        <v/>
      </c>
      <c r="H126" s="5" t="str">
        <f>IFERROR(IF(Portafolio_Proyectos!$AQ42="","",Portafolio_Proyectos!$E42),"")</f>
        <v/>
      </c>
    </row>
    <row r="127" spans="1:8" x14ac:dyDescent="0.35">
      <c r="A127" s="5" t="str">
        <f>IFERROR(IF(Portafolio_Proyectos!$AR42="","","CAP-"&amp;ROW()-1),"")</f>
        <v/>
      </c>
      <c r="B127" s="5" t="str">
        <f>IFERROR(IF(Portafolio_Proyectos!$AR42="","",Portafolio_Proyectos!$AR42),"")</f>
        <v/>
      </c>
      <c r="C127" s="5" t="str">
        <f>IFERROR(IF(Portafolio_Proyectos!$AR42="","","Distintiva"),"")</f>
        <v/>
      </c>
      <c r="D127" s="5" t="str">
        <f>IFERROR(IF(Portafolio_Proyectos!$AR42="","",Portafolio_Proyectos!$C42),"")</f>
        <v/>
      </c>
      <c r="E127" s="5" t="str">
        <f>IFERROR(IF(Portafolio_Proyectos!$AR42="","",Portafolio_Proyectos!$B42),"")</f>
        <v/>
      </c>
      <c r="F127" s="5" t="str">
        <f>IFERROR(IF(Portafolio_Proyectos!$AR42="","",Portafolio_Proyectos!$D42),"")</f>
        <v/>
      </c>
      <c r="G127" s="5" t="str">
        <f>IFERROR(IF(Portafolio_Proyectos!$AR42="","",Portafolio_Proyectos!$A42),"")</f>
        <v/>
      </c>
      <c r="H127" s="5" t="str">
        <f>IFERROR(IF(Portafolio_Proyectos!$AR42="","",Portafolio_Proyectos!$E42),"")</f>
        <v/>
      </c>
    </row>
    <row r="128" spans="1:8" x14ac:dyDescent="0.35">
      <c r="A128" s="5" t="str">
        <f>IFERROR(IF(Portafolio_Proyectos!$AP43="","","CAP-"&amp;ROW()-1),"")</f>
        <v/>
      </c>
      <c r="B128" s="5" t="str">
        <f>IFERROR(IF(Portafolio_Proyectos!$AP43="","",Portafolio_Proyectos!$AP43),"")</f>
        <v/>
      </c>
      <c r="C128" s="5" t="str">
        <f>IFERROR(IF(Portafolio_Proyectos!$AP43="","","Emergente"),"")</f>
        <v/>
      </c>
      <c r="D128" s="5" t="str">
        <f>IFERROR(IF(Portafolio_Proyectos!$AP43="","",Portafolio_Proyectos!$C43),"")</f>
        <v/>
      </c>
      <c r="E128" s="5" t="str">
        <f>IFERROR(IF(Portafolio_Proyectos!$AP43="","",Portafolio_Proyectos!$B43),"")</f>
        <v/>
      </c>
      <c r="F128" s="5" t="str">
        <f>IFERROR(IF(Portafolio_Proyectos!$AP43="","",Portafolio_Proyectos!$D43),"")</f>
        <v/>
      </c>
      <c r="G128" s="5" t="str">
        <f>IFERROR(IF(Portafolio_Proyectos!$AP43="","",Portafolio_Proyectos!$A43),"")</f>
        <v/>
      </c>
      <c r="H128" s="5" t="str">
        <f>IFERROR(IF(Portafolio_Proyectos!$AP43="","",Portafolio_Proyectos!$E43),"")</f>
        <v/>
      </c>
    </row>
    <row r="129" spans="1:8" x14ac:dyDescent="0.35">
      <c r="A129" s="5" t="str">
        <f>IFERROR(IF(Portafolio_Proyectos!$AQ43="","","CAP-"&amp;ROW()-1),"")</f>
        <v/>
      </c>
      <c r="B129" s="5" t="str">
        <f>IFERROR(IF(Portafolio_Proyectos!$AQ43="","",Portafolio_Proyectos!$AQ43),"")</f>
        <v/>
      </c>
      <c r="C129" s="5" t="str">
        <f>IFERROR(IF(Portafolio_Proyectos!$AQ43="","","Consolidada"),"")</f>
        <v/>
      </c>
      <c r="D129" s="5" t="str">
        <f>IFERROR(IF(Portafolio_Proyectos!$AQ43="","",Portafolio_Proyectos!$C43),"")</f>
        <v/>
      </c>
      <c r="E129" s="5" t="str">
        <f>IFERROR(IF(Portafolio_Proyectos!$AQ43="","",Portafolio_Proyectos!$B43),"")</f>
        <v/>
      </c>
      <c r="F129" s="5" t="str">
        <f>IFERROR(IF(Portafolio_Proyectos!$AQ43="","",Portafolio_Proyectos!$D43),"")</f>
        <v/>
      </c>
      <c r="G129" s="5" t="str">
        <f>IFERROR(IF(Portafolio_Proyectos!$AQ43="","",Portafolio_Proyectos!$A43),"")</f>
        <v/>
      </c>
      <c r="H129" s="5" t="str">
        <f>IFERROR(IF(Portafolio_Proyectos!$AQ43="","",Portafolio_Proyectos!$E43),"")</f>
        <v/>
      </c>
    </row>
    <row r="130" spans="1:8" x14ac:dyDescent="0.35">
      <c r="A130" s="5" t="str">
        <f>IFERROR(IF(Portafolio_Proyectos!$AR43="","","CAP-"&amp;ROW()-1),"")</f>
        <v/>
      </c>
      <c r="B130" s="5" t="str">
        <f>IFERROR(IF(Portafolio_Proyectos!$AR43="","",Portafolio_Proyectos!$AR43),"")</f>
        <v/>
      </c>
      <c r="C130" s="5" t="str">
        <f>IFERROR(IF(Portafolio_Proyectos!$AR43="","","Distintiva"),"")</f>
        <v/>
      </c>
      <c r="D130" s="5" t="str">
        <f>IFERROR(IF(Portafolio_Proyectos!$AR43="","",Portafolio_Proyectos!$C43),"")</f>
        <v/>
      </c>
      <c r="E130" s="5" t="str">
        <f>IFERROR(IF(Portafolio_Proyectos!$AR43="","",Portafolio_Proyectos!$B43),"")</f>
        <v/>
      </c>
      <c r="F130" s="5" t="str">
        <f>IFERROR(IF(Portafolio_Proyectos!$AR43="","",Portafolio_Proyectos!$D43),"")</f>
        <v/>
      </c>
      <c r="G130" s="5" t="str">
        <f>IFERROR(IF(Portafolio_Proyectos!$AR43="","",Portafolio_Proyectos!$A43),"")</f>
        <v/>
      </c>
      <c r="H130" s="5" t="str">
        <f>IFERROR(IF(Portafolio_Proyectos!$AR43="","",Portafolio_Proyectos!$E43),"")</f>
        <v/>
      </c>
    </row>
    <row r="131" spans="1:8" x14ac:dyDescent="0.35">
      <c r="A131" s="5" t="str">
        <f>IFERROR(IF(Portafolio_Proyectos!$AP44="","","CAP-"&amp;ROW()-1),"")</f>
        <v/>
      </c>
      <c r="B131" s="5" t="str">
        <f>IFERROR(IF(Portafolio_Proyectos!$AP44="","",Portafolio_Proyectos!$AP44),"")</f>
        <v/>
      </c>
      <c r="C131" s="5" t="str">
        <f>IFERROR(IF(Portafolio_Proyectos!$AP44="","","Emergente"),"")</f>
        <v/>
      </c>
      <c r="D131" s="5" t="str">
        <f>IFERROR(IF(Portafolio_Proyectos!$AP44="","",Portafolio_Proyectos!$C44),"")</f>
        <v/>
      </c>
      <c r="E131" s="5" t="str">
        <f>IFERROR(IF(Portafolio_Proyectos!$AP44="","",Portafolio_Proyectos!$B44),"")</f>
        <v/>
      </c>
      <c r="F131" s="5" t="str">
        <f>IFERROR(IF(Portafolio_Proyectos!$AP44="","",Portafolio_Proyectos!$D44),"")</f>
        <v/>
      </c>
      <c r="G131" s="5" t="str">
        <f>IFERROR(IF(Portafolio_Proyectos!$AP44="","",Portafolio_Proyectos!$A44),"")</f>
        <v/>
      </c>
      <c r="H131" s="5" t="str">
        <f>IFERROR(IF(Portafolio_Proyectos!$AP44="","",Portafolio_Proyectos!$E44),"")</f>
        <v/>
      </c>
    </row>
    <row r="132" spans="1:8" x14ac:dyDescent="0.35">
      <c r="A132" s="5" t="str">
        <f>IFERROR(IF(Portafolio_Proyectos!$AQ44="","","CAP-"&amp;ROW()-1),"")</f>
        <v/>
      </c>
      <c r="B132" s="5" t="str">
        <f>IFERROR(IF(Portafolio_Proyectos!$AQ44="","",Portafolio_Proyectos!$AQ44),"")</f>
        <v/>
      </c>
      <c r="C132" s="5" t="str">
        <f>IFERROR(IF(Portafolio_Proyectos!$AQ44="","","Consolidada"),"")</f>
        <v/>
      </c>
      <c r="D132" s="5" t="str">
        <f>IFERROR(IF(Portafolio_Proyectos!$AQ44="","",Portafolio_Proyectos!$C44),"")</f>
        <v/>
      </c>
      <c r="E132" s="5" t="str">
        <f>IFERROR(IF(Portafolio_Proyectos!$AQ44="","",Portafolio_Proyectos!$B44),"")</f>
        <v/>
      </c>
      <c r="F132" s="5" t="str">
        <f>IFERROR(IF(Portafolio_Proyectos!$AQ44="","",Portafolio_Proyectos!$D44),"")</f>
        <v/>
      </c>
      <c r="G132" s="5" t="str">
        <f>IFERROR(IF(Portafolio_Proyectos!$AQ44="","",Portafolio_Proyectos!$A44),"")</f>
        <v/>
      </c>
      <c r="H132" s="5" t="str">
        <f>IFERROR(IF(Portafolio_Proyectos!$AQ44="","",Portafolio_Proyectos!$E44),"")</f>
        <v/>
      </c>
    </row>
    <row r="133" spans="1:8" x14ac:dyDescent="0.35">
      <c r="A133" s="5" t="str">
        <f>IFERROR(IF(Portafolio_Proyectos!$AR44="","","CAP-"&amp;ROW()-1),"")</f>
        <v/>
      </c>
      <c r="B133" s="5" t="str">
        <f>IFERROR(IF(Portafolio_Proyectos!$AR44="","",Portafolio_Proyectos!$AR44),"")</f>
        <v/>
      </c>
      <c r="C133" s="5" t="str">
        <f>IFERROR(IF(Portafolio_Proyectos!$AR44="","","Distintiva"),"")</f>
        <v/>
      </c>
      <c r="D133" s="5" t="str">
        <f>IFERROR(IF(Portafolio_Proyectos!$AR44="","",Portafolio_Proyectos!$C44),"")</f>
        <v/>
      </c>
      <c r="E133" s="5" t="str">
        <f>IFERROR(IF(Portafolio_Proyectos!$AR44="","",Portafolio_Proyectos!$B44),"")</f>
        <v/>
      </c>
      <c r="F133" s="5" t="str">
        <f>IFERROR(IF(Portafolio_Proyectos!$AR44="","",Portafolio_Proyectos!$D44),"")</f>
        <v/>
      </c>
      <c r="G133" s="5" t="str">
        <f>IFERROR(IF(Portafolio_Proyectos!$AR44="","",Portafolio_Proyectos!$A44),"")</f>
        <v/>
      </c>
      <c r="H133" s="5" t="str">
        <f>IFERROR(IF(Portafolio_Proyectos!$AR44="","",Portafolio_Proyectos!$E44),"")</f>
        <v/>
      </c>
    </row>
    <row r="134" spans="1:8" x14ac:dyDescent="0.35">
      <c r="A134" s="5" t="str">
        <f>IFERROR(IF(Portafolio_Proyectos!$AP45="","","CAP-"&amp;ROW()-1),"")</f>
        <v/>
      </c>
      <c r="B134" s="5" t="str">
        <f>IFERROR(IF(Portafolio_Proyectos!$AP45="","",Portafolio_Proyectos!$AP45),"")</f>
        <v/>
      </c>
      <c r="C134" s="5" t="str">
        <f>IFERROR(IF(Portafolio_Proyectos!$AP45="","","Emergente"),"")</f>
        <v/>
      </c>
      <c r="D134" s="5" t="str">
        <f>IFERROR(IF(Portafolio_Proyectos!$AP45="","",Portafolio_Proyectos!$C45),"")</f>
        <v/>
      </c>
      <c r="E134" s="5" t="str">
        <f>IFERROR(IF(Portafolio_Proyectos!$AP45="","",Portafolio_Proyectos!$B45),"")</f>
        <v/>
      </c>
      <c r="F134" s="5" t="str">
        <f>IFERROR(IF(Portafolio_Proyectos!$AP45="","",Portafolio_Proyectos!$D45),"")</f>
        <v/>
      </c>
      <c r="G134" s="5" t="str">
        <f>IFERROR(IF(Portafolio_Proyectos!$AP45="","",Portafolio_Proyectos!$A45),"")</f>
        <v/>
      </c>
      <c r="H134" s="5" t="str">
        <f>IFERROR(IF(Portafolio_Proyectos!$AP45="","",Portafolio_Proyectos!$E45),"")</f>
        <v/>
      </c>
    </row>
    <row r="135" spans="1:8" x14ac:dyDescent="0.35">
      <c r="A135" s="5" t="str">
        <f>IFERROR(IF(Portafolio_Proyectos!$AQ45="","","CAP-"&amp;ROW()-1),"")</f>
        <v/>
      </c>
      <c r="B135" s="5" t="str">
        <f>IFERROR(IF(Portafolio_Proyectos!$AQ45="","",Portafolio_Proyectos!$AQ45),"")</f>
        <v/>
      </c>
      <c r="C135" s="5" t="str">
        <f>IFERROR(IF(Portafolio_Proyectos!$AQ45="","","Consolidada"),"")</f>
        <v/>
      </c>
      <c r="D135" s="5" t="str">
        <f>IFERROR(IF(Portafolio_Proyectos!$AQ45="","",Portafolio_Proyectos!$C45),"")</f>
        <v/>
      </c>
      <c r="E135" s="5" t="str">
        <f>IFERROR(IF(Portafolio_Proyectos!$AQ45="","",Portafolio_Proyectos!$B45),"")</f>
        <v/>
      </c>
      <c r="F135" s="5" t="str">
        <f>IFERROR(IF(Portafolio_Proyectos!$AQ45="","",Portafolio_Proyectos!$D45),"")</f>
        <v/>
      </c>
      <c r="G135" s="5" t="str">
        <f>IFERROR(IF(Portafolio_Proyectos!$AQ45="","",Portafolio_Proyectos!$A45),"")</f>
        <v/>
      </c>
      <c r="H135" s="5" t="str">
        <f>IFERROR(IF(Portafolio_Proyectos!$AQ45="","",Portafolio_Proyectos!$E45),"")</f>
        <v/>
      </c>
    </row>
    <row r="136" spans="1:8" x14ac:dyDescent="0.35">
      <c r="A136" s="5" t="str">
        <f>IFERROR(IF(Portafolio_Proyectos!$AR45="","","CAP-"&amp;ROW()-1),"")</f>
        <v/>
      </c>
      <c r="B136" s="5" t="str">
        <f>IFERROR(IF(Portafolio_Proyectos!$AR45="","",Portafolio_Proyectos!$AR45),"")</f>
        <v/>
      </c>
      <c r="C136" s="5" t="str">
        <f>IFERROR(IF(Portafolio_Proyectos!$AR45="","","Distintiva"),"")</f>
        <v/>
      </c>
      <c r="D136" s="5" t="str">
        <f>IFERROR(IF(Portafolio_Proyectos!$AR45="","",Portafolio_Proyectos!$C45),"")</f>
        <v/>
      </c>
      <c r="E136" s="5" t="str">
        <f>IFERROR(IF(Portafolio_Proyectos!$AR45="","",Portafolio_Proyectos!$B45),"")</f>
        <v/>
      </c>
      <c r="F136" s="5" t="str">
        <f>IFERROR(IF(Portafolio_Proyectos!$AR45="","",Portafolio_Proyectos!$D45),"")</f>
        <v/>
      </c>
      <c r="G136" s="5" t="str">
        <f>IFERROR(IF(Portafolio_Proyectos!$AR45="","",Portafolio_Proyectos!$A45),"")</f>
        <v/>
      </c>
      <c r="H136" s="5" t="str">
        <f>IFERROR(IF(Portafolio_Proyectos!$AR45="","",Portafolio_Proyectos!$E45),"")</f>
        <v/>
      </c>
    </row>
    <row r="137" spans="1:8" x14ac:dyDescent="0.35">
      <c r="A137" s="5" t="str">
        <f>IFERROR(IF(Portafolio_Proyectos!$AP46="","","CAP-"&amp;ROW()-1),"")</f>
        <v/>
      </c>
      <c r="B137" s="5" t="str">
        <f>IFERROR(IF(Portafolio_Proyectos!$AP46="","",Portafolio_Proyectos!$AP46),"")</f>
        <v/>
      </c>
      <c r="C137" s="5" t="str">
        <f>IFERROR(IF(Portafolio_Proyectos!$AP46="","","Emergente"),"")</f>
        <v/>
      </c>
      <c r="D137" s="5" t="str">
        <f>IFERROR(IF(Portafolio_Proyectos!$AP46="","",Portafolio_Proyectos!$C46),"")</f>
        <v/>
      </c>
      <c r="E137" s="5" t="str">
        <f>IFERROR(IF(Portafolio_Proyectos!$AP46="","",Portafolio_Proyectos!$B46),"")</f>
        <v/>
      </c>
      <c r="F137" s="5" t="str">
        <f>IFERROR(IF(Portafolio_Proyectos!$AP46="","",Portafolio_Proyectos!$D46),"")</f>
        <v/>
      </c>
      <c r="G137" s="5" t="str">
        <f>IFERROR(IF(Portafolio_Proyectos!$AP46="","",Portafolio_Proyectos!$A46),"")</f>
        <v/>
      </c>
      <c r="H137" s="5" t="str">
        <f>IFERROR(IF(Portafolio_Proyectos!$AP46="","",Portafolio_Proyectos!$E46),"")</f>
        <v/>
      </c>
    </row>
    <row r="138" spans="1:8" x14ac:dyDescent="0.35">
      <c r="A138" s="5" t="str">
        <f>IFERROR(IF(Portafolio_Proyectos!$AQ46="","","CAP-"&amp;ROW()-1),"")</f>
        <v/>
      </c>
      <c r="B138" s="5" t="str">
        <f>IFERROR(IF(Portafolio_Proyectos!$AQ46="","",Portafolio_Proyectos!$AQ46),"")</f>
        <v/>
      </c>
      <c r="C138" s="5" t="str">
        <f>IFERROR(IF(Portafolio_Proyectos!$AQ46="","","Consolidada"),"")</f>
        <v/>
      </c>
      <c r="D138" s="5" t="str">
        <f>IFERROR(IF(Portafolio_Proyectos!$AQ46="","",Portafolio_Proyectos!$C46),"")</f>
        <v/>
      </c>
      <c r="E138" s="5" t="str">
        <f>IFERROR(IF(Portafolio_Proyectos!$AQ46="","",Portafolio_Proyectos!$B46),"")</f>
        <v/>
      </c>
      <c r="F138" s="5" t="str">
        <f>IFERROR(IF(Portafolio_Proyectos!$AQ46="","",Portafolio_Proyectos!$D46),"")</f>
        <v/>
      </c>
      <c r="G138" s="5" t="str">
        <f>IFERROR(IF(Portafolio_Proyectos!$AQ46="","",Portafolio_Proyectos!$A46),"")</f>
        <v/>
      </c>
      <c r="H138" s="5" t="str">
        <f>IFERROR(IF(Portafolio_Proyectos!$AQ46="","",Portafolio_Proyectos!$E46),"")</f>
        <v/>
      </c>
    </row>
    <row r="139" spans="1:8" x14ac:dyDescent="0.35">
      <c r="A139" s="5" t="str">
        <f>IFERROR(IF(Portafolio_Proyectos!$AR46="","","CAP-"&amp;ROW()-1),"")</f>
        <v/>
      </c>
      <c r="B139" s="5" t="str">
        <f>IFERROR(IF(Portafolio_Proyectos!$AR46="","",Portafolio_Proyectos!$AR46),"")</f>
        <v/>
      </c>
      <c r="C139" s="5" t="str">
        <f>IFERROR(IF(Portafolio_Proyectos!$AR46="","","Distintiva"),"")</f>
        <v/>
      </c>
      <c r="D139" s="5" t="str">
        <f>IFERROR(IF(Portafolio_Proyectos!$AR46="","",Portafolio_Proyectos!$C46),"")</f>
        <v/>
      </c>
      <c r="E139" s="5" t="str">
        <f>IFERROR(IF(Portafolio_Proyectos!$AR46="","",Portafolio_Proyectos!$B46),"")</f>
        <v/>
      </c>
      <c r="F139" s="5" t="str">
        <f>IFERROR(IF(Portafolio_Proyectos!$AR46="","",Portafolio_Proyectos!$D46),"")</f>
        <v/>
      </c>
      <c r="G139" s="5" t="str">
        <f>IFERROR(IF(Portafolio_Proyectos!$AR46="","",Portafolio_Proyectos!$A46),"")</f>
        <v/>
      </c>
      <c r="H139" s="5" t="str">
        <f>IFERROR(IF(Portafolio_Proyectos!$AR46="","",Portafolio_Proyectos!$E46),"")</f>
        <v/>
      </c>
    </row>
    <row r="140" spans="1:8" x14ac:dyDescent="0.35">
      <c r="A140" s="5" t="str">
        <f>IFERROR(IF(Portafolio_Proyectos!$AP47="","","CAP-"&amp;ROW()-1),"")</f>
        <v/>
      </c>
      <c r="B140" s="5" t="str">
        <f>IFERROR(IF(Portafolio_Proyectos!$AP47="","",Portafolio_Proyectos!$AP47),"")</f>
        <v/>
      </c>
      <c r="C140" s="5" t="str">
        <f>IFERROR(IF(Portafolio_Proyectos!$AP47="","","Emergente"),"")</f>
        <v/>
      </c>
      <c r="D140" s="5" t="str">
        <f>IFERROR(IF(Portafolio_Proyectos!$AP47="","",Portafolio_Proyectos!$C47),"")</f>
        <v/>
      </c>
      <c r="E140" s="5" t="str">
        <f>IFERROR(IF(Portafolio_Proyectos!$AP47="","",Portafolio_Proyectos!$B47),"")</f>
        <v/>
      </c>
      <c r="F140" s="5" t="str">
        <f>IFERROR(IF(Portafolio_Proyectos!$AP47="","",Portafolio_Proyectos!$D47),"")</f>
        <v/>
      </c>
      <c r="G140" s="5" t="str">
        <f>IFERROR(IF(Portafolio_Proyectos!$AP47="","",Portafolio_Proyectos!$A47),"")</f>
        <v/>
      </c>
      <c r="H140" s="5" t="str">
        <f>IFERROR(IF(Portafolio_Proyectos!$AP47="","",Portafolio_Proyectos!$E47),"")</f>
        <v/>
      </c>
    </row>
    <row r="141" spans="1:8" x14ac:dyDescent="0.35">
      <c r="A141" s="5" t="str">
        <f>IFERROR(IF(Portafolio_Proyectos!$AQ47="","","CAP-"&amp;ROW()-1),"")</f>
        <v/>
      </c>
      <c r="B141" s="5" t="str">
        <f>IFERROR(IF(Portafolio_Proyectos!$AQ47="","",Portafolio_Proyectos!$AQ47),"")</f>
        <v/>
      </c>
      <c r="C141" s="5" t="str">
        <f>IFERROR(IF(Portafolio_Proyectos!$AQ47="","","Consolidada"),"")</f>
        <v/>
      </c>
      <c r="D141" s="5" t="str">
        <f>IFERROR(IF(Portafolio_Proyectos!$AQ47="","",Portafolio_Proyectos!$C47),"")</f>
        <v/>
      </c>
      <c r="E141" s="5" t="str">
        <f>IFERROR(IF(Portafolio_Proyectos!$AQ47="","",Portafolio_Proyectos!$B47),"")</f>
        <v/>
      </c>
      <c r="F141" s="5" t="str">
        <f>IFERROR(IF(Portafolio_Proyectos!$AQ47="","",Portafolio_Proyectos!$D47),"")</f>
        <v/>
      </c>
      <c r="G141" s="5" t="str">
        <f>IFERROR(IF(Portafolio_Proyectos!$AQ47="","",Portafolio_Proyectos!$A47),"")</f>
        <v/>
      </c>
      <c r="H141" s="5" t="str">
        <f>IFERROR(IF(Portafolio_Proyectos!$AQ47="","",Portafolio_Proyectos!$E47),"")</f>
        <v/>
      </c>
    </row>
    <row r="142" spans="1:8" x14ac:dyDescent="0.35">
      <c r="A142" s="5" t="str">
        <f>IFERROR(IF(Portafolio_Proyectos!$AR47="","","CAP-"&amp;ROW()-1),"")</f>
        <v/>
      </c>
      <c r="B142" s="5" t="str">
        <f>IFERROR(IF(Portafolio_Proyectos!$AR47="","",Portafolio_Proyectos!$AR47),"")</f>
        <v/>
      </c>
      <c r="C142" s="5" t="str">
        <f>IFERROR(IF(Portafolio_Proyectos!$AR47="","","Distintiva"),"")</f>
        <v/>
      </c>
      <c r="D142" s="5" t="str">
        <f>IFERROR(IF(Portafolio_Proyectos!$AR47="","",Portafolio_Proyectos!$C47),"")</f>
        <v/>
      </c>
      <c r="E142" s="5" t="str">
        <f>IFERROR(IF(Portafolio_Proyectos!$AR47="","",Portafolio_Proyectos!$B47),"")</f>
        <v/>
      </c>
      <c r="F142" s="5" t="str">
        <f>IFERROR(IF(Portafolio_Proyectos!$AR47="","",Portafolio_Proyectos!$D47),"")</f>
        <v/>
      </c>
      <c r="G142" s="5" t="str">
        <f>IFERROR(IF(Portafolio_Proyectos!$AR47="","",Portafolio_Proyectos!$A47),"")</f>
        <v/>
      </c>
      <c r="H142" s="5" t="str">
        <f>IFERROR(IF(Portafolio_Proyectos!$AR47="","",Portafolio_Proyectos!$E47),"")</f>
        <v/>
      </c>
    </row>
    <row r="143" spans="1:8" x14ac:dyDescent="0.35">
      <c r="A143" s="5" t="str">
        <f>IFERROR(IF(Portafolio_Proyectos!$AP48="","","CAP-"&amp;ROW()-1),"")</f>
        <v/>
      </c>
      <c r="B143" s="5" t="str">
        <f>IFERROR(IF(Portafolio_Proyectos!$AP48="","",Portafolio_Proyectos!$AP48),"")</f>
        <v/>
      </c>
      <c r="C143" s="5" t="str">
        <f>IFERROR(IF(Portafolio_Proyectos!$AP48="","","Emergente"),"")</f>
        <v/>
      </c>
      <c r="D143" s="5" t="str">
        <f>IFERROR(IF(Portafolio_Proyectos!$AP48="","",Portafolio_Proyectos!$C48),"")</f>
        <v/>
      </c>
      <c r="E143" s="5" t="str">
        <f>IFERROR(IF(Portafolio_Proyectos!$AP48="","",Portafolio_Proyectos!$B48),"")</f>
        <v/>
      </c>
      <c r="F143" s="5" t="str">
        <f>IFERROR(IF(Portafolio_Proyectos!$AP48="","",Portafolio_Proyectos!$D48),"")</f>
        <v/>
      </c>
      <c r="G143" s="5" t="str">
        <f>IFERROR(IF(Portafolio_Proyectos!$AP48="","",Portafolio_Proyectos!$A48),"")</f>
        <v/>
      </c>
      <c r="H143" s="5" t="str">
        <f>IFERROR(IF(Portafolio_Proyectos!$AP48="","",Portafolio_Proyectos!$E48),"")</f>
        <v/>
      </c>
    </row>
    <row r="144" spans="1:8" x14ac:dyDescent="0.35">
      <c r="A144" s="5" t="str">
        <f>IFERROR(IF(Portafolio_Proyectos!$AQ48="","","CAP-"&amp;ROW()-1),"")</f>
        <v/>
      </c>
      <c r="B144" s="5" t="str">
        <f>IFERROR(IF(Portafolio_Proyectos!$AQ48="","",Portafolio_Proyectos!$AQ48),"")</f>
        <v/>
      </c>
      <c r="C144" s="5" t="str">
        <f>IFERROR(IF(Portafolio_Proyectos!$AQ48="","","Consolidada"),"")</f>
        <v/>
      </c>
      <c r="D144" s="5" t="str">
        <f>IFERROR(IF(Portafolio_Proyectos!$AQ48="","",Portafolio_Proyectos!$C48),"")</f>
        <v/>
      </c>
      <c r="E144" s="5" t="str">
        <f>IFERROR(IF(Portafolio_Proyectos!$AQ48="","",Portafolio_Proyectos!$B48),"")</f>
        <v/>
      </c>
      <c r="F144" s="5" t="str">
        <f>IFERROR(IF(Portafolio_Proyectos!$AQ48="","",Portafolio_Proyectos!$D48),"")</f>
        <v/>
      </c>
      <c r="G144" s="5" t="str">
        <f>IFERROR(IF(Portafolio_Proyectos!$AQ48="","",Portafolio_Proyectos!$A48),"")</f>
        <v/>
      </c>
      <c r="H144" s="5" t="str">
        <f>IFERROR(IF(Portafolio_Proyectos!$AQ48="","",Portafolio_Proyectos!$E48),"")</f>
        <v/>
      </c>
    </row>
    <row r="145" spans="1:8" x14ac:dyDescent="0.35">
      <c r="A145" s="5" t="str">
        <f>IFERROR(IF(Portafolio_Proyectos!$AR48="","","CAP-"&amp;ROW()-1),"")</f>
        <v/>
      </c>
      <c r="B145" s="5" t="str">
        <f>IFERROR(IF(Portafolio_Proyectos!$AR48="","",Portafolio_Proyectos!$AR48),"")</f>
        <v/>
      </c>
      <c r="C145" s="5" t="str">
        <f>IFERROR(IF(Portafolio_Proyectos!$AR48="","","Distintiva"),"")</f>
        <v/>
      </c>
      <c r="D145" s="5" t="str">
        <f>IFERROR(IF(Portafolio_Proyectos!$AR48="","",Portafolio_Proyectos!$C48),"")</f>
        <v/>
      </c>
      <c r="E145" s="5" t="str">
        <f>IFERROR(IF(Portafolio_Proyectos!$AR48="","",Portafolio_Proyectos!$B48),"")</f>
        <v/>
      </c>
      <c r="F145" s="5" t="str">
        <f>IFERROR(IF(Portafolio_Proyectos!$AR48="","",Portafolio_Proyectos!$D48),"")</f>
        <v/>
      </c>
      <c r="G145" s="5" t="str">
        <f>IFERROR(IF(Portafolio_Proyectos!$AR48="","",Portafolio_Proyectos!$A48),"")</f>
        <v/>
      </c>
      <c r="H145" s="5" t="str">
        <f>IFERROR(IF(Portafolio_Proyectos!$AR48="","",Portafolio_Proyectos!$E48),"")</f>
        <v/>
      </c>
    </row>
    <row r="146" spans="1:8" x14ac:dyDescent="0.35">
      <c r="A146" s="5" t="str">
        <f>IFERROR(IF(Portafolio_Proyectos!$AP49="","","CAP-"&amp;ROW()-1),"")</f>
        <v/>
      </c>
      <c r="B146" s="5" t="str">
        <f>IFERROR(IF(Portafolio_Proyectos!$AP49="","",Portafolio_Proyectos!$AP49),"")</f>
        <v/>
      </c>
      <c r="C146" s="5" t="str">
        <f>IFERROR(IF(Portafolio_Proyectos!$AP49="","","Emergente"),"")</f>
        <v/>
      </c>
      <c r="D146" s="5" t="str">
        <f>IFERROR(IF(Portafolio_Proyectos!$AP49="","",Portafolio_Proyectos!$C49),"")</f>
        <v/>
      </c>
      <c r="E146" s="5" t="str">
        <f>IFERROR(IF(Portafolio_Proyectos!$AP49="","",Portafolio_Proyectos!$B49),"")</f>
        <v/>
      </c>
      <c r="F146" s="5" t="str">
        <f>IFERROR(IF(Portafolio_Proyectos!$AP49="","",Portafolio_Proyectos!$D49),"")</f>
        <v/>
      </c>
      <c r="G146" s="5" t="str">
        <f>IFERROR(IF(Portafolio_Proyectos!$AP49="","",Portafolio_Proyectos!$A49),"")</f>
        <v/>
      </c>
      <c r="H146" s="5" t="str">
        <f>IFERROR(IF(Portafolio_Proyectos!$AP49="","",Portafolio_Proyectos!$E49),"")</f>
        <v/>
      </c>
    </row>
    <row r="147" spans="1:8" x14ac:dyDescent="0.35">
      <c r="A147" s="5" t="str">
        <f>IFERROR(IF(Portafolio_Proyectos!$AQ49="","","CAP-"&amp;ROW()-1),"")</f>
        <v/>
      </c>
      <c r="B147" s="5" t="str">
        <f>IFERROR(IF(Portafolio_Proyectos!$AQ49="","",Portafolio_Proyectos!$AQ49),"")</f>
        <v/>
      </c>
      <c r="C147" s="5" t="str">
        <f>IFERROR(IF(Portafolio_Proyectos!$AQ49="","","Consolidada"),"")</f>
        <v/>
      </c>
      <c r="D147" s="5" t="str">
        <f>IFERROR(IF(Portafolio_Proyectos!$AQ49="","",Portafolio_Proyectos!$C49),"")</f>
        <v/>
      </c>
      <c r="E147" s="5" t="str">
        <f>IFERROR(IF(Portafolio_Proyectos!$AQ49="","",Portafolio_Proyectos!$B49),"")</f>
        <v/>
      </c>
      <c r="F147" s="5" t="str">
        <f>IFERROR(IF(Portafolio_Proyectos!$AQ49="","",Portafolio_Proyectos!$D49),"")</f>
        <v/>
      </c>
      <c r="G147" s="5" t="str">
        <f>IFERROR(IF(Portafolio_Proyectos!$AQ49="","",Portafolio_Proyectos!$A49),"")</f>
        <v/>
      </c>
      <c r="H147" s="5" t="str">
        <f>IFERROR(IF(Portafolio_Proyectos!$AQ49="","",Portafolio_Proyectos!$E49),"")</f>
        <v/>
      </c>
    </row>
    <row r="148" spans="1:8" x14ac:dyDescent="0.35">
      <c r="A148" s="5" t="str">
        <f>IFERROR(IF(Portafolio_Proyectos!$AR49="","","CAP-"&amp;ROW()-1),"")</f>
        <v/>
      </c>
      <c r="B148" s="5" t="str">
        <f>IFERROR(IF(Portafolio_Proyectos!$AR49="","",Portafolio_Proyectos!$AR49),"")</f>
        <v/>
      </c>
      <c r="C148" s="5" t="str">
        <f>IFERROR(IF(Portafolio_Proyectos!$AR49="","","Distintiva"),"")</f>
        <v/>
      </c>
      <c r="D148" s="5" t="str">
        <f>IFERROR(IF(Portafolio_Proyectos!$AR49="","",Portafolio_Proyectos!$C49),"")</f>
        <v/>
      </c>
      <c r="E148" s="5" t="str">
        <f>IFERROR(IF(Portafolio_Proyectos!$AR49="","",Portafolio_Proyectos!$B49),"")</f>
        <v/>
      </c>
      <c r="F148" s="5" t="str">
        <f>IFERROR(IF(Portafolio_Proyectos!$AR49="","",Portafolio_Proyectos!$D49),"")</f>
        <v/>
      </c>
      <c r="G148" s="5" t="str">
        <f>IFERROR(IF(Portafolio_Proyectos!$AR49="","",Portafolio_Proyectos!$A49),"")</f>
        <v/>
      </c>
      <c r="H148" s="5" t="str">
        <f>IFERROR(IF(Portafolio_Proyectos!$AR49="","",Portafolio_Proyectos!$E49),"")</f>
        <v/>
      </c>
    </row>
    <row r="149" spans="1:8" x14ac:dyDescent="0.35">
      <c r="A149" s="5" t="str">
        <f>IFERROR(IF(Portafolio_Proyectos!$AP50="","","CAP-"&amp;ROW()-1),"")</f>
        <v/>
      </c>
      <c r="B149" s="5" t="str">
        <f>IFERROR(IF(Portafolio_Proyectos!$AP50="","",Portafolio_Proyectos!$AP50),"")</f>
        <v/>
      </c>
      <c r="C149" s="5" t="str">
        <f>IFERROR(IF(Portafolio_Proyectos!$AP50="","","Emergente"),"")</f>
        <v/>
      </c>
      <c r="D149" s="5" t="str">
        <f>IFERROR(IF(Portafolio_Proyectos!$AP50="","",Portafolio_Proyectos!$C50),"")</f>
        <v/>
      </c>
      <c r="E149" s="5" t="str">
        <f>IFERROR(IF(Portafolio_Proyectos!$AP50="","",Portafolio_Proyectos!$B50),"")</f>
        <v/>
      </c>
      <c r="F149" s="5" t="str">
        <f>IFERROR(IF(Portafolio_Proyectos!$AP50="","",Portafolio_Proyectos!$D50),"")</f>
        <v/>
      </c>
      <c r="G149" s="5" t="str">
        <f>IFERROR(IF(Portafolio_Proyectos!$AP50="","",Portafolio_Proyectos!$A50),"")</f>
        <v/>
      </c>
      <c r="H149" s="5" t="str">
        <f>IFERROR(IF(Portafolio_Proyectos!$AP50="","",Portafolio_Proyectos!$E50),"")</f>
        <v/>
      </c>
    </row>
    <row r="150" spans="1:8" x14ac:dyDescent="0.35">
      <c r="A150" s="5" t="str">
        <f>IFERROR(IF(Portafolio_Proyectos!$AQ50="","","CAP-"&amp;ROW()-1),"")</f>
        <v/>
      </c>
      <c r="B150" s="5" t="str">
        <f>IFERROR(IF(Portafolio_Proyectos!$AQ50="","",Portafolio_Proyectos!$AQ50),"")</f>
        <v/>
      </c>
      <c r="C150" s="5" t="str">
        <f>IFERROR(IF(Portafolio_Proyectos!$AQ50="","","Consolidada"),"")</f>
        <v/>
      </c>
      <c r="D150" s="5" t="str">
        <f>IFERROR(IF(Portafolio_Proyectos!$AQ50="","",Portafolio_Proyectos!$C50),"")</f>
        <v/>
      </c>
      <c r="E150" s="5" t="str">
        <f>IFERROR(IF(Portafolio_Proyectos!$AQ50="","",Portafolio_Proyectos!$B50),"")</f>
        <v/>
      </c>
      <c r="F150" s="5" t="str">
        <f>IFERROR(IF(Portafolio_Proyectos!$AQ50="","",Portafolio_Proyectos!$D50),"")</f>
        <v/>
      </c>
      <c r="G150" s="5" t="str">
        <f>IFERROR(IF(Portafolio_Proyectos!$AQ50="","",Portafolio_Proyectos!$A50),"")</f>
        <v/>
      </c>
      <c r="H150" s="5" t="str">
        <f>IFERROR(IF(Portafolio_Proyectos!$AQ50="","",Portafolio_Proyectos!$E50),"")</f>
        <v/>
      </c>
    </row>
    <row r="151" spans="1:8" x14ac:dyDescent="0.35">
      <c r="A151" s="5" t="str">
        <f>IFERROR(IF(Portafolio_Proyectos!$AR50="","","CAP-"&amp;ROW()-1),"")</f>
        <v/>
      </c>
      <c r="B151" s="5" t="str">
        <f>IFERROR(IF(Portafolio_Proyectos!$AR50="","",Portafolio_Proyectos!$AR50),"")</f>
        <v/>
      </c>
      <c r="C151" s="5" t="str">
        <f>IFERROR(IF(Portafolio_Proyectos!$AR50="","","Distintiva"),"")</f>
        <v/>
      </c>
      <c r="D151" s="5" t="str">
        <f>IFERROR(IF(Portafolio_Proyectos!$AR50="","",Portafolio_Proyectos!$C50),"")</f>
        <v/>
      </c>
      <c r="E151" s="5" t="str">
        <f>IFERROR(IF(Portafolio_Proyectos!$AR50="","",Portafolio_Proyectos!$B50),"")</f>
        <v/>
      </c>
      <c r="F151" s="5" t="str">
        <f>IFERROR(IF(Portafolio_Proyectos!$AR50="","",Portafolio_Proyectos!$D50),"")</f>
        <v/>
      </c>
      <c r="G151" s="5" t="str">
        <f>IFERROR(IF(Portafolio_Proyectos!$AR50="","",Portafolio_Proyectos!$A50),"")</f>
        <v/>
      </c>
      <c r="H151" s="5" t="str">
        <f>IFERROR(IF(Portafolio_Proyectos!$AR50="","",Portafolio_Proyectos!$E50),"")</f>
        <v/>
      </c>
    </row>
    <row r="152" spans="1:8" x14ac:dyDescent="0.35">
      <c r="A152" s="5" t="str">
        <f>IFERROR(IF(Portafolio_Proyectos!$AP51="","","CAP-"&amp;ROW()-1),"")</f>
        <v/>
      </c>
      <c r="B152" s="5" t="str">
        <f>IFERROR(IF(Portafolio_Proyectos!$AP51="","",Portafolio_Proyectos!$AP51),"")</f>
        <v/>
      </c>
      <c r="C152" s="5" t="str">
        <f>IFERROR(IF(Portafolio_Proyectos!$AP51="","","Emergente"),"")</f>
        <v/>
      </c>
      <c r="D152" s="5" t="str">
        <f>IFERROR(IF(Portafolio_Proyectos!$AP51="","",Portafolio_Proyectos!$C51),"")</f>
        <v/>
      </c>
      <c r="E152" s="5" t="str">
        <f>IFERROR(IF(Portafolio_Proyectos!$AP51="","",Portafolio_Proyectos!$B51),"")</f>
        <v/>
      </c>
      <c r="F152" s="5" t="str">
        <f>IFERROR(IF(Portafolio_Proyectos!$AP51="","",Portafolio_Proyectos!$D51),"")</f>
        <v/>
      </c>
      <c r="G152" s="5" t="str">
        <f>IFERROR(IF(Portafolio_Proyectos!$AP51="","",Portafolio_Proyectos!$A51),"")</f>
        <v/>
      </c>
      <c r="H152" s="5" t="str">
        <f>IFERROR(IF(Portafolio_Proyectos!$AP51="","",Portafolio_Proyectos!$E51),"")</f>
        <v/>
      </c>
    </row>
    <row r="153" spans="1:8" x14ac:dyDescent="0.35">
      <c r="A153" s="5" t="str">
        <f>IFERROR(IF(Portafolio_Proyectos!$AQ51="","","CAP-"&amp;ROW()-1),"")</f>
        <v/>
      </c>
      <c r="B153" s="5" t="str">
        <f>IFERROR(IF(Portafolio_Proyectos!$AQ51="","",Portafolio_Proyectos!$AQ51),"")</f>
        <v/>
      </c>
      <c r="C153" s="5" t="str">
        <f>IFERROR(IF(Portafolio_Proyectos!$AQ51="","","Consolidada"),"")</f>
        <v/>
      </c>
      <c r="D153" s="5" t="str">
        <f>IFERROR(IF(Portafolio_Proyectos!$AQ51="","",Portafolio_Proyectos!$C51),"")</f>
        <v/>
      </c>
      <c r="E153" s="5" t="str">
        <f>IFERROR(IF(Portafolio_Proyectos!$AQ51="","",Portafolio_Proyectos!$B51),"")</f>
        <v/>
      </c>
      <c r="F153" s="5" t="str">
        <f>IFERROR(IF(Portafolio_Proyectos!$AQ51="","",Portafolio_Proyectos!$D51),"")</f>
        <v/>
      </c>
      <c r="G153" s="5" t="str">
        <f>IFERROR(IF(Portafolio_Proyectos!$AQ51="","",Portafolio_Proyectos!$A51),"")</f>
        <v/>
      </c>
      <c r="H153" s="5" t="str">
        <f>IFERROR(IF(Portafolio_Proyectos!$AQ51="","",Portafolio_Proyectos!$E51),"")</f>
        <v/>
      </c>
    </row>
    <row r="154" spans="1:8" x14ac:dyDescent="0.35">
      <c r="A154" s="5" t="str">
        <f>IFERROR(IF(Portafolio_Proyectos!$AR51="","","CAP-"&amp;ROW()-1),"")</f>
        <v/>
      </c>
      <c r="B154" s="5" t="str">
        <f>IFERROR(IF(Portafolio_Proyectos!$AR51="","",Portafolio_Proyectos!$AR51),"")</f>
        <v/>
      </c>
      <c r="C154" s="5" t="str">
        <f>IFERROR(IF(Portafolio_Proyectos!$AR51="","","Distintiva"),"")</f>
        <v/>
      </c>
      <c r="D154" s="5" t="str">
        <f>IFERROR(IF(Portafolio_Proyectos!$AR51="","",Portafolio_Proyectos!$C51),"")</f>
        <v/>
      </c>
      <c r="E154" s="5" t="str">
        <f>IFERROR(IF(Portafolio_Proyectos!$AR51="","",Portafolio_Proyectos!$B51),"")</f>
        <v/>
      </c>
      <c r="F154" s="5" t="str">
        <f>IFERROR(IF(Portafolio_Proyectos!$AR51="","",Portafolio_Proyectos!$D51),"")</f>
        <v/>
      </c>
      <c r="G154" s="5" t="str">
        <f>IFERROR(IF(Portafolio_Proyectos!$AR51="","",Portafolio_Proyectos!$A51),"")</f>
        <v/>
      </c>
      <c r="H154" s="5" t="str">
        <f>IFERROR(IF(Portafolio_Proyectos!$AR51="","",Portafolio_Proyectos!$E51),"")</f>
        <v/>
      </c>
    </row>
    <row r="155" spans="1:8" x14ac:dyDescent="0.35">
      <c r="A155" s="5" t="str">
        <f>IFERROR(IF(Portafolio_Proyectos!$AP52="","","CAP-"&amp;ROW()-1),"")</f>
        <v/>
      </c>
      <c r="B155" s="5" t="str">
        <f>IFERROR(IF(Portafolio_Proyectos!$AP52="","",Portafolio_Proyectos!$AP52),"")</f>
        <v/>
      </c>
      <c r="C155" s="5" t="str">
        <f>IFERROR(IF(Portafolio_Proyectos!$AP52="","","Emergente"),"")</f>
        <v/>
      </c>
      <c r="D155" s="5" t="str">
        <f>IFERROR(IF(Portafolio_Proyectos!$AP52="","",Portafolio_Proyectos!$C52),"")</f>
        <v/>
      </c>
      <c r="E155" s="5" t="str">
        <f>IFERROR(IF(Portafolio_Proyectos!$AP52="","",Portafolio_Proyectos!$B52),"")</f>
        <v/>
      </c>
      <c r="F155" s="5" t="str">
        <f>IFERROR(IF(Portafolio_Proyectos!$AP52="","",Portafolio_Proyectos!$D52),"")</f>
        <v/>
      </c>
      <c r="G155" s="5" t="str">
        <f>IFERROR(IF(Portafolio_Proyectos!$AP52="","",Portafolio_Proyectos!$A52),"")</f>
        <v/>
      </c>
      <c r="H155" s="5" t="str">
        <f>IFERROR(IF(Portafolio_Proyectos!$AP52="","",Portafolio_Proyectos!$E52),"")</f>
        <v/>
      </c>
    </row>
    <row r="156" spans="1:8" x14ac:dyDescent="0.35">
      <c r="A156" s="5" t="str">
        <f>IFERROR(IF(Portafolio_Proyectos!$AQ52="","","CAP-"&amp;ROW()-1),"")</f>
        <v/>
      </c>
      <c r="B156" s="5" t="str">
        <f>IFERROR(IF(Portafolio_Proyectos!$AQ52="","",Portafolio_Proyectos!$AQ52),"")</f>
        <v/>
      </c>
      <c r="C156" s="5" t="str">
        <f>IFERROR(IF(Portafolio_Proyectos!$AQ52="","","Consolidada"),"")</f>
        <v/>
      </c>
      <c r="D156" s="5" t="str">
        <f>IFERROR(IF(Portafolio_Proyectos!$AQ52="","",Portafolio_Proyectos!$C52),"")</f>
        <v/>
      </c>
      <c r="E156" s="5" t="str">
        <f>IFERROR(IF(Portafolio_Proyectos!$AQ52="","",Portafolio_Proyectos!$B52),"")</f>
        <v/>
      </c>
      <c r="F156" s="5" t="str">
        <f>IFERROR(IF(Portafolio_Proyectos!$AQ52="","",Portafolio_Proyectos!$D52),"")</f>
        <v/>
      </c>
      <c r="G156" s="5" t="str">
        <f>IFERROR(IF(Portafolio_Proyectos!$AQ52="","",Portafolio_Proyectos!$A52),"")</f>
        <v/>
      </c>
      <c r="H156" s="5" t="str">
        <f>IFERROR(IF(Portafolio_Proyectos!$AQ52="","",Portafolio_Proyectos!$E52),"")</f>
        <v/>
      </c>
    </row>
    <row r="157" spans="1:8" x14ac:dyDescent="0.35">
      <c r="A157" s="5" t="str">
        <f>IFERROR(IF(Portafolio_Proyectos!$AR52="","","CAP-"&amp;ROW()-1),"")</f>
        <v/>
      </c>
      <c r="B157" s="5" t="str">
        <f>IFERROR(IF(Portafolio_Proyectos!$AR52="","",Portafolio_Proyectos!$AR52),"")</f>
        <v/>
      </c>
      <c r="C157" s="5" t="str">
        <f>IFERROR(IF(Portafolio_Proyectos!$AR52="","","Distintiva"),"")</f>
        <v/>
      </c>
      <c r="D157" s="5" t="str">
        <f>IFERROR(IF(Portafolio_Proyectos!$AR52="","",Portafolio_Proyectos!$C52),"")</f>
        <v/>
      </c>
      <c r="E157" s="5" t="str">
        <f>IFERROR(IF(Portafolio_Proyectos!$AR52="","",Portafolio_Proyectos!$B52),"")</f>
        <v/>
      </c>
      <c r="F157" s="5" t="str">
        <f>IFERROR(IF(Portafolio_Proyectos!$AR52="","",Portafolio_Proyectos!$D52),"")</f>
        <v/>
      </c>
      <c r="G157" s="5" t="str">
        <f>IFERROR(IF(Portafolio_Proyectos!$AR52="","",Portafolio_Proyectos!$A52),"")</f>
        <v/>
      </c>
      <c r="H157" s="5" t="str">
        <f>IFERROR(IF(Portafolio_Proyectos!$AR52="","",Portafolio_Proyectos!$E52),"")</f>
        <v/>
      </c>
    </row>
    <row r="158" spans="1:8" x14ac:dyDescent="0.35">
      <c r="A158" s="5" t="str">
        <f>IFERROR(IF(Portafolio_Proyectos!$AP53="","","CAP-"&amp;ROW()-1),"")</f>
        <v/>
      </c>
      <c r="B158" s="5" t="str">
        <f>IFERROR(IF(Portafolio_Proyectos!$AP53="","",Portafolio_Proyectos!$AP53),"")</f>
        <v/>
      </c>
      <c r="C158" s="5" t="str">
        <f>IFERROR(IF(Portafolio_Proyectos!$AP53="","","Emergente"),"")</f>
        <v/>
      </c>
      <c r="D158" s="5" t="str">
        <f>IFERROR(IF(Portafolio_Proyectos!$AP53="","",Portafolio_Proyectos!$C53),"")</f>
        <v/>
      </c>
      <c r="E158" s="5" t="str">
        <f>IFERROR(IF(Portafolio_Proyectos!$AP53="","",Portafolio_Proyectos!$B53),"")</f>
        <v/>
      </c>
      <c r="F158" s="5" t="str">
        <f>IFERROR(IF(Portafolio_Proyectos!$AP53="","",Portafolio_Proyectos!$D53),"")</f>
        <v/>
      </c>
      <c r="G158" s="5" t="str">
        <f>IFERROR(IF(Portafolio_Proyectos!$AP53="","",Portafolio_Proyectos!$A53),"")</f>
        <v/>
      </c>
      <c r="H158" s="5" t="str">
        <f>IFERROR(IF(Portafolio_Proyectos!$AP53="","",Portafolio_Proyectos!$E53),"")</f>
        <v/>
      </c>
    </row>
    <row r="159" spans="1:8" x14ac:dyDescent="0.35">
      <c r="A159" s="5" t="str">
        <f>IFERROR(IF(Portafolio_Proyectos!$AQ53="","","CAP-"&amp;ROW()-1),"")</f>
        <v/>
      </c>
      <c r="B159" s="5" t="str">
        <f>IFERROR(IF(Portafolio_Proyectos!$AQ53="","",Portafolio_Proyectos!$AQ53),"")</f>
        <v/>
      </c>
      <c r="C159" s="5" t="str">
        <f>IFERROR(IF(Portafolio_Proyectos!$AQ53="","","Consolidada"),"")</f>
        <v/>
      </c>
      <c r="D159" s="5" t="str">
        <f>IFERROR(IF(Portafolio_Proyectos!$AQ53="","",Portafolio_Proyectos!$C53),"")</f>
        <v/>
      </c>
      <c r="E159" s="5" t="str">
        <f>IFERROR(IF(Portafolio_Proyectos!$AQ53="","",Portafolio_Proyectos!$B53),"")</f>
        <v/>
      </c>
      <c r="F159" s="5" t="str">
        <f>IFERROR(IF(Portafolio_Proyectos!$AQ53="","",Portafolio_Proyectos!$D53),"")</f>
        <v/>
      </c>
      <c r="G159" s="5" t="str">
        <f>IFERROR(IF(Portafolio_Proyectos!$AQ53="","",Portafolio_Proyectos!$A53),"")</f>
        <v/>
      </c>
      <c r="H159" s="5" t="str">
        <f>IFERROR(IF(Portafolio_Proyectos!$AQ53="","",Portafolio_Proyectos!$E53),"")</f>
        <v/>
      </c>
    </row>
    <row r="160" spans="1:8" x14ac:dyDescent="0.35">
      <c r="A160" s="5" t="str">
        <f>IFERROR(IF(Portafolio_Proyectos!$AR53="","","CAP-"&amp;ROW()-1),"")</f>
        <v/>
      </c>
      <c r="B160" s="5" t="str">
        <f>IFERROR(IF(Portafolio_Proyectos!$AR53="","",Portafolio_Proyectos!$AR53),"")</f>
        <v/>
      </c>
      <c r="C160" s="5" t="str">
        <f>IFERROR(IF(Portafolio_Proyectos!$AR53="","","Distintiva"),"")</f>
        <v/>
      </c>
      <c r="D160" s="5" t="str">
        <f>IFERROR(IF(Portafolio_Proyectos!$AR53="","",Portafolio_Proyectos!$C53),"")</f>
        <v/>
      </c>
      <c r="E160" s="5" t="str">
        <f>IFERROR(IF(Portafolio_Proyectos!$AR53="","",Portafolio_Proyectos!$B53),"")</f>
        <v/>
      </c>
      <c r="F160" s="5" t="str">
        <f>IFERROR(IF(Portafolio_Proyectos!$AR53="","",Portafolio_Proyectos!$D53),"")</f>
        <v/>
      </c>
      <c r="G160" s="5" t="str">
        <f>IFERROR(IF(Portafolio_Proyectos!$AR53="","",Portafolio_Proyectos!$A53),"")</f>
        <v/>
      </c>
      <c r="H160" s="5" t="str">
        <f>IFERROR(IF(Portafolio_Proyectos!$AR53="","",Portafolio_Proyectos!$E53),"")</f>
        <v/>
      </c>
    </row>
    <row r="161" spans="1:8" x14ac:dyDescent="0.35">
      <c r="A161" s="5" t="str">
        <f>IFERROR(IF(Portafolio_Proyectos!$AP54="","","CAP-"&amp;ROW()-1),"")</f>
        <v/>
      </c>
      <c r="B161" s="5" t="str">
        <f>IFERROR(IF(Portafolio_Proyectos!$AP54="","",Portafolio_Proyectos!$AP54),"")</f>
        <v/>
      </c>
      <c r="C161" s="5" t="str">
        <f>IFERROR(IF(Portafolio_Proyectos!$AP54="","","Emergente"),"")</f>
        <v/>
      </c>
      <c r="D161" s="5" t="str">
        <f>IFERROR(IF(Portafolio_Proyectos!$AP54="","",Portafolio_Proyectos!$C54),"")</f>
        <v/>
      </c>
      <c r="E161" s="5" t="str">
        <f>IFERROR(IF(Portafolio_Proyectos!$AP54="","",Portafolio_Proyectos!$B54),"")</f>
        <v/>
      </c>
      <c r="F161" s="5" t="str">
        <f>IFERROR(IF(Portafolio_Proyectos!$AP54="","",Portafolio_Proyectos!$D54),"")</f>
        <v/>
      </c>
      <c r="G161" s="5" t="str">
        <f>IFERROR(IF(Portafolio_Proyectos!$AP54="","",Portafolio_Proyectos!$A54),"")</f>
        <v/>
      </c>
      <c r="H161" s="5" t="str">
        <f>IFERROR(IF(Portafolio_Proyectos!$AP54="","",Portafolio_Proyectos!$E54),"")</f>
        <v/>
      </c>
    </row>
    <row r="162" spans="1:8" x14ac:dyDescent="0.35">
      <c r="A162" s="5" t="str">
        <f>IFERROR(IF(Portafolio_Proyectos!$AQ54="","","CAP-"&amp;ROW()-1),"")</f>
        <v/>
      </c>
      <c r="B162" s="5" t="str">
        <f>IFERROR(IF(Portafolio_Proyectos!$AQ54="","",Portafolio_Proyectos!$AQ54),"")</f>
        <v/>
      </c>
      <c r="C162" s="5" t="str">
        <f>IFERROR(IF(Portafolio_Proyectos!$AQ54="","","Consolidada"),"")</f>
        <v/>
      </c>
      <c r="D162" s="5" t="str">
        <f>IFERROR(IF(Portafolio_Proyectos!$AQ54="","",Portafolio_Proyectos!$C54),"")</f>
        <v/>
      </c>
      <c r="E162" s="5" t="str">
        <f>IFERROR(IF(Portafolio_Proyectos!$AQ54="","",Portafolio_Proyectos!$B54),"")</f>
        <v/>
      </c>
      <c r="F162" s="5" t="str">
        <f>IFERROR(IF(Portafolio_Proyectos!$AQ54="","",Portafolio_Proyectos!$D54),"")</f>
        <v/>
      </c>
      <c r="G162" s="5" t="str">
        <f>IFERROR(IF(Portafolio_Proyectos!$AQ54="","",Portafolio_Proyectos!$A54),"")</f>
        <v/>
      </c>
      <c r="H162" s="5" t="str">
        <f>IFERROR(IF(Portafolio_Proyectos!$AQ54="","",Portafolio_Proyectos!$E54),"")</f>
        <v/>
      </c>
    </row>
    <row r="163" spans="1:8" x14ac:dyDescent="0.35">
      <c r="A163" s="5" t="str">
        <f>IFERROR(IF(Portafolio_Proyectos!$AR54="","","CAP-"&amp;ROW()-1),"")</f>
        <v/>
      </c>
      <c r="B163" s="5" t="str">
        <f>IFERROR(IF(Portafolio_Proyectos!$AR54="","",Portafolio_Proyectos!$AR54),"")</f>
        <v/>
      </c>
      <c r="C163" s="5" t="str">
        <f>IFERROR(IF(Portafolio_Proyectos!$AR54="","","Distintiva"),"")</f>
        <v/>
      </c>
      <c r="D163" s="5" t="str">
        <f>IFERROR(IF(Portafolio_Proyectos!$AR54="","",Portafolio_Proyectos!$C54),"")</f>
        <v/>
      </c>
      <c r="E163" s="5" t="str">
        <f>IFERROR(IF(Portafolio_Proyectos!$AR54="","",Portafolio_Proyectos!$B54),"")</f>
        <v/>
      </c>
      <c r="F163" s="5" t="str">
        <f>IFERROR(IF(Portafolio_Proyectos!$AR54="","",Portafolio_Proyectos!$D54),"")</f>
        <v/>
      </c>
      <c r="G163" s="5" t="str">
        <f>IFERROR(IF(Portafolio_Proyectos!$AR54="","",Portafolio_Proyectos!$A54),"")</f>
        <v/>
      </c>
      <c r="H163" s="5" t="str">
        <f>IFERROR(IF(Portafolio_Proyectos!$AR54="","",Portafolio_Proyectos!$E54),"")</f>
        <v/>
      </c>
    </row>
    <row r="164" spans="1:8" x14ac:dyDescent="0.35">
      <c r="A164" s="5" t="str">
        <f>IFERROR(IF(Portafolio_Proyectos!$AP55="","","CAP-"&amp;ROW()-1),"")</f>
        <v/>
      </c>
      <c r="B164" s="5" t="str">
        <f>IFERROR(IF(Portafolio_Proyectos!$AP55="","",Portafolio_Proyectos!$AP55),"")</f>
        <v/>
      </c>
      <c r="C164" s="5" t="str">
        <f>IFERROR(IF(Portafolio_Proyectos!$AP55="","","Emergente"),"")</f>
        <v/>
      </c>
      <c r="D164" s="5" t="str">
        <f>IFERROR(IF(Portafolio_Proyectos!$AP55="","",Portafolio_Proyectos!$C55),"")</f>
        <v/>
      </c>
      <c r="E164" s="5" t="str">
        <f>IFERROR(IF(Portafolio_Proyectos!$AP55="","",Portafolio_Proyectos!$B55),"")</f>
        <v/>
      </c>
      <c r="F164" s="5" t="str">
        <f>IFERROR(IF(Portafolio_Proyectos!$AP55="","",Portafolio_Proyectos!$D55),"")</f>
        <v/>
      </c>
      <c r="G164" s="5" t="str">
        <f>IFERROR(IF(Portafolio_Proyectos!$AP55="","",Portafolio_Proyectos!$A55),"")</f>
        <v/>
      </c>
      <c r="H164" s="5" t="str">
        <f>IFERROR(IF(Portafolio_Proyectos!$AP55="","",Portafolio_Proyectos!$E55),"")</f>
        <v/>
      </c>
    </row>
    <row r="165" spans="1:8" x14ac:dyDescent="0.35">
      <c r="A165" s="5" t="str">
        <f>IFERROR(IF(Portafolio_Proyectos!$AQ55="","","CAP-"&amp;ROW()-1),"")</f>
        <v/>
      </c>
      <c r="B165" s="5" t="str">
        <f>IFERROR(IF(Portafolio_Proyectos!$AQ55="","",Portafolio_Proyectos!$AQ55),"")</f>
        <v/>
      </c>
      <c r="C165" s="5" t="str">
        <f>IFERROR(IF(Portafolio_Proyectos!$AQ55="","","Consolidada"),"")</f>
        <v/>
      </c>
      <c r="D165" s="5" t="str">
        <f>IFERROR(IF(Portafolio_Proyectos!$AQ55="","",Portafolio_Proyectos!$C55),"")</f>
        <v/>
      </c>
      <c r="E165" s="5" t="str">
        <f>IFERROR(IF(Portafolio_Proyectos!$AQ55="","",Portafolio_Proyectos!$B55),"")</f>
        <v/>
      </c>
      <c r="F165" s="5" t="str">
        <f>IFERROR(IF(Portafolio_Proyectos!$AQ55="","",Portafolio_Proyectos!$D55),"")</f>
        <v/>
      </c>
      <c r="G165" s="5" t="str">
        <f>IFERROR(IF(Portafolio_Proyectos!$AQ55="","",Portafolio_Proyectos!$A55),"")</f>
        <v/>
      </c>
      <c r="H165" s="5" t="str">
        <f>IFERROR(IF(Portafolio_Proyectos!$AQ55="","",Portafolio_Proyectos!$E55),"")</f>
        <v/>
      </c>
    </row>
    <row r="166" spans="1:8" x14ac:dyDescent="0.35">
      <c r="A166" s="5" t="str">
        <f>IFERROR(IF(Portafolio_Proyectos!$AR55="","","CAP-"&amp;ROW()-1),"")</f>
        <v/>
      </c>
      <c r="B166" s="5" t="str">
        <f>IFERROR(IF(Portafolio_Proyectos!$AR55="","",Portafolio_Proyectos!$AR55),"")</f>
        <v/>
      </c>
      <c r="C166" s="5" t="str">
        <f>IFERROR(IF(Portafolio_Proyectos!$AR55="","","Distintiva"),"")</f>
        <v/>
      </c>
      <c r="D166" s="5" t="str">
        <f>IFERROR(IF(Portafolio_Proyectos!$AR55="","",Portafolio_Proyectos!$C55),"")</f>
        <v/>
      </c>
      <c r="E166" s="5" t="str">
        <f>IFERROR(IF(Portafolio_Proyectos!$AR55="","",Portafolio_Proyectos!$B55),"")</f>
        <v/>
      </c>
      <c r="F166" s="5" t="str">
        <f>IFERROR(IF(Portafolio_Proyectos!$AR55="","",Portafolio_Proyectos!$D55),"")</f>
        <v/>
      </c>
      <c r="G166" s="5" t="str">
        <f>IFERROR(IF(Portafolio_Proyectos!$AR55="","",Portafolio_Proyectos!$A55),"")</f>
        <v/>
      </c>
      <c r="H166" s="5" t="str">
        <f>IFERROR(IF(Portafolio_Proyectos!$AR55="","",Portafolio_Proyectos!$E55),"")</f>
        <v/>
      </c>
    </row>
    <row r="167" spans="1:8" x14ac:dyDescent="0.35">
      <c r="A167" s="5" t="str">
        <f>IFERROR(IF(Portafolio_Proyectos!$AP56="","","CAP-"&amp;ROW()-1),"")</f>
        <v/>
      </c>
      <c r="B167" s="5" t="str">
        <f>IFERROR(IF(Portafolio_Proyectos!$AP56="","",Portafolio_Proyectos!$AP56),"")</f>
        <v/>
      </c>
      <c r="C167" s="5" t="str">
        <f>IFERROR(IF(Portafolio_Proyectos!$AP56="","","Emergente"),"")</f>
        <v/>
      </c>
      <c r="D167" s="5" t="str">
        <f>IFERROR(IF(Portafolio_Proyectos!$AP56="","",Portafolio_Proyectos!$C56),"")</f>
        <v/>
      </c>
      <c r="E167" s="5" t="str">
        <f>IFERROR(IF(Portafolio_Proyectos!$AP56="","",Portafolio_Proyectos!$B56),"")</f>
        <v/>
      </c>
      <c r="F167" s="5" t="str">
        <f>IFERROR(IF(Portafolio_Proyectos!$AP56="","",Portafolio_Proyectos!$D56),"")</f>
        <v/>
      </c>
      <c r="G167" s="5" t="str">
        <f>IFERROR(IF(Portafolio_Proyectos!$AP56="","",Portafolio_Proyectos!$A56),"")</f>
        <v/>
      </c>
      <c r="H167" s="5" t="str">
        <f>IFERROR(IF(Portafolio_Proyectos!$AP56="","",Portafolio_Proyectos!$E56),"")</f>
        <v/>
      </c>
    </row>
    <row r="168" spans="1:8" x14ac:dyDescent="0.35">
      <c r="A168" s="5" t="str">
        <f>IFERROR(IF(Portafolio_Proyectos!$AQ56="","","CAP-"&amp;ROW()-1),"")</f>
        <v/>
      </c>
      <c r="B168" s="5" t="str">
        <f>IFERROR(IF(Portafolio_Proyectos!$AQ56="","",Portafolio_Proyectos!$AQ56),"")</f>
        <v/>
      </c>
      <c r="C168" s="5" t="str">
        <f>IFERROR(IF(Portafolio_Proyectos!$AQ56="","","Consolidada"),"")</f>
        <v/>
      </c>
      <c r="D168" s="5" t="str">
        <f>IFERROR(IF(Portafolio_Proyectos!$AQ56="","",Portafolio_Proyectos!$C56),"")</f>
        <v/>
      </c>
      <c r="E168" s="5" t="str">
        <f>IFERROR(IF(Portafolio_Proyectos!$AQ56="","",Portafolio_Proyectos!$B56),"")</f>
        <v/>
      </c>
      <c r="F168" s="5" t="str">
        <f>IFERROR(IF(Portafolio_Proyectos!$AQ56="","",Portafolio_Proyectos!$D56),"")</f>
        <v/>
      </c>
      <c r="G168" s="5" t="str">
        <f>IFERROR(IF(Portafolio_Proyectos!$AQ56="","",Portafolio_Proyectos!$A56),"")</f>
        <v/>
      </c>
      <c r="H168" s="5" t="str">
        <f>IFERROR(IF(Portafolio_Proyectos!$AQ56="","",Portafolio_Proyectos!$E56),"")</f>
        <v/>
      </c>
    </row>
    <row r="169" spans="1:8" x14ac:dyDescent="0.35">
      <c r="A169" s="5" t="str">
        <f>IFERROR(IF(Portafolio_Proyectos!$AR56="","","CAP-"&amp;ROW()-1),"")</f>
        <v/>
      </c>
      <c r="B169" s="5" t="str">
        <f>IFERROR(IF(Portafolio_Proyectos!$AR56="","",Portafolio_Proyectos!$AR56),"")</f>
        <v/>
      </c>
      <c r="C169" s="5" t="str">
        <f>IFERROR(IF(Portafolio_Proyectos!$AR56="","","Distintiva"),"")</f>
        <v/>
      </c>
      <c r="D169" s="5" t="str">
        <f>IFERROR(IF(Portafolio_Proyectos!$AR56="","",Portafolio_Proyectos!$C56),"")</f>
        <v/>
      </c>
      <c r="E169" s="5" t="str">
        <f>IFERROR(IF(Portafolio_Proyectos!$AR56="","",Portafolio_Proyectos!$B56),"")</f>
        <v/>
      </c>
      <c r="F169" s="5" t="str">
        <f>IFERROR(IF(Portafolio_Proyectos!$AR56="","",Portafolio_Proyectos!$D56),"")</f>
        <v/>
      </c>
      <c r="G169" s="5" t="str">
        <f>IFERROR(IF(Portafolio_Proyectos!$AR56="","",Portafolio_Proyectos!$A56),"")</f>
        <v/>
      </c>
      <c r="H169" s="5" t="str">
        <f>IFERROR(IF(Portafolio_Proyectos!$AR56="","",Portafolio_Proyectos!$E56),"")</f>
        <v/>
      </c>
    </row>
    <row r="170" spans="1:8" x14ac:dyDescent="0.35">
      <c r="A170" s="5" t="str">
        <f>IFERROR(IF(Portafolio_Proyectos!$AP57="","","CAP-"&amp;ROW()-1),"")</f>
        <v/>
      </c>
      <c r="B170" s="5" t="str">
        <f>IFERROR(IF(Portafolio_Proyectos!$AP57="","",Portafolio_Proyectos!$AP57),"")</f>
        <v/>
      </c>
      <c r="C170" s="5" t="str">
        <f>IFERROR(IF(Portafolio_Proyectos!$AP57="","","Emergente"),"")</f>
        <v/>
      </c>
      <c r="D170" s="5" t="str">
        <f>IFERROR(IF(Portafolio_Proyectos!$AP57="","",Portafolio_Proyectos!$C57),"")</f>
        <v/>
      </c>
      <c r="E170" s="5" t="str">
        <f>IFERROR(IF(Portafolio_Proyectos!$AP57="","",Portafolio_Proyectos!$B57),"")</f>
        <v/>
      </c>
      <c r="F170" s="5" t="str">
        <f>IFERROR(IF(Portafolio_Proyectos!$AP57="","",Portafolio_Proyectos!$D57),"")</f>
        <v/>
      </c>
      <c r="G170" s="5" t="str">
        <f>IFERROR(IF(Portafolio_Proyectos!$AP57="","",Portafolio_Proyectos!$A57),"")</f>
        <v/>
      </c>
      <c r="H170" s="5" t="str">
        <f>IFERROR(IF(Portafolio_Proyectos!$AP57="","",Portafolio_Proyectos!$E57),"")</f>
        <v/>
      </c>
    </row>
    <row r="171" spans="1:8" x14ac:dyDescent="0.35">
      <c r="A171" s="5" t="str">
        <f>IFERROR(IF(Portafolio_Proyectos!$AQ57="","","CAP-"&amp;ROW()-1),"")</f>
        <v/>
      </c>
      <c r="B171" s="5" t="str">
        <f>IFERROR(IF(Portafolio_Proyectos!$AQ57="","",Portafolio_Proyectos!$AQ57),"")</f>
        <v/>
      </c>
      <c r="C171" s="5" t="str">
        <f>IFERROR(IF(Portafolio_Proyectos!$AQ57="","","Consolidada"),"")</f>
        <v/>
      </c>
      <c r="D171" s="5" t="str">
        <f>IFERROR(IF(Portafolio_Proyectos!$AQ57="","",Portafolio_Proyectos!$C57),"")</f>
        <v/>
      </c>
      <c r="E171" s="5" t="str">
        <f>IFERROR(IF(Portafolio_Proyectos!$AQ57="","",Portafolio_Proyectos!$B57),"")</f>
        <v/>
      </c>
      <c r="F171" s="5" t="str">
        <f>IFERROR(IF(Portafolio_Proyectos!$AQ57="","",Portafolio_Proyectos!$D57),"")</f>
        <v/>
      </c>
      <c r="G171" s="5" t="str">
        <f>IFERROR(IF(Portafolio_Proyectos!$AQ57="","",Portafolio_Proyectos!$A57),"")</f>
        <v/>
      </c>
      <c r="H171" s="5" t="str">
        <f>IFERROR(IF(Portafolio_Proyectos!$AQ57="","",Portafolio_Proyectos!$E57),"")</f>
        <v/>
      </c>
    </row>
    <row r="172" spans="1:8" x14ac:dyDescent="0.35">
      <c r="A172" s="5" t="str">
        <f>IFERROR(IF(Portafolio_Proyectos!$AR57="","","CAP-"&amp;ROW()-1),"")</f>
        <v/>
      </c>
      <c r="B172" s="5" t="str">
        <f>IFERROR(IF(Portafolio_Proyectos!$AR57="","",Portafolio_Proyectos!$AR57),"")</f>
        <v/>
      </c>
      <c r="C172" s="5" t="str">
        <f>IFERROR(IF(Portafolio_Proyectos!$AR57="","","Distintiva"),"")</f>
        <v/>
      </c>
      <c r="D172" s="5" t="str">
        <f>IFERROR(IF(Portafolio_Proyectos!$AR57="","",Portafolio_Proyectos!$C57),"")</f>
        <v/>
      </c>
      <c r="E172" s="5" t="str">
        <f>IFERROR(IF(Portafolio_Proyectos!$AR57="","",Portafolio_Proyectos!$B57),"")</f>
        <v/>
      </c>
      <c r="F172" s="5" t="str">
        <f>IFERROR(IF(Portafolio_Proyectos!$AR57="","",Portafolio_Proyectos!$D57),"")</f>
        <v/>
      </c>
      <c r="G172" s="5" t="str">
        <f>IFERROR(IF(Portafolio_Proyectos!$AR57="","",Portafolio_Proyectos!$A57),"")</f>
        <v/>
      </c>
      <c r="H172" s="5" t="str">
        <f>IFERROR(IF(Portafolio_Proyectos!$AR57="","",Portafolio_Proyectos!$E57),"")</f>
        <v/>
      </c>
    </row>
    <row r="173" spans="1:8" x14ac:dyDescent="0.35">
      <c r="A173" s="5" t="str">
        <f>IFERROR(IF(Portafolio_Proyectos!$AP58="","","CAP-"&amp;ROW()-1),"")</f>
        <v/>
      </c>
      <c r="B173" s="5" t="str">
        <f>IFERROR(IF(Portafolio_Proyectos!$AP58="","",Portafolio_Proyectos!$AP58),"")</f>
        <v/>
      </c>
      <c r="C173" s="5" t="str">
        <f>IFERROR(IF(Portafolio_Proyectos!$AP58="","","Emergente"),"")</f>
        <v/>
      </c>
      <c r="D173" s="5" t="str">
        <f>IFERROR(IF(Portafolio_Proyectos!$AP58="","",Portafolio_Proyectos!$C58),"")</f>
        <v/>
      </c>
      <c r="E173" s="5" t="str">
        <f>IFERROR(IF(Portafolio_Proyectos!$AP58="","",Portafolio_Proyectos!$B58),"")</f>
        <v/>
      </c>
      <c r="F173" s="5" t="str">
        <f>IFERROR(IF(Portafolio_Proyectos!$AP58="","",Portafolio_Proyectos!$D58),"")</f>
        <v/>
      </c>
      <c r="G173" s="5" t="str">
        <f>IFERROR(IF(Portafolio_Proyectos!$AP58="","",Portafolio_Proyectos!$A58),"")</f>
        <v/>
      </c>
      <c r="H173" s="5" t="str">
        <f>IFERROR(IF(Portafolio_Proyectos!$AP58="","",Portafolio_Proyectos!$E58),"")</f>
        <v/>
      </c>
    </row>
    <row r="174" spans="1:8" x14ac:dyDescent="0.35">
      <c r="A174" s="5" t="str">
        <f>IFERROR(IF(Portafolio_Proyectos!$AQ58="","","CAP-"&amp;ROW()-1),"")</f>
        <v/>
      </c>
      <c r="B174" s="5" t="str">
        <f>IFERROR(IF(Portafolio_Proyectos!$AQ58="","",Portafolio_Proyectos!$AQ58),"")</f>
        <v/>
      </c>
      <c r="C174" s="5" t="str">
        <f>IFERROR(IF(Portafolio_Proyectos!$AQ58="","","Consolidada"),"")</f>
        <v/>
      </c>
      <c r="D174" s="5" t="str">
        <f>IFERROR(IF(Portafolio_Proyectos!$AQ58="","",Portafolio_Proyectos!$C58),"")</f>
        <v/>
      </c>
      <c r="E174" s="5" t="str">
        <f>IFERROR(IF(Portafolio_Proyectos!$AQ58="","",Portafolio_Proyectos!$B58),"")</f>
        <v/>
      </c>
      <c r="F174" s="5" t="str">
        <f>IFERROR(IF(Portafolio_Proyectos!$AQ58="","",Portafolio_Proyectos!$D58),"")</f>
        <v/>
      </c>
      <c r="G174" s="5" t="str">
        <f>IFERROR(IF(Portafolio_Proyectos!$AQ58="","",Portafolio_Proyectos!$A58),"")</f>
        <v/>
      </c>
      <c r="H174" s="5" t="str">
        <f>IFERROR(IF(Portafolio_Proyectos!$AQ58="","",Portafolio_Proyectos!$E58),"")</f>
        <v/>
      </c>
    </row>
    <row r="175" spans="1:8" x14ac:dyDescent="0.35">
      <c r="A175" s="5" t="str">
        <f>IFERROR(IF(Portafolio_Proyectos!$AR58="","","CAP-"&amp;ROW()-1),"")</f>
        <v/>
      </c>
      <c r="B175" s="5" t="str">
        <f>IFERROR(IF(Portafolio_Proyectos!$AR58="","",Portafolio_Proyectos!$AR58),"")</f>
        <v/>
      </c>
      <c r="C175" s="5" t="str">
        <f>IFERROR(IF(Portafolio_Proyectos!$AR58="","","Distintiva"),"")</f>
        <v/>
      </c>
      <c r="D175" s="5" t="str">
        <f>IFERROR(IF(Portafolio_Proyectos!$AR58="","",Portafolio_Proyectos!$C58),"")</f>
        <v/>
      </c>
      <c r="E175" s="5" t="str">
        <f>IFERROR(IF(Portafolio_Proyectos!$AR58="","",Portafolio_Proyectos!$B58),"")</f>
        <v/>
      </c>
      <c r="F175" s="5" t="str">
        <f>IFERROR(IF(Portafolio_Proyectos!$AR58="","",Portafolio_Proyectos!$D58),"")</f>
        <v/>
      </c>
      <c r="G175" s="5" t="str">
        <f>IFERROR(IF(Portafolio_Proyectos!$AR58="","",Portafolio_Proyectos!$A58),"")</f>
        <v/>
      </c>
      <c r="H175" s="5" t="str">
        <f>IFERROR(IF(Portafolio_Proyectos!$AR58="","",Portafolio_Proyectos!$E58),"")</f>
        <v/>
      </c>
    </row>
    <row r="176" spans="1:8" x14ac:dyDescent="0.35">
      <c r="A176" s="5" t="str">
        <f>IFERROR(IF(Portafolio_Proyectos!$AP59="","","CAP-"&amp;ROW()-1),"")</f>
        <v/>
      </c>
      <c r="B176" s="5" t="str">
        <f>IFERROR(IF(Portafolio_Proyectos!$AP59="","",Portafolio_Proyectos!$AP59),"")</f>
        <v/>
      </c>
      <c r="C176" s="5" t="str">
        <f>IFERROR(IF(Portafolio_Proyectos!$AP59="","","Emergente"),"")</f>
        <v/>
      </c>
      <c r="D176" s="5" t="str">
        <f>IFERROR(IF(Portafolio_Proyectos!$AP59="","",Portafolio_Proyectos!$C59),"")</f>
        <v/>
      </c>
      <c r="E176" s="5" t="str">
        <f>IFERROR(IF(Portafolio_Proyectos!$AP59="","",Portafolio_Proyectos!$B59),"")</f>
        <v/>
      </c>
      <c r="F176" s="5" t="str">
        <f>IFERROR(IF(Portafolio_Proyectos!$AP59="","",Portafolio_Proyectos!$D59),"")</f>
        <v/>
      </c>
      <c r="G176" s="5" t="str">
        <f>IFERROR(IF(Portafolio_Proyectos!$AP59="","",Portafolio_Proyectos!$A59),"")</f>
        <v/>
      </c>
      <c r="H176" s="5" t="str">
        <f>IFERROR(IF(Portafolio_Proyectos!$AP59="","",Portafolio_Proyectos!$E59),"")</f>
        <v/>
      </c>
    </row>
    <row r="177" spans="1:8" x14ac:dyDescent="0.35">
      <c r="A177" s="5" t="str">
        <f>IFERROR(IF(Portafolio_Proyectos!$AQ59="","","CAP-"&amp;ROW()-1),"")</f>
        <v/>
      </c>
      <c r="B177" s="5" t="str">
        <f>IFERROR(IF(Portafolio_Proyectos!$AQ59="","",Portafolio_Proyectos!$AQ59),"")</f>
        <v/>
      </c>
      <c r="C177" s="5" t="str">
        <f>IFERROR(IF(Portafolio_Proyectos!$AQ59="","","Consolidada"),"")</f>
        <v/>
      </c>
      <c r="D177" s="5" t="str">
        <f>IFERROR(IF(Portafolio_Proyectos!$AQ59="","",Portafolio_Proyectos!$C59),"")</f>
        <v/>
      </c>
      <c r="E177" s="5" t="str">
        <f>IFERROR(IF(Portafolio_Proyectos!$AQ59="","",Portafolio_Proyectos!$B59),"")</f>
        <v/>
      </c>
      <c r="F177" s="5" t="str">
        <f>IFERROR(IF(Portafolio_Proyectos!$AQ59="","",Portafolio_Proyectos!$D59),"")</f>
        <v/>
      </c>
      <c r="G177" s="5" t="str">
        <f>IFERROR(IF(Portafolio_Proyectos!$AQ59="","",Portafolio_Proyectos!$A59),"")</f>
        <v/>
      </c>
      <c r="H177" s="5" t="str">
        <f>IFERROR(IF(Portafolio_Proyectos!$AQ59="","",Portafolio_Proyectos!$E59),"")</f>
        <v/>
      </c>
    </row>
    <row r="178" spans="1:8" x14ac:dyDescent="0.35">
      <c r="A178" s="5" t="str">
        <f>IFERROR(IF(Portafolio_Proyectos!$AR59="","","CAP-"&amp;ROW()-1),"")</f>
        <v/>
      </c>
      <c r="B178" s="5" t="str">
        <f>IFERROR(IF(Portafolio_Proyectos!$AR59="","",Portafolio_Proyectos!$AR59),"")</f>
        <v/>
      </c>
      <c r="C178" s="5" t="str">
        <f>IFERROR(IF(Portafolio_Proyectos!$AR59="","","Distintiva"),"")</f>
        <v/>
      </c>
      <c r="D178" s="5" t="str">
        <f>IFERROR(IF(Portafolio_Proyectos!$AR59="","",Portafolio_Proyectos!$C59),"")</f>
        <v/>
      </c>
      <c r="E178" s="5" t="str">
        <f>IFERROR(IF(Portafolio_Proyectos!$AR59="","",Portafolio_Proyectos!$B59),"")</f>
        <v/>
      </c>
      <c r="F178" s="5" t="str">
        <f>IFERROR(IF(Portafolio_Proyectos!$AR59="","",Portafolio_Proyectos!$D59),"")</f>
        <v/>
      </c>
      <c r="G178" s="5" t="str">
        <f>IFERROR(IF(Portafolio_Proyectos!$AR59="","",Portafolio_Proyectos!$A59),"")</f>
        <v/>
      </c>
      <c r="H178" s="5" t="str">
        <f>IFERROR(IF(Portafolio_Proyectos!$AR59="","",Portafolio_Proyectos!$E59),"")</f>
        <v/>
      </c>
    </row>
    <row r="179" spans="1:8" x14ac:dyDescent="0.35">
      <c r="A179" s="5" t="str">
        <f>IFERROR(IF(Portafolio_Proyectos!$AP60="","","CAP-"&amp;ROW()-1),"")</f>
        <v/>
      </c>
      <c r="B179" s="5" t="str">
        <f>IFERROR(IF(Portafolio_Proyectos!$AP60="","",Portafolio_Proyectos!$AP60),"")</f>
        <v/>
      </c>
      <c r="C179" s="5" t="str">
        <f>IFERROR(IF(Portafolio_Proyectos!$AP60="","","Emergente"),"")</f>
        <v/>
      </c>
      <c r="D179" s="5" t="str">
        <f>IFERROR(IF(Portafolio_Proyectos!$AP60="","",Portafolio_Proyectos!$C60),"")</f>
        <v/>
      </c>
      <c r="E179" s="5" t="str">
        <f>IFERROR(IF(Portafolio_Proyectos!$AP60="","",Portafolio_Proyectos!$B60),"")</f>
        <v/>
      </c>
      <c r="F179" s="5" t="str">
        <f>IFERROR(IF(Portafolio_Proyectos!$AP60="","",Portafolio_Proyectos!$D60),"")</f>
        <v/>
      </c>
      <c r="G179" s="5" t="str">
        <f>IFERROR(IF(Portafolio_Proyectos!$AP60="","",Portafolio_Proyectos!$A60),"")</f>
        <v/>
      </c>
      <c r="H179" s="5" t="str">
        <f>IFERROR(IF(Portafolio_Proyectos!$AP60="","",Portafolio_Proyectos!$E60),"")</f>
        <v/>
      </c>
    </row>
    <row r="180" spans="1:8" x14ac:dyDescent="0.35">
      <c r="A180" s="5" t="str">
        <f>IFERROR(IF(Portafolio_Proyectos!$AQ60="","","CAP-"&amp;ROW()-1),"")</f>
        <v/>
      </c>
      <c r="B180" s="5" t="str">
        <f>IFERROR(IF(Portafolio_Proyectos!$AQ60="","",Portafolio_Proyectos!$AQ60),"")</f>
        <v/>
      </c>
      <c r="C180" s="5" t="str">
        <f>IFERROR(IF(Portafolio_Proyectos!$AQ60="","","Consolidada"),"")</f>
        <v/>
      </c>
      <c r="D180" s="5" t="str">
        <f>IFERROR(IF(Portafolio_Proyectos!$AQ60="","",Portafolio_Proyectos!$C60),"")</f>
        <v/>
      </c>
      <c r="E180" s="5" t="str">
        <f>IFERROR(IF(Portafolio_Proyectos!$AQ60="","",Portafolio_Proyectos!$B60),"")</f>
        <v/>
      </c>
      <c r="F180" s="5" t="str">
        <f>IFERROR(IF(Portafolio_Proyectos!$AQ60="","",Portafolio_Proyectos!$D60),"")</f>
        <v/>
      </c>
      <c r="G180" s="5" t="str">
        <f>IFERROR(IF(Portafolio_Proyectos!$AQ60="","",Portafolio_Proyectos!$A60),"")</f>
        <v/>
      </c>
      <c r="H180" s="5" t="str">
        <f>IFERROR(IF(Portafolio_Proyectos!$AQ60="","",Portafolio_Proyectos!$E60),"")</f>
        <v/>
      </c>
    </row>
    <row r="181" spans="1:8" x14ac:dyDescent="0.35">
      <c r="A181" s="5" t="str">
        <f>IFERROR(IF(Portafolio_Proyectos!$AR60="","","CAP-"&amp;ROW()-1),"")</f>
        <v/>
      </c>
      <c r="B181" s="5" t="str">
        <f>IFERROR(IF(Portafolio_Proyectos!$AR60="","",Portafolio_Proyectos!$AR60),"")</f>
        <v/>
      </c>
      <c r="C181" s="5" t="str">
        <f>IFERROR(IF(Portafolio_Proyectos!$AR60="","","Distintiva"),"")</f>
        <v/>
      </c>
      <c r="D181" s="5" t="str">
        <f>IFERROR(IF(Portafolio_Proyectos!$AR60="","",Portafolio_Proyectos!$C60),"")</f>
        <v/>
      </c>
      <c r="E181" s="5" t="str">
        <f>IFERROR(IF(Portafolio_Proyectos!$AR60="","",Portafolio_Proyectos!$B60),"")</f>
        <v/>
      </c>
      <c r="F181" s="5" t="str">
        <f>IFERROR(IF(Portafolio_Proyectos!$AR60="","",Portafolio_Proyectos!$D60),"")</f>
        <v/>
      </c>
      <c r="G181" s="5" t="str">
        <f>IFERROR(IF(Portafolio_Proyectos!$AR60="","",Portafolio_Proyectos!$A60),"")</f>
        <v/>
      </c>
      <c r="H181" s="5" t="str">
        <f>IFERROR(IF(Portafolio_Proyectos!$AR60="","",Portafolio_Proyectos!$E60),"")</f>
        <v/>
      </c>
    </row>
    <row r="182" spans="1:8" x14ac:dyDescent="0.35">
      <c r="A182" s="5" t="str">
        <f>IFERROR(IF(Portafolio_Proyectos!$AP61="","","CAP-"&amp;ROW()-1),"")</f>
        <v/>
      </c>
      <c r="B182" s="5" t="str">
        <f>IFERROR(IF(Portafolio_Proyectos!$AP61="","",Portafolio_Proyectos!$AP61),"")</f>
        <v/>
      </c>
      <c r="C182" s="5" t="str">
        <f>IFERROR(IF(Portafolio_Proyectos!$AP61="","","Emergente"),"")</f>
        <v/>
      </c>
      <c r="D182" s="5" t="str">
        <f>IFERROR(IF(Portafolio_Proyectos!$AP61="","",Portafolio_Proyectos!$C61),"")</f>
        <v/>
      </c>
      <c r="E182" s="5" t="str">
        <f>IFERROR(IF(Portafolio_Proyectos!$AP61="","",Portafolio_Proyectos!$B61),"")</f>
        <v/>
      </c>
      <c r="F182" s="5" t="str">
        <f>IFERROR(IF(Portafolio_Proyectos!$AP61="","",Portafolio_Proyectos!$D61),"")</f>
        <v/>
      </c>
      <c r="G182" s="5" t="str">
        <f>IFERROR(IF(Portafolio_Proyectos!$AP61="","",Portafolio_Proyectos!$A61),"")</f>
        <v/>
      </c>
      <c r="H182" s="5" t="str">
        <f>IFERROR(IF(Portafolio_Proyectos!$AP61="","",Portafolio_Proyectos!$E61),"")</f>
        <v/>
      </c>
    </row>
    <row r="183" spans="1:8" x14ac:dyDescent="0.35">
      <c r="A183" s="5" t="str">
        <f>IFERROR(IF(Portafolio_Proyectos!$AQ61="","","CAP-"&amp;ROW()-1),"")</f>
        <v/>
      </c>
      <c r="B183" s="5" t="str">
        <f>IFERROR(IF(Portafolio_Proyectos!$AQ61="","",Portafolio_Proyectos!$AQ61),"")</f>
        <v/>
      </c>
      <c r="C183" s="5" t="str">
        <f>IFERROR(IF(Portafolio_Proyectos!$AQ61="","","Consolidada"),"")</f>
        <v/>
      </c>
      <c r="D183" s="5" t="str">
        <f>IFERROR(IF(Portafolio_Proyectos!$AQ61="","",Portafolio_Proyectos!$C61),"")</f>
        <v/>
      </c>
      <c r="E183" s="5" t="str">
        <f>IFERROR(IF(Portafolio_Proyectos!$AQ61="","",Portafolio_Proyectos!$B61),"")</f>
        <v/>
      </c>
      <c r="F183" s="5" t="str">
        <f>IFERROR(IF(Portafolio_Proyectos!$AQ61="","",Portafolio_Proyectos!$D61),"")</f>
        <v/>
      </c>
      <c r="G183" s="5" t="str">
        <f>IFERROR(IF(Portafolio_Proyectos!$AQ61="","",Portafolio_Proyectos!$A61),"")</f>
        <v/>
      </c>
      <c r="H183" s="5" t="str">
        <f>IFERROR(IF(Portafolio_Proyectos!$AQ61="","",Portafolio_Proyectos!$E61),"")</f>
        <v/>
      </c>
    </row>
    <row r="184" spans="1:8" x14ac:dyDescent="0.35">
      <c r="A184" s="5" t="str">
        <f>IFERROR(IF(Portafolio_Proyectos!$AR61="","","CAP-"&amp;ROW()-1),"")</f>
        <v/>
      </c>
      <c r="B184" s="5" t="str">
        <f>IFERROR(IF(Portafolio_Proyectos!$AR61="","",Portafolio_Proyectos!$AR61),"")</f>
        <v/>
      </c>
      <c r="C184" s="5" t="str">
        <f>IFERROR(IF(Portafolio_Proyectos!$AR61="","","Distintiva"),"")</f>
        <v/>
      </c>
      <c r="D184" s="5" t="str">
        <f>IFERROR(IF(Portafolio_Proyectos!$AR61="","",Portafolio_Proyectos!$C61),"")</f>
        <v/>
      </c>
      <c r="E184" s="5" t="str">
        <f>IFERROR(IF(Portafolio_Proyectos!$AR61="","",Portafolio_Proyectos!$B61),"")</f>
        <v/>
      </c>
      <c r="F184" s="5" t="str">
        <f>IFERROR(IF(Portafolio_Proyectos!$AR61="","",Portafolio_Proyectos!$D61),"")</f>
        <v/>
      </c>
      <c r="G184" s="5" t="str">
        <f>IFERROR(IF(Portafolio_Proyectos!$AR61="","",Portafolio_Proyectos!$A61),"")</f>
        <v/>
      </c>
      <c r="H184" s="5" t="str">
        <f>IFERROR(IF(Portafolio_Proyectos!$AR61="","",Portafolio_Proyectos!$E61),"")</f>
        <v/>
      </c>
    </row>
    <row r="185" spans="1:8" x14ac:dyDescent="0.35">
      <c r="A185" s="5" t="str">
        <f>IFERROR(IF(Portafolio_Proyectos!$AP62="","","CAP-"&amp;ROW()-1),"")</f>
        <v/>
      </c>
      <c r="B185" s="5" t="str">
        <f>IFERROR(IF(Portafolio_Proyectos!$AP62="","",Portafolio_Proyectos!$AP62),"")</f>
        <v/>
      </c>
      <c r="C185" s="5" t="str">
        <f>IFERROR(IF(Portafolio_Proyectos!$AP62="","","Emergente"),"")</f>
        <v/>
      </c>
      <c r="D185" s="5" t="str">
        <f>IFERROR(IF(Portafolio_Proyectos!$AP62="","",Portafolio_Proyectos!$C62),"")</f>
        <v/>
      </c>
      <c r="E185" s="5" t="str">
        <f>IFERROR(IF(Portafolio_Proyectos!$AP62="","",Portafolio_Proyectos!$B62),"")</f>
        <v/>
      </c>
      <c r="F185" s="5" t="str">
        <f>IFERROR(IF(Portafolio_Proyectos!$AP62="","",Portafolio_Proyectos!$D62),"")</f>
        <v/>
      </c>
      <c r="G185" s="5" t="str">
        <f>IFERROR(IF(Portafolio_Proyectos!$AP62="","",Portafolio_Proyectos!$A62),"")</f>
        <v/>
      </c>
      <c r="H185" s="5" t="str">
        <f>IFERROR(IF(Portafolio_Proyectos!$AP62="","",Portafolio_Proyectos!$E62),"")</f>
        <v/>
      </c>
    </row>
    <row r="186" spans="1:8" x14ac:dyDescent="0.35">
      <c r="A186" s="5" t="str">
        <f>IFERROR(IF(Portafolio_Proyectos!$AQ62="","","CAP-"&amp;ROW()-1),"")</f>
        <v/>
      </c>
      <c r="B186" s="5" t="str">
        <f>IFERROR(IF(Portafolio_Proyectos!$AQ62="","",Portafolio_Proyectos!$AQ62),"")</f>
        <v/>
      </c>
      <c r="C186" s="5" t="str">
        <f>IFERROR(IF(Portafolio_Proyectos!$AQ62="","","Consolidada"),"")</f>
        <v/>
      </c>
      <c r="D186" s="5" t="str">
        <f>IFERROR(IF(Portafolio_Proyectos!$AQ62="","",Portafolio_Proyectos!$C62),"")</f>
        <v/>
      </c>
      <c r="E186" s="5" t="str">
        <f>IFERROR(IF(Portafolio_Proyectos!$AQ62="","",Portafolio_Proyectos!$B62),"")</f>
        <v/>
      </c>
      <c r="F186" s="5" t="str">
        <f>IFERROR(IF(Portafolio_Proyectos!$AQ62="","",Portafolio_Proyectos!$D62),"")</f>
        <v/>
      </c>
      <c r="G186" s="5" t="str">
        <f>IFERROR(IF(Portafolio_Proyectos!$AQ62="","",Portafolio_Proyectos!$A62),"")</f>
        <v/>
      </c>
      <c r="H186" s="5" t="str">
        <f>IFERROR(IF(Portafolio_Proyectos!$AQ62="","",Portafolio_Proyectos!$E62),"")</f>
        <v/>
      </c>
    </row>
    <row r="187" spans="1:8" x14ac:dyDescent="0.35">
      <c r="A187" s="5" t="str">
        <f>IFERROR(IF(Portafolio_Proyectos!$AR62="","","CAP-"&amp;ROW()-1),"")</f>
        <v/>
      </c>
      <c r="B187" s="5" t="str">
        <f>IFERROR(IF(Portafolio_Proyectos!$AR62="","",Portafolio_Proyectos!$AR62),"")</f>
        <v/>
      </c>
      <c r="C187" s="5" t="str">
        <f>IFERROR(IF(Portafolio_Proyectos!$AR62="","","Distintiva"),"")</f>
        <v/>
      </c>
      <c r="D187" s="5" t="str">
        <f>IFERROR(IF(Portafolio_Proyectos!$AR62="","",Portafolio_Proyectos!$C62),"")</f>
        <v/>
      </c>
      <c r="E187" s="5" t="str">
        <f>IFERROR(IF(Portafolio_Proyectos!$AR62="","",Portafolio_Proyectos!$B62),"")</f>
        <v/>
      </c>
      <c r="F187" s="5" t="str">
        <f>IFERROR(IF(Portafolio_Proyectos!$AR62="","",Portafolio_Proyectos!$D62),"")</f>
        <v/>
      </c>
      <c r="G187" s="5" t="str">
        <f>IFERROR(IF(Portafolio_Proyectos!$AR62="","",Portafolio_Proyectos!$A62),"")</f>
        <v/>
      </c>
      <c r="H187" s="5" t="str">
        <f>IFERROR(IF(Portafolio_Proyectos!$AR62="","",Portafolio_Proyectos!$E62),"")</f>
        <v/>
      </c>
    </row>
    <row r="188" spans="1:8" x14ac:dyDescent="0.35">
      <c r="A188" s="5" t="str">
        <f>IFERROR(IF(Portafolio_Proyectos!$AP63="","","CAP-"&amp;ROW()-1),"")</f>
        <v/>
      </c>
      <c r="B188" s="5" t="str">
        <f>IFERROR(IF(Portafolio_Proyectos!$AP63="","",Portafolio_Proyectos!$AP63),"")</f>
        <v/>
      </c>
      <c r="C188" s="5" t="str">
        <f>IFERROR(IF(Portafolio_Proyectos!$AP63="","","Emergente"),"")</f>
        <v/>
      </c>
      <c r="D188" s="5" t="str">
        <f>IFERROR(IF(Portafolio_Proyectos!$AP63="","",Portafolio_Proyectos!$C63),"")</f>
        <v/>
      </c>
      <c r="E188" s="5" t="str">
        <f>IFERROR(IF(Portafolio_Proyectos!$AP63="","",Portafolio_Proyectos!$B63),"")</f>
        <v/>
      </c>
      <c r="F188" s="5" t="str">
        <f>IFERROR(IF(Portafolio_Proyectos!$AP63="","",Portafolio_Proyectos!$D63),"")</f>
        <v/>
      </c>
      <c r="G188" s="5" t="str">
        <f>IFERROR(IF(Portafolio_Proyectos!$AP63="","",Portafolio_Proyectos!$A63),"")</f>
        <v/>
      </c>
      <c r="H188" s="5" t="str">
        <f>IFERROR(IF(Portafolio_Proyectos!$AP63="","",Portafolio_Proyectos!$E63),"")</f>
        <v/>
      </c>
    </row>
    <row r="189" spans="1:8" x14ac:dyDescent="0.35">
      <c r="A189" s="5" t="str">
        <f>IFERROR(IF(Portafolio_Proyectos!$AQ63="","","CAP-"&amp;ROW()-1),"")</f>
        <v/>
      </c>
      <c r="B189" s="5" t="str">
        <f>IFERROR(IF(Portafolio_Proyectos!$AQ63="","",Portafolio_Proyectos!$AQ63),"")</f>
        <v/>
      </c>
      <c r="C189" s="5" t="str">
        <f>IFERROR(IF(Portafolio_Proyectos!$AQ63="","","Consolidada"),"")</f>
        <v/>
      </c>
      <c r="D189" s="5" t="str">
        <f>IFERROR(IF(Portafolio_Proyectos!$AQ63="","",Portafolio_Proyectos!$C63),"")</f>
        <v/>
      </c>
      <c r="E189" s="5" t="str">
        <f>IFERROR(IF(Portafolio_Proyectos!$AQ63="","",Portafolio_Proyectos!$B63),"")</f>
        <v/>
      </c>
      <c r="F189" s="5" t="str">
        <f>IFERROR(IF(Portafolio_Proyectos!$AQ63="","",Portafolio_Proyectos!$D63),"")</f>
        <v/>
      </c>
      <c r="G189" s="5" t="str">
        <f>IFERROR(IF(Portafolio_Proyectos!$AQ63="","",Portafolio_Proyectos!$A63),"")</f>
        <v/>
      </c>
      <c r="H189" s="5" t="str">
        <f>IFERROR(IF(Portafolio_Proyectos!$AQ63="","",Portafolio_Proyectos!$E63),"")</f>
        <v/>
      </c>
    </row>
    <row r="190" spans="1:8" x14ac:dyDescent="0.35">
      <c r="A190" s="5" t="str">
        <f>IFERROR(IF(Portafolio_Proyectos!$AR63="","","CAP-"&amp;ROW()-1),"")</f>
        <v/>
      </c>
      <c r="B190" s="5" t="str">
        <f>IFERROR(IF(Portafolio_Proyectos!$AR63="","",Portafolio_Proyectos!$AR63),"")</f>
        <v/>
      </c>
      <c r="C190" s="5" t="str">
        <f>IFERROR(IF(Portafolio_Proyectos!$AR63="","","Distintiva"),"")</f>
        <v/>
      </c>
      <c r="D190" s="5" t="str">
        <f>IFERROR(IF(Portafolio_Proyectos!$AR63="","",Portafolio_Proyectos!$C63),"")</f>
        <v/>
      </c>
      <c r="E190" s="5" t="str">
        <f>IFERROR(IF(Portafolio_Proyectos!$AR63="","",Portafolio_Proyectos!$B63),"")</f>
        <v/>
      </c>
      <c r="F190" s="5" t="str">
        <f>IFERROR(IF(Portafolio_Proyectos!$AR63="","",Portafolio_Proyectos!$D63),"")</f>
        <v/>
      </c>
      <c r="G190" s="5" t="str">
        <f>IFERROR(IF(Portafolio_Proyectos!$AR63="","",Portafolio_Proyectos!$A63),"")</f>
        <v/>
      </c>
      <c r="H190" s="5" t="str">
        <f>IFERROR(IF(Portafolio_Proyectos!$AR63="","",Portafolio_Proyectos!$E63),"")</f>
        <v/>
      </c>
    </row>
    <row r="191" spans="1:8" x14ac:dyDescent="0.35">
      <c r="A191" s="5" t="str">
        <f>IFERROR(IF(Portafolio_Proyectos!$AP64="","","CAP-"&amp;ROW()-1),"")</f>
        <v/>
      </c>
      <c r="B191" s="5" t="str">
        <f>IFERROR(IF(Portafolio_Proyectos!$AP64="","",Portafolio_Proyectos!$AP64),"")</f>
        <v/>
      </c>
      <c r="C191" s="5" t="str">
        <f>IFERROR(IF(Portafolio_Proyectos!$AP64="","","Emergente"),"")</f>
        <v/>
      </c>
      <c r="D191" s="5" t="str">
        <f>IFERROR(IF(Portafolio_Proyectos!$AP64="","",Portafolio_Proyectos!$C64),"")</f>
        <v/>
      </c>
      <c r="E191" s="5" t="str">
        <f>IFERROR(IF(Portafolio_Proyectos!$AP64="","",Portafolio_Proyectos!$B64),"")</f>
        <v/>
      </c>
      <c r="F191" s="5" t="str">
        <f>IFERROR(IF(Portafolio_Proyectos!$AP64="","",Portafolio_Proyectos!$D64),"")</f>
        <v/>
      </c>
      <c r="G191" s="5" t="str">
        <f>IFERROR(IF(Portafolio_Proyectos!$AP64="","",Portafolio_Proyectos!$A64),"")</f>
        <v/>
      </c>
      <c r="H191" s="5" t="str">
        <f>IFERROR(IF(Portafolio_Proyectos!$AP64="","",Portafolio_Proyectos!$E64),"")</f>
        <v/>
      </c>
    </row>
    <row r="192" spans="1:8" x14ac:dyDescent="0.35">
      <c r="A192" s="5" t="str">
        <f>IFERROR(IF(Portafolio_Proyectos!$AQ64="","","CAP-"&amp;ROW()-1),"")</f>
        <v/>
      </c>
      <c r="B192" s="5" t="str">
        <f>IFERROR(IF(Portafolio_Proyectos!$AQ64="","",Portafolio_Proyectos!$AQ64),"")</f>
        <v/>
      </c>
      <c r="C192" s="5" t="str">
        <f>IFERROR(IF(Portafolio_Proyectos!$AQ64="","","Consolidada"),"")</f>
        <v/>
      </c>
      <c r="D192" s="5" t="str">
        <f>IFERROR(IF(Portafolio_Proyectos!$AQ64="","",Portafolio_Proyectos!$C64),"")</f>
        <v/>
      </c>
      <c r="E192" s="5" t="str">
        <f>IFERROR(IF(Portafolio_Proyectos!$AQ64="","",Portafolio_Proyectos!$B64),"")</f>
        <v/>
      </c>
      <c r="F192" s="5" t="str">
        <f>IFERROR(IF(Portafolio_Proyectos!$AQ64="","",Portafolio_Proyectos!$D64),"")</f>
        <v/>
      </c>
      <c r="G192" s="5" t="str">
        <f>IFERROR(IF(Portafolio_Proyectos!$AQ64="","",Portafolio_Proyectos!$A64),"")</f>
        <v/>
      </c>
      <c r="H192" s="5" t="str">
        <f>IFERROR(IF(Portafolio_Proyectos!$AQ64="","",Portafolio_Proyectos!$E64),"")</f>
        <v/>
      </c>
    </row>
    <row r="193" spans="1:8" x14ac:dyDescent="0.35">
      <c r="A193" s="5" t="str">
        <f>IFERROR(IF(Portafolio_Proyectos!$AR64="","","CAP-"&amp;ROW()-1),"")</f>
        <v/>
      </c>
      <c r="B193" s="5" t="str">
        <f>IFERROR(IF(Portafolio_Proyectos!$AR64="","",Portafolio_Proyectos!$AR64),"")</f>
        <v/>
      </c>
      <c r="C193" s="5" t="str">
        <f>IFERROR(IF(Portafolio_Proyectos!$AR64="","","Distintiva"),"")</f>
        <v/>
      </c>
      <c r="D193" s="5" t="str">
        <f>IFERROR(IF(Portafolio_Proyectos!$AR64="","",Portafolio_Proyectos!$C64),"")</f>
        <v/>
      </c>
      <c r="E193" s="5" t="str">
        <f>IFERROR(IF(Portafolio_Proyectos!$AR64="","",Portafolio_Proyectos!$B64),"")</f>
        <v/>
      </c>
      <c r="F193" s="5" t="str">
        <f>IFERROR(IF(Portafolio_Proyectos!$AR64="","",Portafolio_Proyectos!$D64),"")</f>
        <v/>
      </c>
      <c r="G193" s="5" t="str">
        <f>IFERROR(IF(Portafolio_Proyectos!$AR64="","",Portafolio_Proyectos!$A64),"")</f>
        <v/>
      </c>
      <c r="H193" s="5" t="str">
        <f>IFERROR(IF(Portafolio_Proyectos!$AR64="","",Portafolio_Proyectos!$E64),"")</f>
        <v/>
      </c>
    </row>
    <row r="194" spans="1:8" x14ac:dyDescent="0.35">
      <c r="A194" s="5" t="str">
        <f>IFERROR(IF(Portafolio_Proyectos!$AP65="","","CAP-"&amp;ROW()-1),"")</f>
        <v/>
      </c>
      <c r="B194" s="5" t="str">
        <f>IFERROR(IF(Portafolio_Proyectos!$AP65="","",Portafolio_Proyectos!$AP65),"")</f>
        <v/>
      </c>
      <c r="C194" s="5" t="str">
        <f>IFERROR(IF(Portafolio_Proyectos!$AP65="","","Emergente"),"")</f>
        <v/>
      </c>
      <c r="D194" s="5" t="str">
        <f>IFERROR(IF(Portafolio_Proyectos!$AP65="","",Portafolio_Proyectos!$C65),"")</f>
        <v/>
      </c>
      <c r="E194" s="5" t="str">
        <f>IFERROR(IF(Portafolio_Proyectos!$AP65="","",Portafolio_Proyectos!$B65),"")</f>
        <v/>
      </c>
      <c r="F194" s="5" t="str">
        <f>IFERROR(IF(Portafolio_Proyectos!$AP65="","",Portafolio_Proyectos!$D65),"")</f>
        <v/>
      </c>
      <c r="G194" s="5" t="str">
        <f>IFERROR(IF(Portafolio_Proyectos!$AP65="","",Portafolio_Proyectos!$A65),"")</f>
        <v/>
      </c>
      <c r="H194" s="5" t="str">
        <f>IFERROR(IF(Portafolio_Proyectos!$AP65="","",Portafolio_Proyectos!$E65),"")</f>
        <v/>
      </c>
    </row>
    <row r="195" spans="1:8" x14ac:dyDescent="0.35">
      <c r="A195" s="5" t="str">
        <f>IFERROR(IF(Portafolio_Proyectos!$AQ65="","","CAP-"&amp;ROW()-1),"")</f>
        <v/>
      </c>
      <c r="B195" s="5" t="str">
        <f>IFERROR(IF(Portafolio_Proyectos!$AQ65="","",Portafolio_Proyectos!$AQ65),"")</f>
        <v/>
      </c>
      <c r="C195" s="5" t="str">
        <f>IFERROR(IF(Portafolio_Proyectos!$AQ65="","","Consolidada"),"")</f>
        <v/>
      </c>
      <c r="D195" s="5" t="str">
        <f>IFERROR(IF(Portafolio_Proyectos!$AQ65="","",Portafolio_Proyectos!$C65),"")</f>
        <v/>
      </c>
      <c r="E195" s="5" t="str">
        <f>IFERROR(IF(Portafolio_Proyectos!$AQ65="","",Portafolio_Proyectos!$B65),"")</f>
        <v/>
      </c>
      <c r="F195" s="5" t="str">
        <f>IFERROR(IF(Portafolio_Proyectos!$AQ65="","",Portafolio_Proyectos!$D65),"")</f>
        <v/>
      </c>
      <c r="G195" s="5" t="str">
        <f>IFERROR(IF(Portafolio_Proyectos!$AQ65="","",Portafolio_Proyectos!$A65),"")</f>
        <v/>
      </c>
      <c r="H195" s="5" t="str">
        <f>IFERROR(IF(Portafolio_Proyectos!$AQ65="","",Portafolio_Proyectos!$E65),"")</f>
        <v/>
      </c>
    </row>
    <row r="196" spans="1:8" x14ac:dyDescent="0.35">
      <c r="A196" s="5" t="str">
        <f>IFERROR(IF(Portafolio_Proyectos!$AR65="","","CAP-"&amp;ROW()-1),"")</f>
        <v/>
      </c>
      <c r="B196" s="5" t="str">
        <f>IFERROR(IF(Portafolio_Proyectos!$AR65="","",Portafolio_Proyectos!$AR65),"")</f>
        <v/>
      </c>
      <c r="C196" s="5" t="str">
        <f>IFERROR(IF(Portafolio_Proyectos!$AR65="","","Distintiva"),"")</f>
        <v/>
      </c>
      <c r="D196" s="5" t="str">
        <f>IFERROR(IF(Portafolio_Proyectos!$AR65="","",Portafolio_Proyectos!$C65),"")</f>
        <v/>
      </c>
      <c r="E196" s="5" t="str">
        <f>IFERROR(IF(Portafolio_Proyectos!$AR65="","",Portafolio_Proyectos!$B65),"")</f>
        <v/>
      </c>
      <c r="F196" s="5" t="str">
        <f>IFERROR(IF(Portafolio_Proyectos!$AR65="","",Portafolio_Proyectos!$D65),"")</f>
        <v/>
      </c>
      <c r="G196" s="5" t="str">
        <f>IFERROR(IF(Portafolio_Proyectos!$AR65="","",Portafolio_Proyectos!$A65),"")</f>
        <v/>
      </c>
      <c r="H196" s="5" t="str">
        <f>IFERROR(IF(Portafolio_Proyectos!$AR65="","",Portafolio_Proyectos!$E65),"")</f>
        <v/>
      </c>
    </row>
    <row r="197" spans="1:8" x14ac:dyDescent="0.35">
      <c r="A197" s="5" t="str">
        <f>IFERROR(IF(Portafolio_Proyectos!$AP66="","","CAP-"&amp;ROW()-1),"")</f>
        <v/>
      </c>
      <c r="B197" s="5" t="str">
        <f>IFERROR(IF(Portafolio_Proyectos!$AP66="","",Portafolio_Proyectos!$AP66),"")</f>
        <v/>
      </c>
      <c r="C197" s="5" t="str">
        <f>IFERROR(IF(Portafolio_Proyectos!$AP66="","","Emergente"),"")</f>
        <v/>
      </c>
      <c r="D197" s="5" t="str">
        <f>IFERROR(IF(Portafolio_Proyectos!$AP66="","",Portafolio_Proyectos!$C66),"")</f>
        <v/>
      </c>
      <c r="E197" s="5" t="str">
        <f>IFERROR(IF(Portafolio_Proyectos!$AP66="","",Portafolio_Proyectos!$B66),"")</f>
        <v/>
      </c>
      <c r="F197" s="5" t="str">
        <f>IFERROR(IF(Portafolio_Proyectos!$AP66="","",Portafolio_Proyectos!$D66),"")</f>
        <v/>
      </c>
      <c r="G197" s="5" t="str">
        <f>IFERROR(IF(Portafolio_Proyectos!$AP66="","",Portafolio_Proyectos!$A66),"")</f>
        <v/>
      </c>
      <c r="H197" s="5" t="str">
        <f>IFERROR(IF(Portafolio_Proyectos!$AP66="","",Portafolio_Proyectos!$E66),"")</f>
        <v/>
      </c>
    </row>
    <row r="198" spans="1:8" x14ac:dyDescent="0.35">
      <c r="A198" s="5" t="str">
        <f>IFERROR(IF(Portafolio_Proyectos!$AQ66="","","CAP-"&amp;ROW()-1),"")</f>
        <v/>
      </c>
      <c r="B198" s="5" t="str">
        <f>IFERROR(IF(Portafolio_Proyectos!$AQ66="","",Portafolio_Proyectos!$AQ66),"")</f>
        <v/>
      </c>
      <c r="C198" s="5" t="str">
        <f>IFERROR(IF(Portafolio_Proyectos!$AQ66="","","Consolidada"),"")</f>
        <v/>
      </c>
      <c r="D198" s="5" t="str">
        <f>IFERROR(IF(Portafolio_Proyectos!$AQ66="","",Portafolio_Proyectos!$C66),"")</f>
        <v/>
      </c>
      <c r="E198" s="5" t="str">
        <f>IFERROR(IF(Portafolio_Proyectos!$AQ66="","",Portafolio_Proyectos!$B66),"")</f>
        <v/>
      </c>
      <c r="F198" s="5" t="str">
        <f>IFERROR(IF(Portafolio_Proyectos!$AQ66="","",Portafolio_Proyectos!$D66),"")</f>
        <v/>
      </c>
      <c r="G198" s="5" t="str">
        <f>IFERROR(IF(Portafolio_Proyectos!$AQ66="","",Portafolio_Proyectos!$A66),"")</f>
        <v/>
      </c>
      <c r="H198" s="5" t="str">
        <f>IFERROR(IF(Portafolio_Proyectos!$AQ66="","",Portafolio_Proyectos!$E66),"")</f>
        <v/>
      </c>
    </row>
    <row r="199" spans="1:8" x14ac:dyDescent="0.35">
      <c r="A199" s="5" t="str">
        <f>IFERROR(IF(Portafolio_Proyectos!$AR66="","","CAP-"&amp;ROW()-1),"")</f>
        <v/>
      </c>
      <c r="B199" s="5" t="str">
        <f>IFERROR(IF(Portafolio_Proyectos!$AR66="","",Portafolio_Proyectos!$AR66),"")</f>
        <v/>
      </c>
      <c r="C199" s="5" t="str">
        <f>IFERROR(IF(Portafolio_Proyectos!$AR66="","","Distintiva"),"")</f>
        <v/>
      </c>
      <c r="D199" s="5" t="str">
        <f>IFERROR(IF(Portafolio_Proyectos!$AR66="","",Portafolio_Proyectos!$C66),"")</f>
        <v/>
      </c>
      <c r="E199" s="5" t="str">
        <f>IFERROR(IF(Portafolio_Proyectos!$AR66="","",Portafolio_Proyectos!$B66),"")</f>
        <v/>
      </c>
      <c r="F199" s="5" t="str">
        <f>IFERROR(IF(Portafolio_Proyectos!$AR66="","",Portafolio_Proyectos!$D66),"")</f>
        <v/>
      </c>
      <c r="G199" s="5" t="str">
        <f>IFERROR(IF(Portafolio_Proyectos!$AR66="","",Portafolio_Proyectos!$A66),"")</f>
        <v/>
      </c>
      <c r="H199" s="5" t="str">
        <f>IFERROR(IF(Portafolio_Proyectos!$AR66="","",Portafolio_Proyectos!$E66),"")</f>
        <v/>
      </c>
    </row>
    <row r="200" spans="1:8" x14ac:dyDescent="0.35">
      <c r="A200" s="5" t="str">
        <f>IFERROR(IF(Portafolio_Proyectos!$AP67="","","CAP-"&amp;ROW()-1),"")</f>
        <v/>
      </c>
      <c r="B200" s="5" t="str">
        <f>IFERROR(IF(Portafolio_Proyectos!$AP67="","",Portafolio_Proyectos!$AP67),"")</f>
        <v/>
      </c>
      <c r="C200" s="5" t="str">
        <f>IFERROR(IF(Portafolio_Proyectos!$AP67="","","Emergente"),"")</f>
        <v/>
      </c>
      <c r="D200" s="5" t="str">
        <f>IFERROR(IF(Portafolio_Proyectos!$AP67="","",Portafolio_Proyectos!$C67),"")</f>
        <v/>
      </c>
      <c r="E200" s="5" t="str">
        <f>IFERROR(IF(Portafolio_Proyectos!$AP67="","",Portafolio_Proyectos!$B67),"")</f>
        <v/>
      </c>
      <c r="F200" s="5" t="str">
        <f>IFERROR(IF(Portafolio_Proyectos!$AP67="","",Portafolio_Proyectos!$D67),"")</f>
        <v/>
      </c>
      <c r="G200" s="5" t="str">
        <f>IFERROR(IF(Portafolio_Proyectos!$AP67="","",Portafolio_Proyectos!$A67),"")</f>
        <v/>
      </c>
      <c r="H200" s="5" t="str">
        <f>IFERROR(IF(Portafolio_Proyectos!$AP67="","",Portafolio_Proyectos!$E67),"")</f>
        <v/>
      </c>
    </row>
    <row r="201" spans="1:8" x14ac:dyDescent="0.35">
      <c r="A201" s="5" t="str">
        <f>IFERROR(IF(Portafolio_Proyectos!$AQ67="","","CAP-"&amp;ROW()-1),"")</f>
        <v/>
      </c>
      <c r="B201" s="5" t="str">
        <f>IFERROR(IF(Portafolio_Proyectos!$AQ67="","",Portafolio_Proyectos!$AQ67),"")</f>
        <v/>
      </c>
      <c r="C201" s="5" t="str">
        <f>IFERROR(IF(Portafolio_Proyectos!$AQ67="","","Consolidada"),"")</f>
        <v/>
      </c>
      <c r="D201" s="5" t="str">
        <f>IFERROR(IF(Portafolio_Proyectos!$AQ67="","",Portafolio_Proyectos!$C67),"")</f>
        <v/>
      </c>
      <c r="E201" s="5" t="str">
        <f>IFERROR(IF(Portafolio_Proyectos!$AQ67="","",Portafolio_Proyectos!$B67),"")</f>
        <v/>
      </c>
      <c r="F201" s="5" t="str">
        <f>IFERROR(IF(Portafolio_Proyectos!$AQ67="","",Portafolio_Proyectos!$D67),"")</f>
        <v/>
      </c>
      <c r="G201" s="5" t="str">
        <f>IFERROR(IF(Portafolio_Proyectos!$AQ67="","",Portafolio_Proyectos!$A67),"")</f>
        <v/>
      </c>
      <c r="H201" s="5" t="str">
        <f>IFERROR(IF(Portafolio_Proyectos!$AQ67="","",Portafolio_Proyectos!$E67),"")</f>
        <v/>
      </c>
    </row>
    <row r="202" spans="1:8" x14ac:dyDescent="0.35">
      <c r="A202" s="5" t="str">
        <f>IFERROR(IF(Portafolio_Proyectos!$AR67="","","CAP-"&amp;ROW()-1),"")</f>
        <v/>
      </c>
      <c r="B202" s="5" t="str">
        <f>IFERROR(IF(Portafolio_Proyectos!$AR67="","",Portafolio_Proyectos!$AR67),"")</f>
        <v/>
      </c>
      <c r="C202" s="5" t="str">
        <f>IFERROR(IF(Portafolio_Proyectos!$AR67="","","Distintiva"),"")</f>
        <v/>
      </c>
      <c r="D202" s="5" t="str">
        <f>IFERROR(IF(Portafolio_Proyectos!$AR67="","",Portafolio_Proyectos!$C67),"")</f>
        <v/>
      </c>
      <c r="E202" s="5" t="str">
        <f>IFERROR(IF(Portafolio_Proyectos!$AR67="","",Portafolio_Proyectos!$B67),"")</f>
        <v/>
      </c>
      <c r="F202" s="5" t="str">
        <f>IFERROR(IF(Portafolio_Proyectos!$AR67="","",Portafolio_Proyectos!$D67),"")</f>
        <v/>
      </c>
      <c r="G202" s="5" t="str">
        <f>IFERROR(IF(Portafolio_Proyectos!$AR67="","",Portafolio_Proyectos!$A67),"")</f>
        <v/>
      </c>
      <c r="H202" s="5" t="str">
        <f>IFERROR(IF(Portafolio_Proyectos!$AR67="","",Portafolio_Proyectos!$E67),"")</f>
        <v/>
      </c>
    </row>
    <row r="203" spans="1:8" x14ac:dyDescent="0.35">
      <c r="A203" s="5" t="str">
        <f>IFERROR(IF(Portafolio_Proyectos!$AP68="","","CAP-"&amp;ROW()-1),"")</f>
        <v/>
      </c>
      <c r="B203" s="5" t="str">
        <f>IFERROR(IF(Portafolio_Proyectos!$AP68="","",Portafolio_Proyectos!$AP68),"")</f>
        <v/>
      </c>
      <c r="C203" s="5" t="str">
        <f>IFERROR(IF(Portafolio_Proyectos!$AP68="","","Emergente"),"")</f>
        <v/>
      </c>
      <c r="D203" s="5" t="str">
        <f>IFERROR(IF(Portafolio_Proyectos!$AP68="","",Portafolio_Proyectos!$C68),"")</f>
        <v/>
      </c>
      <c r="E203" s="5" t="str">
        <f>IFERROR(IF(Portafolio_Proyectos!$AP68="","",Portafolio_Proyectos!$B68),"")</f>
        <v/>
      </c>
      <c r="F203" s="5" t="str">
        <f>IFERROR(IF(Portafolio_Proyectos!$AP68="","",Portafolio_Proyectos!$D68),"")</f>
        <v/>
      </c>
      <c r="G203" s="5" t="str">
        <f>IFERROR(IF(Portafolio_Proyectos!$AP68="","",Portafolio_Proyectos!$A68),"")</f>
        <v/>
      </c>
      <c r="H203" s="5" t="str">
        <f>IFERROR(IF(Portafolio_Proyectos!$AP68="","",Portafolio_Proyectos!$E68),"")</f>
        <v/>
      </c>
    </row>
    <row r="204" spans="1:8" x14ac:dyDescent="0.35">
      <c r="A204" s="5" t="str">
        <f>IFERROR(IF(Portafolio_Proyectos!$AQ68="","","CAP-"&amp;ROW()-1),"")</f>
        <v/>
      </c>
      <c r="B204" s="5" t="str">
        <f>IFERROR(IF(Portafolio_Proyectos!$AQ68="","",Portafolio_Proyectos!$AQ68),"")</f>
        <v/>
      </c>
      <c r="C204" s="5" t="str">
        <f>IFERROR(IF(Portafolio_Proyectos!$AQ68="","","Consolidada"),"")</f>
        <v/>
      </c>
      <c r="D204" s="5" t="str">
        <f>IFERROR(IF(Portafolio_Proyectos!$AQ68="","",Portafolio_Proyectos!$C68),"")</f>
        <v/>
      </c>
      <c r="E204" s="5" t="str">
        <f>IFERROR(IF(Portafolio_Proyectos!$AQ68="","",Portafolio_Proyectos!$B68),"")</f>
        <v/>
      </c>
      <c r="F204" s="5" t="str">
        <f>IFERROR(IF(Portafolio_Proyectos!$AQ68="","",Portafolio_Proyectos!$D68),"")</f>
        <v/>
      </c>
      <c r="G204" s="5" t="str">
        <f>IFERROR(IF(Portafolio_Proyectos!$AQ68="","",Portafolio_Proyectos!$A68),"")</f>
        <v/>
      </c>
      <c r="H204" s="5" t="str">
        <f>IFERROR(IF(Portafolio_Proyectos!$AQ68="","",Portafolio_Proyectos!$E68),"")</f>
        <v/>
      </c>
    </row>
    <row r="205" spans="1:8" x14ac:dyDescent="0.35">
      <c r="A205" s="5" t="str">
        <f>IFERROR(IF(Portafolio_Proyectos!$AR68="","","CAP-"&amp;ROW()-1),"")</f>
        <v/>
      </c>
      <c r="B205" s="5" t="str">
        <f>IFERROR(IF(Portafolio_Proyectos!$AR68="","",Portafolio_Proyectos!$AR68),"")</f>
        <v/>
      </c>
      <c r="C205" s="5" t="str">
        <f>IFERROR(IF(Portafolio_Proyectos!$AR68="","","Distintiva"),"")</f>
        <v/>
      </c>
      <c r="D205" s="5" t="str">
        <f>IFERROR(IF(Portafolio_Proyectos!$AR68="","",Portafolio_Proyectos!$C68),"")</f>
        <v/>
      </c>
      <c r="E205" s="5" t="str">
        <f>IFERROR(IF(Portafolio_Proyectos!$AR68="","",Portafolio_Proyectos!$B68),"")</f>
        <v/>
      </c>
      <c r="F205" s="5" t="str">
        <f>IFERROR(IF(Portafolio_Proyectos!$AR68="","",Portafolio_Proyectos!$D68),"")</f>
        <v/>
      </c>
      <c r="G205" s="5" t="str">
        <f>IFERROR(IF(Portafolio_Proyectos!$AR68="","",Portafolio_Proyectos!$A68),"")</f>
        <v/>
      </c>
      <c r="H205" s="5" t="str">
        <f>IFERROR(IF(Portafolio_Proyectos!$AR68="","",Portafolio_Proyectos!$E68),"")</f>
        <v/>
      </c>
    </row>
    <row r="206" spans="1:8" x14ac:dyDescent="0.35">
      <c r="A206" s="5" t="str">
        <f>IFERROR(IF(Portafolio_Proyectos!$AP69="","","CAP-"&amp;ROW()-1),"")</f>
        <v/>
      </c>
      <c r="B206" s="5" t="str">
        <f>IFERROR(IF(Portafolio_Proyectos!$AP69="","",Portafolio_Proyectos!$AP69),"")</f>
        <v/>
      </c>
      <c r="C206" s="5" t="str">
        <f>IFERROR(IF(Portafolio_Proyectos!$AP69="","","Emergente"),"")</f>
        <v/>
      </c>
      <c r="D206" s="5" t="str">
        <f>IFERROR(IF(Portafolio_Proyectos!$AP69="","",Portafolio_Proyectos!$C69),"")</f>
        <v/>
      </c>
      <c r="E206" s="5" t="str">
        <f>IFERROR(IF(Portafolio_Proyectos!$AP69="","",Portafolio_Proyectos!$B69),"")</f>
        <v/>
      </c>
      <c r="F206" s="5" t="str">
        <f>IFERROR(IF(Portafolio_Proyectos!$AP69="","",Portafolio_Proyectos!$D69),"")</f>
        <v/>
      </c>
      <c r="G206" s="5" t="str">
        <f>IFERROR(IF(Portafolio_Proyectos!$AP69="","",Portafolio_Proyectos!$A69),"")</f>
        <v/>
      </c>
      <c r="H206" s="5" t="str">
        <f>IFERROR(IF(Portafolio_Proyectos!$AP69="","",Portafolio_Proyectos!$E69),"")</f>
        <v/>
      </c>
    </row>
    <row r="207" spans="1:8" x14ac:dyDescent="0.35">
      <c r="A207" s="5" t="str">
        <f>IFERROR(IF(Portafolio_Proyectos!$AQ69="","","CAP-"&amp;ROW()-1),"")</f>
        <v/>
      </c>
      <c r="B207" s="5" t="str">
        <f>IFERROR(IF(Portafolio_Proyectos!$AQ69="","",Portafolio_Proyectos!$AQ69),"")</f>
        <v/>
      </c>
      <c r="C207" s="5" t="str">
        <f>IFERROR(IF(Portafolio_Proyectos!$AQ69="","","Consolidada"),"")</f>
        <v/>
      </c>
      <c r="D207" s="5" t="str">
        <f>IFERROR(IF(Portafolio_Proyectos!$AQ69="","",Portafolio_Proyectos!$C69),"")</f>
        <v/>
      </c>
      <c r="E207" s="5" t="str">
        <f>IFERROR(IF(Portafolio_Proyectos!$AQ69="","",Portafolio_Proyectos!$B69),"")</f>
        <v/>
      </c>
      <c r="F207" s="5" t="str">
        <f>IFERROR(IF(Portafolio_Proyectos!$AQ69="","",Portafolio_Proyectos!$D69),"")</f>
        <v/>
      </c>
      <c r="G207" s="5" t="str">
        <f>IFERROR(IF(Portafolio_Proyectos!$AQ69="","",Portafolio_Proyectos!$A69),"")</f>
        <v/>
      </c>
      <c r="H207" s="5" t="str">
        <f>IFERROR(IF(Portafolio_Proyectos!$AQ69="","",Portafolio_Proyectos!$E69),"")</f>
        <v/>
      </c>
    </row>
    <row r="208" spans="1:8" x14ac:dyDescent="0.35">
      <c r="A208" s="5" t="str">
        <f>IFERROR(IF(Portafolio_Proyectos!$AR69="","","CAP-"&amp;ROW()-1),"")</f>
        <v/>
      </c>
      <c r="B208" s="5" t="str">
        <f>IFERROR(IF(Portafolio_Proyectos!$AR69="","",Portafolio_Proyectos!$AR69),"")</f>
        <v/>
      </c>
      <c r="C208" s="5" t="str">
        <f>IFERROR(IF(Portafolio_Proyectos!$AR69="","","Distintiva"),"")</f>
        <v/>
      </c>
      <c r="D208" s="5" t="str">
        <f>IFERROR(IF(Portafolio_Proyectos!$AR69="","",Portafolio_Proyectos!$C69),"")</f>
        <v/>
      </c>
      <c r="E208" s="5" t="str">
        <f>IFERROR(IF(Portafolio_Proyectos!$AR69="","",Portafolio_Proyectos!$B69),"")</f>
        <v/>
      </c>
      <c r="F208" s="5" t="str">
        <f>IFERROR(IF(Portafolio_Proyectos!$AR69="","",Portafolio_Proyectos!$D69),"")</f>
        <v/>
      </c>
      <c r="G208" s="5" t="str">
        <f>IFERROR(IF(Portafolio_Proyectos!$AR69="","",Portafolio_Proyectos!$A69),"")</f>
        <v/>
      </c>
      <c r="H208" s="5" t="str">
        <f>IFERROR(IF(Portafolio_Proyectos!$AR69="","",Portafolio_Proyectos!$E69),"")</f>
        <v/>
      </c>
    </row>
    <row r="209" spans="1:8" x14ac:dyDescent="0.35">
      <c r="A209" s="5" t="str">
        <f>IFERROR(IF(Portafolio_Proyectos!$AP70="","","CAP-"&amp;ROW()-1),"")</f>
        <v/>
      </c>
      <c r="B209" s="5" t="str">
        <f>IFERROR(IF(Portafolio_Proyectos!$AP70="","",Portafolio_Proyectos!$AP70),"")</f>
        <v/>
      </c>
      <c r="C209" s="5" t="str">
        <f>IFERROR(IF(Portafolio_Proyectos!$AP70="","","Emergente"),"")</f>
        <v/>
      </c>
      <c r="D209" s="5" t="str">
        <f>IFERROR(IF(Portafolio_Proyectos!$AP70="","",Portafolio_Proyectos!$C70),"")</f>
        <v/>
      </c>
      <c r="E209" s="5" t="str">
        <f>IFERROR(IF(Portafolio_Proyectos!$AP70="","",Portafolio_Proyectos!$B70),"")</f>
        <v/>
      </c>
      <c r="F209" s="5" t="str">
        <f>IFERROR(IF(Portafolio_Proyectos!$AP70="","",Portafolio_Proyectos!$D70),"")</f>
        <v/>
      </c>
      <c r="G209" s="5" t="str">
        <f>IFERROR(IF(Portafolio_Proyectos!$AP70="","",Portafolio_Proyectos!$A70),"")</f>
        <v/>
      </c>
      <c r="H209" s="5" t="str">
        <f>IFERROR(IF(Portafolio_Proyectos!$AP70="","",Portafolio_Proyectos!$E70),"")</f>
        <v/>
      </c>
    </row>
    <row r="210" spans="1:8" x14ac:dyDescent="0.35">
      <c r="A210" s="5" t="str">
        <f>IFERROR(IF(Portafolio_Proyectos!$AQ70="","","CAP-"&amp;ROW()-1),"")</f>
        <v/>
      </c>
      <c r="B210" s="5" t="str">
        <f>IFERROR(IF(Portafolio_Proyectos!$AQ70="","",Portafolio_Proyectos!$AQ70),"")</f>
        <v/>
      </c>
      <c r="C210" s="5" t="str">
        <f>IFERROR(IF(Portafolio_Proyectos!$AQ70="","","Consolidada"),"")</f>
        <v/>
      </c>
      <c r="D210" s="5" t="str">
        <f>IFERROR(IF(Portafolio_Proyectos!$AQ70="","",Portafolio_Proyectos!$C70),"")</f>
        <v/>
      </c>
      <c r="E210" s="5" t="str">
        <f>IFERROR(IF(Portafolio_Proyectos!$AQ70="","",Portafolio_Proyectos!$B70),"")</f>
        <v/>
      </c>
      <c r="F210" s="5" t="str">
        <f>IFERROR(IF(Portafolio_Proyectos!$AQ70="","",Portafolio_Proyectos!$D70),"")</f>
        <v/>
      </c>
      <c r="G210" s="5" t="str">
        <f>IFERROR(IF(Portafolio_Proyectos!$AQ70="","",Portafolio_Proyectos!$A70),"")</f>
        <v/>
      </c>
      <c r="H210" s="5" t="str">
        <f>IFERROR(IF(Portafolio_Proyectos!$AQ70="","",Portafolio_Proyectos!$E70),"")</f>
        <v/>
      </c>
    </row>
    <row r="211" spans="1:8" x14ac:dyDescent="0.35">
      <c r="A211" s="5" t="str">
        <f>IFERROR(IF(Portafolio_Proyectos!$AR70="","","CAP-"&amp;ROW()-1),"")</f>
        <v/>
      </c>
      <c r="B211" s="5" t="str">
        <f>IFERROR(IF(Portafolio_Proyectos!$AR70="","",Portafolio_Proyectos!$AR70),"")</f>
        <v/>
      </c>
      <c r="C211" s="5" t="str">
        <f>IFERROR(IF(Portafolio_Proyectos!$AR70="","","Distintiva"),"")</f>
        <v/>
      </c>
      <c r="D211" s="5" t="str">
        <f>IFERROR(IF(Portafolio_Proyectos!$AR70="","",Portafolio_Proyectos!$C70),"")</f>
        <v/>
      </c>
      <c r="E211" s="5" t="str">
        <f>IFERROR(IF(Portafolio_Proyectos!$AR70="","",Portafolio_Proyectos!$B70),"")</f>
        <v/>
      </c>
      <c r="F211" s="5" t="str">
        <f>IFERROR(IF(Portafolio_Proyectos!$AR70="","",Portafolio_Proyectos!$D70),"")</f>
        <v/>
      </c>
      <c r="G211" s="5" t="str">
        <f>IFERROR(IF(Portafolio_Proyectos!$AR70="","",Portafolio_Proyectos!$A70),"")</f>
        <v/>
      </c>
      <c r="H211" s="5" t="str">
        <f>IFERROR(IF(Portafolio_Proyectos!$AR70="","",Portafolio_Proyectos!$E70),"")</f>
        <v/>
      </c>
    </row>
    <row r="212" spans="1:8" x14ac:dyDescent="0.35">
      <c r="A212" s="5" t="str">
        <f>IFERROR(IF(Portafolio_Proyectos!$AP71="","","CAP-"&amp;ROW()-1),"")</f>
        <v/>
      </c>
      <c r="B212" s="5" t="str">
        <f>IFERROR(IF(Portafolio_Proyectos!$AP71="","",Portafolio_Proyectos!$AP71),"")</f>
        <v/>
      </c>
      <c r="C212" s="5" t="str">
        <f>IFERROR(IF(Portafolio_Proyectos!$AP71="","","Emergente"),"")</f>
        <v/>
      </c>
      <c r="D212" s="5" t="str">
        <f>IFERROR(IF(Portafolio_Proyectos!$AP71="","",Portafolio_Proyectos!$C71),"")</f>
        <v/>
      </c>
      <c r="E212" s="5" t="str">
        <f>IFERROR(IF(Portafolio_Proyectos!$AP71="","",Portafolio_Proyectos!$B71),"")</f>
        <v/>
      </c>
      <c r="F212" s="5" t="str">
        <f>IFERROR(IF(Portafolio_Proyectos!$AP71="","",Portafolio_Proyectos!$D71),"")</f>
        <v/>
      </c>
      <c r="G212" s="5" t="str">
        <f>IFERROR(IF(Portafolio_Proyectos!$AP71="","",Portafolio_Proyectos!$A71),"")</f>
        <v/>
      </c>
      <c r="H212" s="5" t="str">
        <f>IFERROR(IF(Portafolio_Proyectos!$AP71="","",Portafolio_Proyectos!$E71),"")</f>
        <v/>
      </c>
    </row>
    <row r="213" spans="1:8" x14ac:dyDescent="0.35">
      <c r="A213" s="5" t="str">
        <f>IFERROR(IF(Portafolio_Proyectos!$AQ71="","","CAP-"&amp;ROW()-1),"")</f>
        <v/>
      </c>
      <c r="B213" s="5" t="str">
        <f>IFERROR(IF(Portafolio_Proyectos!$AQ71="","",Portafolio_Proyectos!$AQ71),"")</f>
        <v/>
      </c>
      <c r="C213" s="5" t="str">
        <f>IFERROR(IF(Portafolio_Proyectos!$AQ71="","","Consolidada"),"")</f>
        <v/>
      </c>
      <c r="D213" s="5" t="str">
        <f>IFERROR(IF(Portafolio_Proyectos!$AQ71="","",Portafolio_Proyectos!$C71),"")</f>
        <v/>
      </c>
      <c r="E213" s="5" t="str">
        <f>IFERROR(IF(Portafolio_Proyectos!$AQ71="","",Portafolio_Proyectos!$B71),"")</f>
        <v/>
      </c>
      <c r="F213" s="5" t="str">
        <f>IFERROR(IF(Portafolio_Proyectos!$AQ71="","",Portafolio_Proyectos!$D71),"")</f>
        <v/>
      </c>
      <c r="G213" s="5" t="str">
        <f>IFERROR(IF(Portafolio_Proyectos!$AQ71="","",Portafolio_Proyectos!$A71),"")</f>
        <v/>
      </c>
      <c r="H213" s="5" t="str">
        <f>IFERROR(IF(Portafolio_Proyectos!$AQ71="","",Portafolio_Proyectos!$E71),"")</f>
        <v/>
      </c>
    </row>
    <row r="214" spans="1:8" x14ac:dyDescent="0.35">
      <c r="A214" s="5" t="str">
        <f>IFERROR(IF(Portafolio_Proyectos!$AR71="","","CAP-"&amp;ROW()-1),"")</f>
        <v/>
      </c>
      <c r="B214" s="5" t="str">
        <f>IFERROR(IF(Portafolio_Proyectos!$AR71="","",Portafolio_Proyectos!$AR71),"")</f>
        <v/>
      </c>
      <c r="C214" s="5" t="str">
        <f>IFERROR(IF(Portafolio_Proyectos!$AR71="","","Distintiva"),"")</f>
        <v/>
      </c>
      <c r="D214" s="5" t="str">
        <f>IFERROR(IF(Portafolio_Proyectos!$AR71="","",Portafolio_Proyectos!$C71),"")</f>
        <v/>
      </c>
      <c r="E214" s="5" t="str">
        <f>IFERROR(IF(Portafolio_Proyectos!$AR71="","",Portafolio_Proyectos!$B71),"")</f>
        <v/>
      </c>
      <c r="F214" s="5" t="str">
        <f>IFERROR(IF(Portafolio_Proyectos!$AR71="","",Portafolio_Proyectos!$D71),"")</f>
        <v/>
      </c>
      <c r="G214" s="5" t="str">
        <f>IFERROR(IF(Portafolio_Proyectos!$AR71="","",Portafolio_Proyectos!$A71),"")</f>
        <v/>
      </c>
      <c r="H214" s="5" t="str">
        <f>IFERROR(IF(Portafolio_Proyectos!$AR71="","",Portafolio_Proyectos!$E71),"")</f>
        <v/>
      </c>
    </row>
    <row r="215" spans="1:8" x14ac:dyDescent="0.35">
      <c r="A215" s="5" t="str">
        <f>IFERROR(IF(Portafolio_Proyectos!$AP72="","","CAP-"&amp;ROW()-1),"")</f>
        <v/>
      </c>
      <c r="B215" s="5" t="str">
        <f>IFERROR(IF(Portafolio_Proyectos!$AP72="","",Portafolio_Proyectos!$AP72),"")</f>
        <v/>
      </c>
      <c r="C215" s="5" t="str">
        <f>IFERROR(IF(Portafolio_Proyectos!$AP72="","","Emergente"),"")</f>
        <v/>
      </c>
      <c r="D215" s="5" t="str">
        <f>IFERROR(IF(Portafolio_Proyectos!$AP72="","",Portafolio_Proyectos!$C72),"")</f>
        <v/>
      </c>
      <c r="E215" s="5" t="str">
        <f>IFERROR(IF(Portafolio_Proyectos!$AP72="","",Portafolio_Proyectos!$B72),"")</f>
        <v/>
      </c>
      <c r="F215" s="5" t="str">
        <f>IFERROR(IF(Portafolio_Proyectos!$AP72="","",Portafolio_Proyectos!$D72),"")</f>
        <v/>
      </c>
      <c r="G215" s="5" t="str">
        <f>IFERROR(IF(Portafolio_Proyectos!$AP72="","",Portafolio_Proyectos!$A72),"")</f>
        <v/>
      </c>
      <c r="H215" s="5" t="str">
        <f>IFERROR(IF(Portafolio_Proyectos!$AP72="","",Portafolio_Proyectos!$E72),"")</f>
        <v/>
      </c>
    </row>
    <row r="216" spans="1:8" x14ac:dyDescent="0.35">
      <c r="A216" s="5" t="str">
        <f>IFERROR(IF(Portafolio_Proyectos!$AQ72="","","CAP-"&amp;ROW()-1),"")</f>
        <v/>
      </c>
      <c r="B216" s="5" t="str">
        <f>IFERROR(IF(Portafolio_Proyectos!$AQ72="","",Portafolio_Proyectos!$AQ72),"")</f>
        <v/>
      </c>
      <c r="C216" s="5" t="str">
        <f>IFERROR(IF(Portafolio_Proyectos!$AQ72="","","Consolidada"),"")</f>
        <v/>
      </c>
      <c r="D216" s="5" t="str">
        <f>IFERROR(IF(Portafolio_Proyectos!$AQ72="","",Portafolio_Proyectos!$C72),"")</f>
        <v/>
      </c>
      <c r="E216" s="5" t="str">
        <f>IFERROR(IF(Portafolio_Proyectos!$AQ72="","",Portafolio_Proyectos!$B72),"")</f>
        <v/>
      </c>
      <c r="F216" s="5" t="str">
        <f>IFERROR(IF(Portafolio_Proyectos!$AQ72="","",Portafolio_Proyectos!$D72),"")</f>
        <v/>
      </c>
      <c r="G216" s="5" t="str">
        <f>IFERROR(IF(Portafolio_Proyectos!$AQ72="","",Portafolio_Proyectos!$A72),"")</f>
        <v/>
      </c>
      <c r="H216" s="5" t="str">
        <f>IFERROR(IF(Portafolio_Proyectos!$AQ72="","",Portafolio_Proyectos!$E72),"")</f>
        <v/>
      </c>
    </row>
    <row r="217" spans="1:8" x14ac:dyDescent="0.35">
      <c r="A217" s="5" t="str">
        <f>IFERROR(IF(Portafolio_Proyectos!$AR72="","","CAP-"&amp;ROW()-1),"")</f>
        <v/>
      </c>
      <c r="B217" s="5" t="str">
        <f>IFERROR(IF(Portafolio_Proyectos!$AR72="","",Portafolio_Proyectos!$AR72),"")</f>
        <v/>
      </c>
      <c r="C217" s="5" t="str">
        <f>IFERROR(IF(Portafolio_Proyectos!$AR72="","","Distintiva"),"")</f>
        <v/>
      </c>
      <c r="D217" s="5" t="str">
        <f>IFERROR(IF(Portafolio_Proyectos!$AR72="","",Portafolio_Proyectos!$C72),"")</f>
        <v/>
      </c>
      <c r="E217" s="5" t="str">
        <f>IFERROR(IF(Portafolio_Proyectos!$AR72="","",Portafolio_Proyectos!$B72),"")</f>
        <v/>
      </c>
      <c r="F217" s="5" t="str">
        <f>IFERROR(IF(Portafolio_Proyectos!$AR72="","",Portafolio_Proyectos!$D72),"")</f>
        <v/>
      </c>
      <c r="G217" s="5" t="str">
        <f>IFERROR(IF(Portafolio_Proyectos!$AR72="","",Portafolio_Proyectos!$A72),"")</f>
        <v/>
      </c>
      <c r="H217" s="5" t="str">
        <f>IFERROR(IF(Portafolio_Proyectos!$AR72="","",Portafolio_Proyectos!$E72),"")</f>
        <v/>
      </c>
    </row>
    <row r="218" spans="1:8" x14ac:dyDescent="0.35">
      <c r="A218" s="5" t="str">
        <f>IFERROR(IF(Portafolio_Proyectos!$AP73="","","CAP-"&amp;ROW()-1),"")</f>
        <v/>
      </c>
      <c r="B218" s="5" t="str">
        <f>IFERROR(IF(Portafolio_Proyectos!$AP73="","",Portafolio_Proyectos!$AP73),"")</f>
        <v/>
      </c>
      <c r="C218" s="5" t="str">
        <f>IFERROR(IF(Portafolio_Proyectos!$AP73="","","Emergente"),"")</f>
        <v/>
      </c>
      <c r="D218" s="5" t="str">
        <f>IFERROR(IF(Portafolio_Proyectos!$AP73="","",Portafolio_Proyectos!$C73),"")</f>
        <v/>
      </c>
      <c r="E218" s="5" t="str">
        <f>IFERROR(IF(Portafolio_Proyectos!$AP73="","",Portafolio_Proyectos!$B73),"")</f>
        <v/>
      </c>
      <c r="F218" s="5" t="str">
        <f>IFERROR(IF(Portafolio_Proyectos!$AP73="","",Portafolio_Proyectos!$D73),"")</f>
        <v/>
      </c>
      <c r="G218" s="5" t="str">
        <f>IFERROR(IF(Portafolio_Proyectos!$AP73="","",Portafolio_Proyectos!$A73),"")</f>
        <v/>
      </c>
      <c r="H218" s="5" t="str">
        <f>IFERROR(IF(Portafolio_Proyectos!$AP73="","",Portafolio_Proyectos!$E73),"")</f>
        <v/>
      </c>
    </row>
    <row r="219" spans="1:8" x14ac:dyDescent="0.35">
      <c r="A219" s="5" t="str">
        <f>IFERROR(IF(Portafolio_Proyectos!$AQ73="","","CAP-"&amp;ROW()-1),"")</f>
        <v/>
      </c>
      <c r="B219" s="5" t="str">
        <f>IFERROR(IF(Portafolio_Proyectos!$AQ73="","",Portafolio_Proyectos!$AQ73),"")</f>
        <v/>
      </c>
      <c r="C219" s="5" t="str">
        <f>IFERROR(IF(Portafolio_Proyectos!$AQ73="","","Consolidada"),"")</f>
        <v/>
      </c>
      <c r="D219" s="5" t="str">
        <f>IFERROR(IF(Portafolio_Proyectos!$AQ73="","",Portafolio_Proyectos!$C73),"")</f>
        <v/>
      </c>
      <c r="E219" s="5" t="str">
        <f>IFERROR(IF(Portafolio_Proyectos!$AQ73="","",Portafolio_Proyectos!$B73),"")</f>
        <v/>
      </c>
      <c r="F219" s="5" t="str">
        <f>IFERROR(IF(Portafolio_Proyectos!$AQ73="","",Portafolio_Proyectos!$D73),"")</f>
        <v/>
      </c>
      <c r="G219" s="5" t="str">
        <f>IFERROR(IF(Portafolio_Proyectos!$AQ73="","",Portafolio_Proyectos!$A73),"")</f>
        <v/>
      </c>
      <c r="H219" s="5" t="str">
        <f>IFERROR(IF(Portafolio_Proyectos!$AQ73="","",Portafolio_Proyectos!$E73),"")</f>
        <v/>
      </c>
    </row>
    <row r="220" spans="1:8" x14ac:dyDescent="0.35">
      <c r="A220" s="5" t="str">
        <f>IFERROR(IF(Portafolio_Proyectos!$AR73="","","CAP-"&amp;ROW()-1),"")</f>
        <v/>
      </c>
      <c r="B220" s="5" t="str">
        <f>IFERROR(IF(Portafolio_Proyectos!$AR73="","",Portafolio_Proyectos!$AR73),"")</f>
        <v/>
      </c>
      <c r="C220" s="5" t="str">
        <f>IFERROR(IF(Portafolio_Proyectos!$AR73="","","Distintiva"),"")</f>
        <v/>
      </c>
      <c r="D220" s="5" t="str">
        <f>IFERROR(IF(Portafolio_Proyectos!$AR73="","",Portafolio_Proyectos!$C73),"")</f>
        <v/>
      </c>
      <c r="E220" s="5" t="str">
        <f>IFERROR(IF(Portafolio_Proyectos!$AR73="","",Portafolio_Proyectos!$B73),"")</f>
        <v/>
      </c>
      <c r="F220" s="5" t="str">
        <f>IFERROR(IF(Portafolio_Proyectos!$AR73="","",Portafolio_Proyectos!$D73),"")</f>
        <v/>
      </c>
      <c r="G220" s="5" t="str">
        <f>IFERROR(IF(Portafolio_Proyectos!$AR73="","",Portafolio_Proyectos!$A73),"")</f>
        <v/>
      </c>
      <c r="H220" s="5" t="str">
        <f>IFERROR(IF(Portafolio_Proyectos!$AR73="","",Portafolio_Proyectos!$E73),"")</f>
        <v/>
      </c>
    </row>
    <row r="221" spans="1:8" x14ac:dyDescent="0.35">
      <c r="A221" s="5" t="str">
        <f>IFERROR(IF(Portafolio_Proyectos!$AP74="","","CAP-"&amp;ROW()-1),"")</f>
        <v/>
      </c>
      <c r="B221" s="5" t="str">
        <f>IFERROR(IF(Portafolio_Proyectos!$AP74="","",Portafolio_Proyectos!$AP74),"")</f>
        <v/>
      </c>
      <c r="C221" s="5" t="str">
        <f>IFERROR(IF(Portafolio_Proyectos!$AP74="","","Emergente"),"")</f>
        <v/>
      </c>
      <c r="D221" s="5" t="str">
        <f>IFERROR(IF(Portafolio_Proyectos!$AP74="","",Portafolio_Proyectos!$C74),"")</f>
        <v/>
      </c>
      <c r="E221" s="5" t="str">
        <f>IFERROR(IF(Portafolio_Proyectos!$AP74="","",Portafolio_Proyectos!$B74),"")</f>
        <v/>
      </c>
      <c r="F221" s="5" t="str">
        <f>IFERROR(IF(Portafolio_Proyectos!$AP74="","",Portafolio_Proyectos!$D74),"")</f>
        <v/>
      </c>
      <c r="G221" s="5" t="str">
        <f>IFERROR(IF(Portafolio_Proyectos!$AP74="","",Portafolio_Proyectos!$A74),"")</f>
        <v/>
      </c>
      <c r="H221" s="5" t="str">
        <f>IFERROR(IF(Portafolio_Proyectos!$AP74="","",Portafolio_Proyectos!$E74),"")</f>
        <v/>
      </c>
    </row>
    <row r="222" spans="1:8" x14ac:dyDescent="0.35">
      <c r="A222" s="5" t="str">
        <f>IFERROR(IF(Portafolio_Proyectos!$AQ74="","","CAP-"&amp;ROW()-1),"")</f>
        <v/>
      </c>
      <c r="B222" s="5" t="str">
        <f>IFERROR(IF(Portafolio_Proyectos!$AQ74="","",Portafolio_Proyectos!$AQ74),"")</f>
        <v/>
      </c>
      <c r="C222" s="5" t="str">
        <f>IFERROR(IF(Portafolio_Proyectos!$AQ74="","","Consolidada"),"")</f>
        <v/>
      </c>
      <c r="D222" s="5" t="str">
        <f>IFERROR(IF(Portafolio_Proyectos!$AQ74="","",Portafolio_Proyectos!$C74),"")</f>
        <v/>
      </c>
      <c r="E222" s="5" t="str">
        <f>IFERROR(IF(Portafolio_Proyectos!$AQ74="","",Portafolio_Proyectos!$B74),"")</f>
        <v/>
      </c>
      <c r="F222" s="5" t="str">
        <f>IFERROR(IF(Portafolio_Proyectos!$AQ74="","",Portafolio_Proyectos!$D74),"")</f>
        <v/>
      </c>
      <c r="G222" s="5" t="str">
        <f>IFERROR(IF(Portafolio_Proyectos!$AQ74="","",Portafolio_Proyectos!$A74),"")</f>
        <v/>
      </c>
      <c r="H222" s="5" t="str">
        <f>IFERROR(IF(Portafolio_Proyectos!$AQ74="","",Portafolio_Proyectos!$E74),"")</f>
        <v/>
      </c>
    </row>
    <row r="223" spans="1:8" x14ac:dyDescent="0.35">
      <c r="A223" s="5" t="str">
        <f>IFERROR(IF(Portafolio_Proyectos!$AR74="","","CAP-"&amp;ROW()-1),"")</f>
        <v/>
      </c>
      <c r="B223" s="5" t="str">
        <f>IFERROR(IF(Portafolio_Proyectos!$AR74="","",Portafolio_Proyectos!$AR74),"")</f>
        <v/>
      </c>
      <c r="C223" s="5" t="str">
        <f>IFERROR(IF(Portafolio_Proyectos!$AR74="","","Distintiva"),"")</f>
        <v/>
      </c>
      <c r="D223" s="5" t="str">
        <f>IFERROR(IF(Portafolio_Proyectos!$AR74="","",Portafolio_Proyectos!$C74),"")</f>
        <v/>
      </c>
      <c r="E223" s="5" t="str">
        <f>IFERROR(IF(Portafolio_Proyectos!$AR74="","",Portafolio_Proyectos!$B74),"")</f>
        <v/>
      </c>
      <c r="F223" s="5" t="str">
        <f>IFERROR(IF(Portafolio_Proyectos!$AR74="","",Portafolio_Proyectos!$D74),"")</f>
        <v/>
      </c>
      <c r="G223" s="5" t="str">
        <f>IFERROR(IF(Portafolio_Proyectos!$AR74="","",Portafolio_Proyectos!$A74),"")</f>
        <v/>
      </c>
      <c r="H223" s="5" t="str">
        <f>IFERROR(IF(Portafolio_Proyectos!$AR74="","",Portafolio_Proyectos!$E74),"")</f>
        <v/>
      </c>
    </row>
    <row r="224" spans="1:8" x14ac:dyDescent="0.35">
      <c r="A224" s="5" t="str">
        <f>IFERROR(IF(Portafolio_Proyectos!$AP75="","","CAP-"&amp;ROW()-1),"")</f>
        <v/>
      </c>
      <c r="B224" s="5" t="str">
        <f>IFERROR(IF(Portafolio_Proyectos!$AP75="","",Portafolio_Proyectos!$AP75),"")</f>
        <v/>
      </c>
      <c r="C224" s="5" t="str">
        <f>IFERROR(IF(Portafolio_Proyectos!$AP75="","","Emergente"),"")</f>
        <v/>
      </c>
      <c r="D224" s="5" t="str">
        <f>IFERROR(IF(Portafolio_Proyectos!$AP75="","",Portafolio_Proyectos!$C75),"")</f>
        <v/>
      </c>
      <c r="E224" s="5" t="str">
        <f>IFERROR(IF(Portafolio_Proyectos!$AP75="","",Portafolio_Proyectos!$B75),"")</f>
        <v/>
      </c>
      <c r="F224" s="5" t="str">
        <f>IFERROR(IF(Portafolio_Proyectos!$AP75="","",Portafolio_Proyectos!$D75),"")</f>
        <v/>
      </c>
      <c r="G224" s="5" t="str">
        <f>IFERROR(IF(Portafolio_Proyectos!$AP75="","",Portafolio_Proyectos!$A75),"")</f>
        <v/>
      </c>
      <c r="H224" s="5" t="str">
        <f>IFERROR(IF(Portafolio_Proyectos!$AP75="","",Portafolio_Proyectos!$E75),"")</f>
        <v/>
      </c>
    </row>
    <row r="225" spans="1:8" x14ac:dyDescent="0.35">
      <c r="A225" s="5" t="str">
        <f>IFERROR(IF(Portafolio_Proyectos!$AQ75="","","CAP-"&amp;ROW()-1),"")</f>
        <v/>
      </c>
      <c r="B225" s="5" t="str">
        <f>IFERROR(IF(Portafolio_Proyectos!$AQ75="","",Portafolio_Proyectos!$AQ75),"")</f>
        <v/>
      </c>
      <c r="C225" s="5" t="str">
        <f>IFERROR(IF(Portafolio_Proyectos!$AQ75="","","Consolidada"),"")</f>
        <v/>
      </c>
      <c r="D225" s="5" t="str">
        <f>IFERROR(IF(Portafolio_Proyectos!$AQ75="","",Portafolio_Proyectos!$C75),"")</f>
        <v/>
      </c>
      <c r="E225" s="5" t="str">
        <f>IFERROR(IF(Portafolio_Proyectos!$AQ75="","",Portafolio_Proyectos!$B75),"")</f>
        <v/>
      </c>
      <c r="F225" s="5" t="str">
        <f>IFERROR(IF(Portafolio_Proyectos!$AQ75="","",Portafolio_Proyectos!$D75),"")</f>
        <v/>
      </c>
      <c r="G225" s="5" t="str">
        <f>IFERROR(IF(Portafolio_Proyectos!$AQ75="","",Portafolio_Proyectos!$A75),"")</f>
        <v/>
      </c>
      <c r="H225" s="5" t="str">
        <f>IFERROR(IF(Portafolio_Proyectos!$AQ75="","",Portafolio_Proyectos!$E75),"")</f>
        <v/>
      </c>
    </row>
    <row r="226" spans="1:8" x14ac:dyDescent="0.35">
      <c r="A226" s="5" t="str">
        <f>IFERROR(IF(Portafolio_Proyectos!$AR75="","","CAP-"&amp;ROW()-1),"")</f>
        <v/>
      </c>
      <c r="B226" s="5" t="str">
        <f>IFERROR(IF(Portafolio_Proyectos!$AR75="","",Portafolio_Proyectos!$AR75),"")</f>
        <v/>
      </c>
      <c r="C226" s="5" t="str">
        <f>IFERROR(IF(Portafolio_Proyectos!$AR75="","","Distintiva"),"")</f>
        <v/>
      </c>
      <c r="D226" s="5" t="str">
        <f>IFERROR(IF(Portafolio_Proyectos!$AR75="","",Portafolio_Proyectos!$C75),"")</f>
        <v/>
      </c>
      <c r="E226" s="5" t="str">
        <f>IFERROR(IF(Portafolio_Proyectos!$AR75="","",Portafolio_Proyectos!$B75),"")</f>
        <v/>
      </c>
      <c r="F226" s="5" t="str">
        <f>IFERROR(IF(Portafolio_Proyectos!$AR75="","",Portafolio_Proyectos!$D75),"")</f>
        <v/>
      </c>
      <c r="G226" s="5" t="str">
        <f>IFERROR(IF(Portafolio_Proyectos!$AR75="","",Portafolio_Proyectos!$A75),"")</f>
        <v/>
      </c>
      <c r="H226" s="5" t="str">
        <f>IFERROR(IF(Portafolio_Proyectos!$AR75="","",Portafolio_Proyectos!$E75),"")</f>
        <v/>
      </c>
    </row>
    <row r="227" spans="1:8" x14ac:dyDescent="0.35">
      <c r="A227" s="5" t="str">
        <f>IFERROR(IF(Portafolio_Proyectos!$AP76="","","CAP-"&amp;ROW()-1),"")</f>
        <v/>
      </c>
      <c r="B227" s="5" t="str">
        <f>IFERROR(IF(Portafolio_Proyectos!$AP76="","",Portafolio_Proyectos!$AP76),"")</f>
        <v/>
      </c>
      <c r="C227" s="5" t="str">
        <f>IFERROR(IF(Portafolio_Proyectos!$AP76="","","Emergente"),"")</f>
        <v/>
      </c>
      <c r="D227" s="5" t="str">
        <f>IFERROR(IF(Portafolio_Proyectos!$AP76="","",Portafolio_Proyectos!$C76),"")</f>
        <v/>
      </c>
      <c r="E227" s="5" t="str">
        <f>IFERROR(IF(Portafolio_Proyectos!$AP76="","",Portafolio_Proyectos!$B76),"")</f>
        <v/>
      </c>
      <c r="F227" s="5" t="str">
        <f>IFERROR(IF(Portafolio_Proyectos!$AP76="","",Portafolio_Proyectos!$D76),"")</f>
        <v/>
      </c>
      <c r="G227" s="5" t="str">
        <f>IFERROR(IF(Portafolio_Proyectos!$AP76="","",Portafolio_Proyectos!$A76),"")</f>
        <v/>
      </c>
      <c r="H227" s="5" t="str">
        <f>IFERROR(IF(Portafolio_Proyectos!$AP76="","",Portafolio_Proyectos!$E76),"")</f>
        <v/>
      </c>
    </row>
    <row r="228" spans="1:8" x14ac:dyDescent="0.35">
      <c r="A228" s="5" t="str">
        <f>IFERROR(IF(Portafolio_Proyectos!$AQ76="","","CAP-"&amp;ROW()-1),"")</f>
        <v/>
      </c>
      <c r="B228" s="5" t="str">
        <f>IFERROR(IF(Portafolio_Proyectos!$AQ76="","",Portafolio_Proyectos!$AQ76),"")</f>
        <v/>
      </c>
      <c r="C228" s="5" t="str">
        <f>IFERROR(IF(Portafolio_Proyectos!$AQ76="","","Consolidada"),"")</f>
        <v/>
      </c>
      <c r="D228" s="5" t="str">
        <f>IFERROR(IF(Portafolio_Proyectos!$AQ76="","",Portafolio_Proyectos!$C76),"")</f>
        <v/>
      </c>
      <c r="E228" s="5" t="str">
        <f>IFERROR(IF(Portafolio_Proyectos!$AQ76="","",Portafolio_Proyectos!$B76),"")</f>
        <v/>
      </c>
      <c r="F228" s="5" t="str">
        <f>IFERROR(IF(Portafolio_Proyectos!$AQ76="","",Portafolio_Proyectos!$D76),"")</f>
        <v/>
      </c>
      <c r="G228" s="5" t="str">
        <f>IFERROR(IF(Portafolio_Proyectos!$AQ76="","",Portafolio_Proyectos!$A76),"")</f>
        <v/>
      </c>
      <c r="H228" s="5" t="str">
        <f>IFERROR(IF(Portafolio_Proyectos!$AQ76="","",Portafolio_Proyectos!$E76),"")</f>
        <v/>
      </c>
    </row>
    <row r="229" spans="1:8" x14ac:dyDescent="0.35">
      <c r="A229" s="5" t="str">
        <f>IFERROR(IF(Portafolio_Proyectos!$AR76="","","CAP-"&amp;ROW()-1),"")</f>
        <v/>
      </c>
      <c r="B229" s="5" t="str">
        <f>IFERROR(IF(Portafolio_Proyectos!$AR76="","",Portafolio_Proyectos!$AR76),"")</f>
        <v/>
      </c>
      <c r="C229" s="5" t="str">
        <f>IFERROR(IF(Portafolio_Proyectos!$AR76="","","Distintiva"),"")</f>
        <v/>
      </c>
      <c r="D229" s="5" t="str">
        <f>IFERROR(IF(Portafolio_Proyectos!$AR76="","",Portafolio_Proyectos!$C76),"")</f>
        <v/>
      </c>
      <c r="E229" s="5" t="str">
        <f>IFERROR(IF(Portafolio_Proyectos!$AR76="","",Portafolio_Proyectos!$B76),"")</f>
        <v/>
      </c>
      <c r="F229" s="5" t="str">
        <f>IFERROR(IF(Portafolio_Proyectos!$AR76="","",Portafolio_Proyectos!$D76),"")</f>
        <v/>
      </c>
      <c r="G229" s="5" t="str">
        <f>IFERROR(IF(Portafolio_Proyectos!$AR76="","",Portafolio_Proyectos!$A76),"")</f>
        <v/>
      </c>
      <c r="H229" s="5" t="str">
        <f>IFERROR(IF(Portafolio_Proyectos!$AR76="","",Portafolio_Proyectos!$E76),"")</f>
        <v/>
      </c>
    </row>
    <row r="230" spans="1:8" x14ac:dyDescent="0.35">
      <c r="A230" s="5" t="str">
        <f>IFERROR(IF(Portafolio_Proyectos!$AP77="","","CAP-"&amp;ROW()-1),"")</f>
        <v/>
      </c>
      <c r="B230" s="5" t="str">
        <f>IFERROR(IF(Portafolio_Proyectos!$AP77="","",Portafolio_Proyectos!$AP77),"")</f>
        <v/>
      </c>
      <c r="C230" s="5" t="str">
        <f>IFERROR(IF(Portafolio_Proyectos!$AP77="","","Emergente"),"")</f>
        <v/>
      </c>
      <c r="D230" s="5" t="str">
        <f>IFERROR(IF(Portafolio_Proyectos!$AP77="","",Portafolio_Proyectos!$C77),"")</f>
        <v/>
      </c>
      <c r="E230" s="5" t="str">
        <f>IFERROR(IF(Portafolio_Proyectos!$AP77="","",Portafolio_Proyectos!$B77),"")</f>
        <v/>
      </c>
      <c r="F230" s="5" t="str">
        <f>IFERROR(IF(Portafolio_Proyectos!$AP77="","",Portafolio_Proyectos!$D77),"")</f>
        <v/>
      </c>
      <c r="G230" s="5" t="str">
        <f>IFERROR(IF(Portafolio_Proyectos!$AP77="","",Portafolio_Proyectos!$A77),"")</f>
        <v/>
      </c>
      <c r="H230" s="5" t="str">
        <f>IFERROR(IF(Portafolio_Proyectos!$AP77="","",Portafolio_Proyectos!$E77),"")</f>
        <v/>
      </c>
    </row>
    <row r="231" spans="1:8" x14ac:dyDescent="0.35">
      <c r="A231" s="5" t="str">
        <f>IFERROR(IF(Portafolio_Proyectos!$AQ77="","","CAP-"&amp;ROW()-1),"")</f>
        <v/>
      </c>
      <c r="B231" s="5" t="str">
        <f>IFERROR(IF(Portafolio_Proyectos!$AQ77="","",Portafolio_Proyectos!$AQ77),"")</f>
        <v/>
      </c>
      <c r="C231" s="5" t="str">
        <f>IFERROR(IF(Portafolio_Proyectos!$AQ77="","","Consolidada"),"")</f>
        <v/>
      </c>
      <c r="D231" s="5" t="str">
        <f>IFERROR(IF(Portafolio_Proyectos!$AQ77="","",Portafolio_Proyectos!$C77),"")</f>
        <v/>
      </c>
      <c r="E231" s="5" t="str">
        <f>IFERROR(IF(Portafolio_Proyectos!$AQ77="","",Portafolio_Proyectos!$B77),"")</f>
        <v/>
      </c>
      <c r="F231" s="5" t="str">
        <f>IFERROR(IF(Portafolio_Proyectos!$AQ77="","",Portafolio_Proyectos!$D77),"")</f>
        <v/>
      </c>
      <c r="G231" s="5" t="str">
        <f>IFERROR(IF(Portafolio_Proyectos!$AQ77="","",Portafolio_Proyectos!$A77),"")</f>
        <v/>
      </c>
      <c r="H231" s="5" t="str">
        <f>IFERROR(IF(Portafolio_Proyectos!$AQ77="","",Portafolio_Proyectos!$E77),"")</f>
        <v/>
      </c>
    </row>
    <row r="232" spans="1:8" x14ac:dyDescent="0.35">
      <c r="A232" s="5" t="str">
        <f>IFERROR(IF(Portafolio_Proyectos!$AR77="","","CAP-"&amp;ROW()-1),"")</f>
        <v/>
      </c>
      <c r="B232" s="5" t="str">
        <f>IFERROR(IF(Portafolio_Proyectos!$AR77="","",Portafolio_Proyectos!$AR77),"")</f>
        <v/>
      </c>
      <c r="C232" s="5" t="str">
        <f>IFERROR(IF(Portafolio_Proyectos!$AR77="","","Distintiva"),"")</f>
        <v/>
      </c>
      <c r="D232" s="5" t="str">
        <f>IFERROR(IF(Portafolio_Proyectos!$AR77="","",Portafolio_Proyectos!$C77),"")</f>
        <v/>
      </c>
      <c r="E232" s="5" t="str">
        <f>IFERROR(IF(Portafolio_Proyectos!$AR77="","",Portafolio_Proyectos!$B77),"")</f>
        <v/>
      </c>
      <c r="F232" s="5" t="str">
        <f>IFERROR(IF(Portafolio_Proyectos!$AR77="","",Portafolio_Proyectos!$D77),"")</f>
        <v/>
      </c>
      <c r="G232" s="5" t="str">
        <f>IFERROR(IF(Portafolio_Proyectos!$AR77="","",Portafolio_Proyectos!$A77),"")</f>
        <v/>
      </c>
      <c r="H232" s="5" t="str">
        <f>IFERROR(IF(Portafolio_Proyectos!$AR77="","",Portafolio_Proyectos!$E77),"")</f>
        <v/>
      </c>
    </row>
    <row r="233" spans="1:8" x14ac:dyDescent="0.35">
      <c r="A233" s="5" t="str">
        <f>IFERROR(IF(Portafolio_Proyectos!$AP78="","","CAP-"&amp;ROW()-1),"")</f>
        <v/>
      </c>
      <c r="B233" s="5" t="str">
        <f>IFERROR(IF(Portafolio_Proyectos!$AP78="","",Portafolio_Proyectos!$AP78),"")</f>
        <v/>
      </c>
      <c r="C233" s="5" t="str">
        <f>IFERROR(IF(Portafolio_Proyectos!$AP78="","","Emergente"),"")</f>
        <v/>
      </c>
      <c r="D233" s="5" t="str">
        <f>IFERROR(IF(Portafolio_Proyectos!$AP78="","",Portafolio_Proyectos!$C78),"")</f>
        <v/>
      </c>
      <c r="E233" s="5" t="str">
        <f>IFERROR(IF(Portafolio_Proyectos!$AP78="","",Portafolio_Proyectos!$B78),"")</f>
        <v/>
      </c>
      <c r="F233" s="5" t="str">
        <f>IFERROR(IF(Portafolio_Proyectos!$AP78="","",Portafolio_Proyectos!$D78),"")</f>
        <v/>
      </c>
      <c r="G233" s="5" t="str">
        <f>IFERROR(IF(Portafolio_Proyectos!$AP78="","",Portafolio_Proyectos!$A78),"")</f>
        <v/>
      </c>
      <c r="H233" s="5" t="str">
        <f>IFERROR(IF(Portafolio_Proyectos!$AP78="","",Portafolio_Proyectos!$E78),"")</f>
        <v/>
      </c>
    </row>
    <row r="234" spans="1:8" x14ac:dyDescent="0.35">
      <c r="A234" s="5" t="str">
        <f>IFERROR(IF(Portafolio_Proyectos!$AQ78="","","CAP-"&amp;ROW()-1),"")</f>
        <v/>
      </c>
      <c r="B234" s="5" t="str">
        <f>IFERROR(IF(Portafolio_Proyectos!$AQ78="","",Portafolio_Proyectos!$AQ78),"")</f>
        <v/>
      </c>
      <c r="C234" s="5" t="str">
        <f>IFERROR(IF(Portafolio_Proyectos!$AQ78="","","Consolidada"),"")</f>
        <v/>
      </c>
      <c r="D234" s="5" t="str">
        <f>IFERROR(IF(Portafolio_Proyectos!$AQ78="","",Portafolio_Proyectos!$C78),"")</f>
        <v/>
      </c>
      <c r="E234" s="5" t="str">
        <f>IFERROR(IF(Portafolio_Proyectos!$AQ78="","",Portafolio_Proyectos!$B78),"")</f>
        <v/>
      </c>
      <c r="F234" s="5" t="str">
        <f>IFERROR(IF(Portafolio_Proyectos!$AQ78="","",Portafolio_Proyectos!$D78),"")</f>
        <v/>
      </c>
      <c r="G234" s="5" t="str">
        <f>IFERROR(IF(Portafolio_Proyectos!$AQ78="","",Portafolio_Proyectos!$A78),"")</f>
        <v/>
      </c>
      <c r="H234" s="5" t="str">
        <f>IFERROR(IF(Portafolio_Proyectos!$AQ78="","",Portafolio_Proyectos!$E78),"")</f>
        <v/>
      </c>
    </row>
    <row r="235" spans="1:8" x14ac:dyDescent="0.35">
      <c r="A235" s="5" t="str">
        <f>IFERROR(IF(Portafolio_Proyectos!$AR78="","","CAP-"&amp;ROW()-1),"")</f>
        <v/>
      </c>
      <c r="B235" s="5" t="str">
        <f>IFERROR(IF(Portafolio_Proyectos!$AR78="","",Portafolio_Proyectos!$AR78),"")</f>
        <v/>
      </c>
      <c r="C235" s="5" t="str">
        <f>IFERROR(IF(Portafolio_Proyectos!$AR78="","","Distintiva"),"")</f>
        <v/>
      </c>
      <c r="D235" s="5" t="str">
        <f>IFERROR(IF(Portafolio_Proyectos!$AR78="","",Portafolio_Proyectos!$C78),"")</f>
        <v/>
      </c>
      <c r="E235" s="5" t="str">
        <f>IFERROR(IF(Portafolio_Proyectos!$AR78="","",Portafolio_Proyectos!$B78),"")</f>
        <v/>
      </c>
      <c r="F235" s="5" t="str">
        <f>IFERROR(IF(Portafolio_Proyectos!$AR78="","",Portafolio_Proyectos!$D78),"")</f>
        <v/>
      </c>
      <c r="G235" s="5" t="str">
        <f>IFERROR(IF(Portafolio_Proyectos!$AR78="","",Portafolio_Proyectos!$A78),"")</f>
        <v/>
      </c>
      <c r="H235" s="5" t="str">
        <f>IFERROR(IF(Portafolio_Proyectos!$AR78="","",Portafolio_Proyectos!$E78),"")</f>
        <v/>
      </c>
    </row>
    <row r="236" spans="1:8" x14ac:dyDescent="0.35">
      <c r="A236" s="5" t="str">
        <f>IFERROR(IF(Portafolio_Proyectos!$AP79="","","CAP-"&amp;ROW()-1),"")</f>
        <v/>
      </c>
      <c r="B236" s="5" t="str">
        <f>IFERROR(IF(Portafolio_Proyectos!$AP79="","",Portafolio_Proyectos!$AP79),"")</f>
        <v/>
      </c>
      <c r="C236" s="5" t="str">
        <f>IFERROR(IF(Portafolio_Proyectos!$AP79="","","Emergente"),"")</f>
        <v/>
      </c>
      <c r="D236" s="5" t="str">
        <f>IFERROR(IF(Portafolio_Proyectos!$AP79="","",Portafolio_Proyectos!$C79),"")</f>
        <v/>
      </c>
      <c r="E236" s="5" t="str">
        <f>IFERROR(IF(Portafolio_Proyectos!$AP79="","",Portafolio_Proyectos!$B79),"")</f>
        <v/>
      </c>
      <c r="F236" s="5" t="str">
        <f>IFERROR(IF(Portafolio_Proyectos!$AP79="","",Portafolio_Proyectos!$D79),"")</f>
        <v/>
      </c>
      <c r="G236" s="5" t="str">
        <f>IFERROR(IF(Portafolio_Proyectos!$AP79="","",Portafolio_Proyectos!$A79),"")</f>
        <v/>
      </c>
      <c r="H236" s="5" t="str">
        <f>IFERROR(IF(Portafolio_Proyectos!$AP79="","",Portafolio_Proyectos!$E79),"")</f>
        <v/>
      </c>
    </row>
    <row r="237" spans="1:8" x14ac:dyDescent="0.35">
      <c r="A237" s="5" t="str">
        <f>IFERROR(IF(Portafolio_Proyectos!$AQ79="","","CAP-"&amp;ROW()-1),"")</f>
        <v/>
      </c>
      <c r="B237" s="5" t="str">
        <f>IFERROR(IF(Portafolio_Proyectos!$AQ79="","",Portafolio_Proyectos!$AQ79),"")</f>
        <v/>
      </c>
      <c r="C237" s="5" t="str">
        <f>IFERROR(IF(Portafolio_Proyectos!$AQ79="","","Consolidada"),"")</f>
        <v/>
      </c>
      <c r="D237" s="5" t="str">
        <f>IFERROR(IF(Portafolio_Proyectos!$AQ79="","",Portafolio_Proyectos!$C79),"")</f>
        <v/>
      </c>
      <c r="E237" s="5" t="str">
        <f>IFERROR(IF(Portafolio_Proyectos!$AQ79="","",Portafolio_Proyectos!$B79),"")</f>
        <v/>
      </c>
      <c r="F237" s="5" t="str">
        <f>IFERROR(IF(Portafolio_Proyectos!$AQ79="","",Portafolio_Proyectos!$D79),"")</f>
        <v/>
      </c>
      <c r="G237" s="5" t="str">
        <f>IFERROR(IF(Portafolio_Proyectos!$AQ79="","",Portafolio_Proyectos!$A79),"")</f>
        <v/>
      </c>
      <c r="H237" s="5" t="str">
        <f>IFERROR(IF(Portafolio_Proyectos!$AQ79="","",Portafolio_Proyectos!$E79),"")</f>
        <v/>
      </c>
    </row>
    <row r="238" spans="1:8" x14ac:dyDescent="0.35">
      <c r="A238" s="5" t="str">
        <f>IFERROR(IF(Portafolio_Proyectos!$AR79="","","CAP-"&amp;ROW()-1),"")</f>
        <v/>
      </c>
      <c r="B238" s="5" t="str">
        <f>IFERROR(IF(Portafolio_Proyectos!$AR79="","",Portafolio_Proyectos!$AR79),"")</f>
        <v/>
      </c>
      <c r="C238" s="5" t="str">
        <f>IFERROR(IF(Portafolio_Proyectos!$AR79="","","Distintiva"),"")</f>
        <v/>
      </c>
      <c r="D238" s="5" t="str">
        <f>IFERROR(IF(Portafolio_Proyectos!$AR79="","",Portafolio_Proyectos!$C79),"")</f>
        <v/>
      </c>
      <c r="E238" s="5" t="str">
        <f>IFERROR(IF(Portafolio_Proyectos!$AR79="","",Portafolio_Proyectos!$B79),"")</f>
        <v/>
      </c>
      <c r="F238" s="5" t="str">
        <f>IFERROR(IF(Portafolio_Proyectos!$AR79="","",Portafolio_Proyectos!$D79),"")</f>
        <v/>
      </c>
      <c r="G238" s="5" t="str">
        <f>IFERROR(IF(Portafolio_Proyectos!$AR79="","",Portafolio_Proyectos!$A79),"")</f>
        <v/>
      </c>
      <c r="H238" s="5" t="str">
        <f>IFERROR(IF(Portafolio_Proyectos!$AR79="","",Portafolio_Proyectos!$E79),"")</f>
        <v/>
      </c>
    </row>
    <row r="239" spans="1:8" x14ac:dyDescent="0.35">
      <c r="A239" s="5" t="str">
        <f>IFERROR(IF(Portafolio_Proyectos!$AP80="","","CAP-"&amp;ROW()-1),"")</f>
        <v/>
      </c>
      <c r="B239" s="5" t="str">
        <f>IFERROR(IF(Portafolio_Proyectos!$AP80="","",Portafolio_Proyectos!$AP80),"")</f>
        <v/>
      </c>
      <c r="C239" s="5" t="str">
        <f>IFERROR(IF(Portafolio_Proyectos!$AP80="","","Emergente"),"")</f>
        <v/>
      </c>
      <c r="D239" s="5" t="str">
        <f>IFERROR(IF(Portafolio_Proyectos!$AP80="","",Portafolio_Proyectos!$C80),"")</f>
        <v/>
      </c>
      <c r="E239" s="5" t="str">
        <f>IFERROR(IF(Portafolio_Proyectos!$AP80="","",Portafolio_Proyectos!$B80),"")</f>
        <v/>
      </c>
      <c r="F239" s="5" t="str">
        <f>IFERROR(IF(Portafolio_Proyectos!$AP80="","",Portafolio_Proyectos!$D80),"")</f>
        <v/>
      </c>
      <c r="G239" s="5" t="str">
        <f>IFERROR(IF(Portafolio_Proyectos!$AP80="","",Portafolio_Proyectos!$A80),"")</f>
        <v/>
      </c>
      <c r="H239" s="5" t="str">
        <f>IFERROR(IF(Portafolio_Proyectos!$AP80="","",Portafolio_Proyectos!$E80),"")</f>
        <v/>
      </c>
    </row>
    <row r="240" spans="1:8" x14ac:dyDescent="0.35">
      <c r="A240" s="5" t="str">
        <f>IFERROR(IF(Portafolio_Proyectos!$AQ80="","","CAP-"&amp;ROW()-1),"")</f>
        <v/>
      </c>
      <c r="B240" s="5" t="str">
        <f>IFERROR(IF(Portafolio_Proyectos!$AQ80="","",Portafolio_Proyectos!$AQ80),"")</f>
        <v/>
      </c>
      <c r="C240" s="5" t="str">
        <f>IFERROR(IF(Portafolio_Proyectos!$AQ80="","","Consolidada"),"")</f>
        <v/>
      </c>
      <c r="D240" s="5" t="str">
        <f>IFERROR(IF(Portafolio_Proyectos!$AQ80="","",Portafolio_Proyectos!$C80),"")</f>
        <v/>
      </c>
      <c r="E240" s="5" t="str">
        <f>IFERROR(IF(Portafolio_Proyectos!$AQ80="","",Portafolio_Proyectos!$B80),"")</f>
        <v/>
      </c>
      <c r="F240" s="5" t="str">
        <f>IFERROR(IF(Portafolio_Proyectos!$AQ80="","",Portafolio_Proyectos!$D80),"")</f>
        <v/>
      </c>
      <c r="G240" s="5" t="str">
        <f>IFERROR(IF(Portafolio_Proyectos!$AQ80="","",Portafolio_Proyectos!$A80),"")</f>
        <v/>
      </c>
      <c r="H240" s="5" t="str">
        <f>IFERROR(IF(Portafolio_Proyectos!$AQ80="","",Portafolio_Proyectos!$E80),"")</f>
        <v/>
      </c>
    </row>
    <row r="241" spans="1:8" x14ac:dyDescent="0.35">
      <c r="A241" s="5" t="str">
        <f>IFERROR(IF(Portafolio_Proyectos!$AR80="","","CAP-"&amp;ROW()-1),"")</f>
        <v/>
      </c>
      <c r="B241" s="5" t="str">
        <f>IFERROR(IF(Portafolio_Proyectos!$AR80="","",Portafolio_Proyectos!$AR80),"")</f>
        <v/>
      </c>
      <c r="C241" s="5" t="str">
        <f>IFERROR(IF(Portafolio_Proyectos!$AR80="","","Distintiva"),"")</f>
        <v/>
      </c>
      <c r="D241" s="5" t="str">
        <f>IFERROR(IF(Portafolio_Proyectos!$AR80="","",Portafolio_Proyectos!$C80),"")</f>
        <v/>
      </c>
      <c r="E241" s="5" t="str">
        <f>IFERROR(IF(Portafolio_Proyectos!$AR80="","",Portafolio_Proyectos!$B80),"")</f>
        <v/>
      </c>
      <c r="F241" s="5" t="str">
        <f>IFERROR(IF(Portafolio_Proyectos!$AR80="","",Portafolio_Proyectos!$D80),"")</f>
        <v/>
      </c>
      <c r="G241" s="5" t="str">
        <f>IFERROR(IF(Portafolio_Proyectos!$AR80="","",Portafolio_Proyectos!$A80),"")</f>
        <v/>
      </c>
      <c r="H241" s="5" t="str">
        <f>IFERROR(IF(Portafolio_Proyectos!$AR80="","",Portafolio_Proyectos!$E80),"")</f>
        <v/>
      </c>
    </row>
    <row r="242" spans="1:8" x14ac:dyDescent="0.35">
      <c r="A242" s="5" t="str">
        <f>IFERROR(IF(Portafolio_Proyectos!$AP81="","","CAP-"&amp;ROW()-1),"")</f>
        <v/>
      </c>
      <c r="B242" s="5" t="str">
        <f>IFERROR(IF(Portafolio_Proyectos!$AP81="","",Portafolio_Proyectos!$AP81),"")</f>
        <v/>
      </c>
      <c r="C242" s="5" t="str">
        <f>IFERROR(IF(Portafolio_Proyectos!$AP81="","","Emergente"),"")</f>
        <v/>
      </c>
      <c r="D242" s="5" t="str">
        <f>IFERROR(IF(Portafolio_Proyectos!$AP81="","",Portafolio_Proyectos!$C81),"")</f>
        <v/>
      </c>
      <c r="E242" s="5" t="str">
        <f>IFERROR(IF(Portafolio_Proyectos!$AP81="","",Portafolio_Proyectos!$B81),"")</f>
        <v/>
      </c>
      <c r="F242" s="5" t="str">
        <f>IFERROR(IF(Portafolio_Proyectos!$AP81="","",Portafolio_Proyectos!$D81),"")</f>
        <v/>
      </c>
      <c r="G242" s="5" t="str">
        <f>IFERROR(IF(Portafolio_Proyectos!$AP81="","",Portafolio_Proyectos!$A81),"")</f>
        <v/>
      </c>
      <c r="H242" s="5" t="str">
        <f>IFERROR(IF(Portafolio_Proyectos!$AP81="","",Portafolio_Proyectos!$E81),"")</f>
        <v/>
      </c>
    </row>
    <row r="243" spans="1:8" x14ac:dyDescent="0.35">
      <c r="A243" s="5" t="str">
        <f>IFERROR(IF(Portafolio_Proyectos!$AQ81="","","CAP-"&amp;ROW()-1),"")</f>
        <v/>
      </c>
      <c r="B243" s="5" t="str">
        <f>IFERROR(IF(Portafolio_Proyectos!$AQ81="","",Portafolio_Proyectos!$AQ81),"")</f>
        <v/>
      </c>
      <c r="C243" s="5" t="str">
        <f>IFERROR(IF(Portafolio_Proyectos!$AQ81="","","Consolidada"),"")</f>
        <v/>
      </c>
      <c r="D243" s="5" t="str">
        <f>IFERROR(IF(Portafolio_Proyectos!$AQ81="","",Portafolio_Proyectos!$C81),"")</f>
        <v/>
      </c>
      <c r="E243" s="5" t="str">
        <f>IFERROR(IF(Portafolio_Proyectos!$AQ81="","",Portafolio_Proyectos!$B81),"")</f>
        <v/>
      </c>
      <c r="F243" s="5" t="str">
        <f>IFERROR(IF(Portafolio_Proyectos!$AQ81="","",Portafolio_Proyectos!$D81),"")</f>
        <v/>
      </c>
      <c r="G243" s="5" t="str">
        <f>IFERROR(IF(Portafolio_Proyectos!$AQ81="","",Portafolio_Proyectos!$A81),"")</f>
        <v/>
      </c>
      <c r="H243" s="5" t="str">
        <f>IFERROR(IF(Portafolio_Proyectos!$AQ81="","",Portafolio_Proyectos!$E81),"")</f>
        <v/>
      </c>
    </row>
    <row r="244" spans="1:8" x14ac:dyDescent="0.35">
      <c r="A244" s="5" t="str">
        <f>IFERROR(IF(Portafolio_Proyectos!$AR81="","","CAP-"&amp;ROW()-1),"")</f>
        <v/>
      </c>
      <c r="B244" s="5" t="str">
        <f>IFERROR(IF(Portafolio_Proyectos!$AR81="","",Portafolio_Proyectos!$AR81),"")</f>
        <v/>
      </c>
      <c r="C244" s="5" t="str">
        <f>IFERROR(IF(Portafolio_Proyectos!$AR81="","","Distintiva"),"")</f>
        <v/>
      </c>
      <c r="D244" s="5" t="str">
        <f>IFERROR(IF(Portafolio_Proyectos!$AR81="","",Portafolio_Proyectos!$C81),"")</f>
        <v/>
      </c>
      <c r="E244" s="5" t="str">
        <f>IFERROR(IF(Portafolio_Proyectos!$AR81="","",Portafolio_Proyectos!$B81),"")</f>
        <v/>
      </c>
      <c r="F244" s="5" t="str">
        <f>IFERROR(IF(Portafolio_Proyectos!$AR81="","",Portafolio_Proyectos!$D81),"")</f>
        <v/>
      </c>
      <c r="G244" s="5" t="str">
        <f>IFERROR(IF(Portafolio_Proyectos!$AR81="","",Portafolio_Proyectos!$A81),"")</f>
        <v/>
      </c>
      <c r="H244" s="5" t="str">
        <f>IFERROR(IF(Portafolio_Proyectos!$AR81="","",Portafolio_Proyectos!$E81),"")</f>
        <v/>
      </c>
    </row>
    <row r="245" spans="1:8" x14ac:dyDescent="0.35">
      <c r="A245" s="5" t="str">
        <f>IFERROR(IF(Portafolio_Proyectos!$AP82="","","CAP-"&amp;ROW()-1),"")</f>
        <v/>
      </c>
      <c r="B245" s="5" t="str">
        <f>IFERROR(IF(Portafolio_Proyectos!$AP82="","",Portafolio_Proyectos!$AP82),"")</f>
        <v/>
      </c>
      <c r="C245" s="5" t="str">
        <f>IFERROR(IF(Portafolio_Proyectos!$AP82="","","Emergente"),"")</f>
        <v/>
      </c>
      <c r="D245" s="5" t="str">
        <f>IFERROR(IF(Portafolio_Proyectos!$AP82="","",Portafolio_Proyectos!$C82),"")</f>
        <v/>
      </c>
      <c r="E245" s="5" t="str">
        <f>IFERROR(IF(Portafolio_Proyectos!$AP82="","",Portafolio_Proyectos!$B82),"")</f>
        <v/>
      </c>
      <c r="F245" s="5" t="str">
        <f>IFERROR(IF(Portafolio_Proyectos!$AP82="","",Portafolio_Proyectos!$D82),"")</f>
        <v/>
      </c>
      <c r="G245" s="5" t="str">
        <f>IFERROR(IF(Portafolio_Proyectos!$AP82="","",Portafolio_Proyectos!$A82),"")</f>
        <v/>
      </c>
      <c r="H245" s="5" t="str">
        <f>IFERROR(IF(Portafolio_Proyectos!$AP82="","",Portafolio_Proyectos!$E82),"")</f>
        <v/>
      </c>
    </row>
    <row r="246" spans="1:8" x14ac:dyDescent="0.35">
      <c r="A246" s="5" t="str">
        <f>IFERROR(IF(Portafolio_Proyectos!$AQ82="","","CAP-"&amp;ROW()-1),"")</f>
        <v/>
      </c>
      <c r="B246" s="5" t="str">
        <f>IFERROR(IF(Portafolio_Proyectos!$AQ82="","",Portafolio_Proyectos!$AQ82),"")</f>
        <v/>
      </c>
      <c r="C246" s="5" t="str">
        <f>IFERROR(IF(Portafolio_Proyectos!$AQ82="","","Consolidada"),"")</f>
        <v/>
      </c>
      <c r="D246" s="5" t="str">
        <f>IFERROR(IF(Portafolio_Proyectos!$AQ82="","",Portafolio_Proyectos!$C82),"")</f>
        <v/>
      </c>
      <c r="E246" s="5" t="str">
        <f>IFERROR(IF(Portafolio_Proyectos!$AQ82="","",Portafolio_Proyectos!$B82),"")</f>
        <v/>
      </c>
      <c r="F246" s="5" t="str">
        <f>IFERROR(IF(Portafolio_Proyectos!$AQ82="","",Portafolio_Proyectos!$D82),"")</f>
        <v/>
      </c>
      <c r="G246" s="5" t="str">
        <f>IFERROR(IF(Portafolio_Proyectos!$AQ82="","",Portafolio_Proyectos!$A82),"")</f>
        <v/>
      </c>
      <c r="H246" s="5" t="str">
        <f>IFERROR(IF(Portafolio_Proyectos!$AQ82="","",Portafolio_Proyectos!$E82),"")</f>
        <v/>
      </c>
    </row>
    <row r="247" spans="1:8" x14ac:dyDescent="0.35">
      <c r="A247" s="5" t="str">
        <f>IFERROR(IF(Portafolio_Proyectos!$AR82="","","CAP-"&amp;ROW()-1),"")</f>
        <v/>
      </c>
      <c r="B247" s="5" t="str">
        <f>IFERROR(IF(Portafolio_Proyectos!$AR82="","",Portafolio_Proyectos!$AR82),"")</f>
        <v/>
      </c>
      <c r="C247" s="5" t="str">
        <f>IFERROR(IF(Portafolio_Proyectos!$AR82="","","Distintiva"),"")</f>
        <v/>
      </c>
      <c r="D247" s="5" t="str">
        <f>IFERROR(IF(Portafolio_Proyectos!$AR82="","",Portafolio_Proyectos!$C82),"")</f>
        <v/>
      </c>
      <c r="E247" s="5" t="str">
        <f>IFERROR(IF(Portafolio_Proyectos!$AR82="","",Portafolio_Proyectos!$B82),"")</f>
        <v/>
      </c>
      <c r="F247" s="5" t="str">
        <f>IFERROR(IF(Portafolio_Proyectos!$AR82="","",Portafolio_Proyectos!$D82),"")</f>
        <v/>
      </c>
      <c r="G247" s="5" t="str">
        <f>IFERROR(IF(Portafolio_Proyectos!$AR82="","",Portafolio_Proyectos!$A82),"")</f>
        <v/>
      </c>
      <c r="H247" s="5" t="str">
        <f>IFERROR(IF(Portafolio_Proyectos!$AR82="","",Portafolio_Proyectos!$E82),"")</f>
        <v/>
      </c>
    </row>
    <row r="248" spans="1:8" x14ac:dyDescent="0.35">
      <c r="A248" s="5" t="str">
        <f>IFERROR(IF(Portafolio_Proyectos!$AP83="","","CAP-"&amp;ROW()-1),"")</f>
        <v/>
      </c>
      <c r="B248" s="5" t="str">
        <f>IFERROR(IF(Portafolio_Proyectos!$AP83="","",Portafolio_Proyectos!$AP83),"")</f>
        <v/>
      </c>
      <c r="C248" s="5" t="str">
        <f>IFERROR(IF(Portafolio_Proyectos!$AP83="","","Emergente"),"")</f>
        <v/>
      </c>
      <c r="D248" s="5" t="str">
        <f>IFERROR(IF(Portafolio_Proyectos!$AP83="","",Portafolio_Proyectos!$C83),"")</f>
        <v/>
      </c>
      <c r="E248" s="5" t="str">
        <f>IFERROR(IF(Portafolio_Proyectos!$AP83="","",Portafolio_Proyectos!$B83),"")</f>
        <v/>
      </c>
      <c r="F248" s="5" t="str">
        <f>IFERROR(IF(Portafolio_Proyectos!$AP83="","",Portafolio_Proyectos!$D83),"")</f>
        <v/>
      </c>
      <c r="G248" s="5" t="str">
        <f>IFERROR(IF(Portafolio_Proyectos!$AP83="","",Portafolio_Proyectos!$A83),"")</f>
        <v/>
      </c>
      <c r="H248" s="5" t="str">
        <f>IFERROR(IF(Portafolio_Proyectos!$AP83="","",Portafolio_Proyectos!$E83),"")</f>
        <v/>
      </c>
    </row>
    <row r="249" spans="1:8" x14ac:dyDescent="0.35">
      <c r="A249" s="5" t="str">
        <f>IFERROR(IF(Portafolio_Proyectos!$AQ83="","","CAP-"&amp;ROW()-1),"")</f>
        <v/>
      </c>
      <c r="B249" s="5" t="str">
        <f>IFERROR(IF(Portafolio_Proyectos!$AQ83="","",Portafolio_Proyectos!$AQ83),"")</f>
        <v/>
      </c>
      <c r="C249" s="5" t="str">
        <f>IFERROR(IF(Portafolio_Proyectos!$AQ83="","","Consolidada"),"")</f>
        <v/>
      </c>
      <c r="D249" s="5" t="str">
        <f>IFERROR(IF(Portafolio_Proyectos!$AQ83="","",Portafolio_Proyectos!$C83),"")</f>
        <v/>
      </c>
      <c r="E249" s="5" t="str">
        <f>IFERROR(IF(Portafolio_Proyectos!$AQ83="","",Portafolio_Proyectos!$B83),"")</f>
        <v/>
      </c>
      <c r="F249" s="5" t="str">
        <f>IFERROR(IF(Portafolio_Proyectos!$AQ83="","",Portafolio_Proyectos!$D83),"")</f>
        <v/>
      </c>
      <c r="G249" s="5" t="str">
        <f>IFERROR(IF(Portafolio_Proyectos!$AQ83="","",Portafolio_Proyectos!$A83),"")</f>
        <v/>
      </c>
      <c r="H249" s="5" t="str">
        <f>IFERROR(IF(Portafolio_Proyectos!$AQ83="","",Portafolio_Proyectos!$E83),"")</f>
        <v/>
      </c>
    </row>
    <row r="250" spans="1:8" x14ac:dyDescent="0.35">
      <c r="A250" s="5" t="str">
        <f>IFERROR(IF(Portafolio_Proyectos!$AR83="","","CAP-"&amp;ROW()-1),"")</f>
        <v/>
      </c>
      <c r="B250" s="5" t="str">
        <f>IFERROR(IF(Portafolio_Proyectos!$AR83="","",Portafolio_Proyectos!$AR83),"")</f>
        <v/>
      </c>
      <c r="C250" s="5" t="str">
        <f>IFERROR(IF(Portafolio_Proyectos!$AR83="","","Distintiva"),"")</f>
        <v/>
      </c>
      <c r="D250" s="5" t="str">
        <f>IFERROR(IF(Portafolio_Proyectos!$AR83="","",Portafolio_Proyectos!$C83),"")</f>
        <v/>
      </c>
      <c r="E250" s="5" t="str">
        <f>IFERROR(IF(Portafolio_Proyectos!$AR83="","",Portafolio_Proyectos!$B83),"")</f>
        <v/>
      </c>
      <c r="F250" s="5" t="str">
        <f>IFERROR(IF(Portafolio_Proyectos!$AR83="","",Portafolio_Proyectos!$D83),"")</f>
        <v/>
      </c>
      <c r="G250" s="5" t="str">
        <f>IFERROR(IF(Portafolio_Proyectos!$AR83="","",Portafolio_Proyectos!$A83),"")</f>
        <v/>
      </c>
      <c r="H250" s="5" t="str">
        <f>IFERROR(IF(Portafolio_Proyectos!$AR83="","",Portafolio_Proyectos!$E83),"")</f>
        <v/>
      </c>
    </row>
    <row r="251" spans="1:8" x14ac:dyDescent="0.35">
      <c r="A251" s="5" t="str">
        <f>IFERROR(IF(Portafolio_Proyectos!$AP84="","","CAP-"&amp;ROW()-1),"")</f>
        <v/>
      </c>
      <c r="B251" s="5" t="str">
        <f>IFERROR(IF(Portafolio_Proyectos!$AP84="","",Portafolio_Proyectos!$AP84),"")</f>
        <v/>
      </c>
      <c r="C251" s="5" t="str">
        <f>IFERROR(IF(Portafolio_Proyectos!$AP84="","","Emergente"),"")</f>
        <v/>
      </c>
      <c r="D251" s="5" t="str">
        <f>IFERROR(IF(Portafolio_Proyectos!$AP84="","",Portafolio_Proyectos!$C84),"")</f>
        <v/>
      </c>
      <c r="E251" s="5" t="str">
        <f>IFERROR(IF(Portafolio_Proyectos!$AP84="","",Portafolio_Proyectos!$B84),"")</f>
        <v/>
      </c>
      <c r="F251" s="5" t="str">
        <f>IFERROR(IF(Portafolio_Proyectos!$AP84="","",Portafolio_Proyectos!$D84),"")</f>
        <v/>
      </c>
      <c r="G251" s="5" t="str">
        <f>IFERROR(IF(Portafolio_Proyectos!$AP84="","",Portafolio_Proyectos!$A84),"")</f>
        <v/>
      </c>
      <c r="H251" s="5" t="str">
        <f>IFERROR(IF(Portafolio_Proyectos!$AP84="","",Portafolio_Proyectos!$E84),"")</f>
        <v/>
      </c>
    </row>
    <row r="252" spans="1:8" x14ac:dyDescent="0.35">
      <c r="A252" s="5" t="str">
        <f>IFERROR(IF(Portafolio_Proyectos!$AQ84="","","CAP-"&amp;ROW()-1),"")</f>
        <v/>
      </c>
      <c r="B252" s="5" t="str">
        <f>IFERROR(IF(Portafolio_Proyectos!$AQ84="","",Portafolio_Proyectos!$AQ84),"")</f>
        <v/>
      </c>
      <c r="C252" s="5" t="str">
        <f>IFERROR(IF(Portafolio_Proyectos!$AQ84="","","Consolidada"),"")</f>
        <v/>
      </c>
      <c r="D252" s="5" t="str">
        <f>IFERROR(IF(Portafolio_Proyectos!$AQ84="","",Portafolio_Proyectos!$C84),"")</f>
        <v/>
      </c>
      <c r="E252" s="5" t="str">
        <f>IFERROR(IF(Portafolio_Proyectos!$AQ84="","",Portafolio_Proyectos!$B84),"")</f>
        <v/>
      </c>
      <c r="F252" s="5" t="str">
        <f>IFERROR(IF(Portafolio_Proyectos!$AQ84="","",Portafolio_Proyectos!$D84),"")</f>
        <v/>
      </c>
      <c r="G252" s="5" t="str">
        <f>IFERROR(IF(Portafolio_Proyectos!$AQ84="","",Portafolio_Proyectos!$A84),"")</f>
        <v/>
      </c>
      <c r="H252" s="5" t="str">
        <f>IFERROR(IF(Portafolio_Proyectos!$AQ84="","",Portafolio_Proyectos!$E84),"")</f>
        <v/>
      </c>
    </row>
    <row r="253" spans="1:8" x14ac:dyDescent="0.35">
      <c r="A253" s="5" t="str">
        <f>IFERROR(IF(Portafolio_Proyectos!$AR84="","","CAP-"&amp;ROW()-1),"")</f>
        <v/>
      </c>
      <c r="B253" s="5" t="str">
        <f>IFERROR(IF(Portafolio_Proyectos!$AR84="","",Portafolio_Proyectos!$AR84),"")</f>
        <v/>
      </c>
      <c r="C253" s="5" t="str">
        <f>IFERROR(IF(Portafolio_Proyectos!$AR84="","","Distintiva"),"")</f>
        <v/>
      </c>
      <c r="D253" s="5" t="str">
        <f>IFERROR(IF(Portafolio_Proyectos!$AR84="","",Portafolio_Proyectos!$C84),"")</f>
        <v/>
      </c>
      <c r="E253" s="5" t="str">
        <f>IFERROR(IF(Portafolio_Proyectos!$AR84="","",Portafolio_Proyectos!$B84),"")</f>
        <v/>
      </c>
      <c r="F253" s="5" t="str">
        <f>IFERROR(IF(Portafolio_Proyectos!$AR84="","",Portafolio_Proyectos!$D84),"")</f>
        <v/>
      </c>
      <c r="G253" s="5" t="str">
        <f>IFERROR(IF(Portafolio_Proyectos!$AR84="","",Portafolio_Proyectos!$A84),"")</f>
        <v/>
      </c>
      <c r="H253" s="5" t="str">
        <f>IFERROR(IF(Portafolio_Proyectos!$AR84="","",Portafolio_Proyectos!$E84),"")</f>
        <v/>
      </c>
    </row>
    <row r="254" spans="1:8" x14ac:dyDescent="0.35">
      <c r="A254" s="5" t="str">
        <f>IFERROR(IF(Portafolio_Proyectos!$AP85="","","CAP-"&amp;ROW()-1),"")</f>
        <v/>
      </c>
      <c r="B254" s="5" t="str">
        <f>IFERROR(IF(Portafolio_Proyectos!$AP85="","",Portafolio_Proyectos!$AP85),"")</f>
        <v/>
      </c>
      <c r="C254" s="5" t="str">
        <f>IFERROR(IF(Portafolio_Proyectos!$AP85="","","Emergente"),"")</f>
        <v/>
      </c>
      <c r="D254" s="5" t="str">
        <f>IFERROR(IF(Portafolio_Proyectos!$AP85="","",Portafolio_Proyectos!$C85),"")</f>
        <v/>
      </c>
      <c r="E254" s="5" t="str">
        <f>IFERROR(IF(Portafolio_Proyectos!$AP85="","",Portafolio_Proyectos!$B85),"")</f>
        <v/>
      </c>
      <c r="F254" s="5" t="str">
        <f>IFERROR(IF(Portafolio_Proyectos!$AP85="","",Portafolio_Proyectos!$D85),"")</f>
        <v/>
      </c>
      <c r="G254" s="5" t="str">
        <f>IFERROR(IF(Portafolio_Proyectos!$AP85="","",Portafolio_Proyectos!$A85),"")</f>
        <v/>
      </c>
      <c r="H254" s="5" t="str">
        <f>IFERROR(IF(Portafolio_Proyectos!$AP85="","",Portafolio_Proyectos!$E85),"")</f>
        <v/>
      </c>
    </row>
    <row r="255" spans="1:8" x14ac:dyDescent="0.35">
      <c r="A255" s="5" t="str">
        <f>IFERROR(IF(Portafolio_Proyectos!$AQ85="","","CAP-"&amp;ROW()-1),"")</f>
        <v/>
      </c>
      <c r="B255" s="5" t="str">
        <f>IFERROR(IF(Portafolio_Proyectos!$AQ85="","",Portafolio_Proyectos!$AQ85),"")</f>
        <v/>
      </c>
      <c r="C255" s="5" t="str">
        <f>IFERROR(IF(Portafolio_Proyectos!$AQ85="","","Consolidada"),"")</f>
        <v/>
      </c>
      <c r="D255" s="5" t="str">
        <f>IFERROR(IF(Portafolio_Proyectos!$AQ85="","",Portafolio_Proyectos!$C85),"")</f>
        <v/>
      </c>
      <c r="E255" s="5" t="str">
        <f>IFERROR(IF(Portafolio_Proyectos!$AQ85="","",Portafolio_Proyectos!$B85),"")</f>
        <v/>
      </c>
      <c r="F255" s="5" t="str">
        <f>IFERROR(IF(Portafolio_Proyectos!$AQ85="","",Portafolio_Proyectos!$D85),"")</f>
        <v/>
      </c>
      <c r="G255" s="5" t="str">
        <f>IFERROR(IF(Portafolio_Proyectos!$AQ85="","",Portafolio_Proyectos!$A85),"")</f>
        <v/>
      </c>
      <c r="H255" s="5" t="str">
        <f>IFERROR(IF(Portafolio_Proyectos!$AQ85="","",Portafolio_Proyectos!$E85),"")</f>
        <v/>
      </c>
    </row>
    <row r="256" spans="1:8" x14ac:dyDescent="0.35">
      <c r="A256" s="5" t="str">
        <f>IFERROR(IF(Portafolio_Proyectos!$AR85="","","CAP-"&amp;ROW()-1),"")</f>
        <v/>
      </c>
      <c r="B256" s="5" t="str">
        <f>IFERROR(IF(Portafolio_Proyectos!$AR85="","",Portafolio_Proyectos!$AR85),"")</f>
        <v/>
      </c>
      <c r="C256" s="5" t="str">
        <f>IFERROR(IF(Portafolio_Proyectos!$AR85="","","Distintiva"),"")</f>
        <v/>
      </c>
      <c r="D256" s="5" t="str">
        <f>IFERROR(IF(Portafolio_Proyectos!$AR85="","",Portafolio_Proyectos!$C85),"")</f>
        <v/>
      </c>
      <c r="E256" s="5" t="str">
        <f>IFERROR(IF(Portafolio_Proyectos!$AR85="","",Portafolio_Proyectos!$B85),"")</f>
        <v/>
      </c>
      <c r="F256" s="5" t="str">
        <f>IFERROR(IF(Portafolio_Proyectos!$AR85="","",Portafolio_Proyectos!$D85),"")</f>
        <v/>
      </c>
      <c r="G256" s="5" t="str">
        <f>IFERROR(IF(Portafolio_Proyectos!$AR85="","",Portafolio_Proyectos!$A85),"")</f>
        <v/>
      </c>
      <c r="H256" s="5" t="str">
        <f>IFERROR(IF(Portafolio_Proyectos!$AR85="","",Portafolio_Proyectos!$E85),"")</f>
        <v/>
      </c>
    </row>
    <row r="257" spans="1:8" x14ac:dyDescent="0.35">
      <c r="A257" s="5" t="str">
        <f>IFERROR(IF(Portafolio_Proyectos!$AP86="","","CAP-"&amp;ROW()-1),"")</f>
        <v/>
      </c>
      <c r="B257" s="5" t="str">
        <f>IFERROR(IF(Portafolio_Proyectos!$AP86="","",Portafolio_Proyectos!$AP86),"")</f>
        <v/>
      </c>
      <c r="C257" s="5" t="str">
        <f>IFERROR(IF(Portafolio_Proyectos!$AP86="","","Emergente"),"")</f>
        <v/>
      </c>
      <c r="D257" s="5" t="str">
        <f>IFERROR(IF(Portafolio_Proyectos!$AP86="","",Portafolio_Proyectos!$C86),"")</f>
        <v/>
      </c>
      <c r="E257" s="5" t="str">
        <f>IFERROR(IF(Portafolio_Proyectos!$AP86="","",Portafolio_Proyectos!$B86),"")</f>
        <v/>
      </c>
      <c r="F257" s="5" t="str">
        <f>IFERROR(IF(Portafolio_Proyectos!$AP86="","",Portafolio_Proyectos!$D86),"")</f>
        <v/>
      </c>
      <c r="G257" s="5" t="str">
        <f>IFERROR(IF(Portafolio_Proyectos!$AP86="","",Portafolio_Proyectos!$A86),"")</f>
        <v/>
      </c>
      <c r="H257" s="5" t="str">
        <f>IFERROR(IF(Portafolio_Proyectos!$AP86="","",Portafolio_Proyectos!$E86),"")</f>
        <v/>
      </c>
    </row>
    <row r="258" spans="1:8" x14ac:dyDescent="0.35">
      <c r="A258" s="5" t="str">
        <f>IFERROR(IF(Portafolio_Proyectos!$AQ86="","","CAP-"&amp;ROW()-1),"")</f>
        <v/>
      </c>
      <c r="B258" s="5" t="str">
        <f>IFERROR(IF(Portafolio_Proyectos!$AQ86="","",Portafolio_Proyectos!$AQ86),"")</f>
        <v/>
      </c>
      <c r="C258" s="5" t="str">
        <f>IFERROR(IF(Portafolio_Proyectos!$AQ86="","","Consolidada"),"")</f>
        <v/>
      </c>
      <c r="D258" s="5" t="str">
        <f>IFERROR(IF(Portafolio_Proyectos!$AQ86="","",Portafolio_Proyectos!$C86),"")</f>
        <v/>
      </c>
      <c r="E258" s="5" t="str">
        <f>IFERROR(IF(Portafolio_Proyectos!$AQ86="","",Portafolio_Proyectos!$B86),"")</f>
        <v/>
      </c>
      <c r="F258" s="5" t="str">
        <f>IFERROR(IF(Portafolio_Proyectos!$AQ86="","",Portafolio_Proyectos!$D86),"")</f>
        <v/>
      </c>
      <c r="G258" s="5" t="str">
        <f>IFERROR(IF(Portafolio_Proyectos!$AQ86="","",Portafolio_Proyectos!$A86),"")</f>
        <v/>
      </c>
      <c r="H258" s="5" t="str">
        <f>IFERROR(IF(Portafolio_Proyectos!$AQ86="","",Portafolio_Proyectos!$E86),"")</f>
        <v/>
      </c>
    </row>
    <row r="259" spans="1:8" x14ac:dyDescent="0.35">
      <c r="A259" s="5" t="str">
        <f>IFERROR(IF(Portafolio_Proyectos!$AR86="","","CAP-"&amp;ROW()-1),"")</f>
        <v/>
      </c>
      <c r="B259" s="5" t="str">
        <f>IFERROR(IF(Portafolio_Proyectos!$AR86="","",Portafolio_Proyectos!$AR86),"")</f>
        <v/>
      </c>
      <c r="C259" s="5" t="str">
        <f>IFERROR(IF(Portafolio_Proyectos!$AR86="","","Distintiva"),"")</f>
        <v/>
      </c>
      <c r="D259" s="5" t="str">
        <f>IFERROR(IF(Portafolio_Proyectos!$AR86="","",Portafolio_Proyectos!$C86),"")</f>
        <v/>
      </c>
      <c r="E259" s="5" t="str">
        <f>IFERROR(IF(Portafolio_Proyectos!$AR86="","",Portafolio_Proyectos!$B86),"")</f>
        <v/>
      </c>
      <c r="F259" s="5" t="str">
        <f>IFERROR(IF(Portafolio_Proyectos!$AR86="","",Portafolio_Proyectos!$D86),"")</f>
        <v/>
      </c>
      <c r="G259" s="5" t="str">
        <f>IFERROR(IF(Portafolio_Proyectos!$AR86="","",Portafolio_Proyectos!$A86),"")</f>
        <v/>
      </c>
      <c r="H259" s="5" t="str">
        <f>IFERROR(IF(Portafolio_Proyectos!$AR86="","",Portafolio_Proyectos!$E86),"")</f>
        <v/>
      </c>
    </row>
    <row r="260" spans="1:8" x14ac:dyDescent="0.35">
      <c r="A260" s="5" t="str">
        <f>IFERROR(IF(Portafolio_Proyectos!$AP87="","","CAP-"&amp;ROW()-1),"")</f>
        <v/>
      </c>
      <c r="B260" s="5" t="str">
        <f>IFERROR(IF(Portafolio_Proyectos!$AP87="","",Portafolio_Proyectos!$AP87),"")</f>
        <v/>
      </c>
      <c r="C260" s="5" t="str">
        <f>IFERROR(IF(Portafolio_Proyectos!$AP87="","","Emergente"),"")</f>
        <v/>
      </c>
      <c r="D260" s="5" t="str">
        <f>IFERROR(IF(Portafolio_Proyectos!$AP87="","",Portafolio_Proyectos!$C87),"")</f>
        <v/>
      </c>
      <c r="E260" s="5" t="str">
        <f>IFERROR(IF(Portafolio_Proyectos!$AP87="","",Portafolio_Proyectos!$B87),"")</f>
        <v/>
      </c>
      <c r="F260" s="5" t="str">
        <f>IFERROR(IF(Portafolio_Proyectos!$AP87="","",Portafolio_Proyectos!$D87),"")</f>
        <v/>
      </c>
      <c r="G260" s="5" t="str">
        <f>IFERROR(IF(Portafolio_Proyectos!$AP87="","",Portafolio_Proyectos!$A87),"")</f>
        <v/>
      </c>
      <c r="H260" s="5" t="str">
        <f>IFERROR(IF(Portafolio_Proyectos!$AP87="","",Portafolio_Proyectos!$E87),"")</f>
        <v/>
      </c>
    </row>
    <row r="261" spans="1:8" x14ac:dyDescent="0.35">
      <c r="A261" s="5" t="str">
        <f>IFERROR(IF(Portafolio_Proyectos!$AQ87="","","CAP-"&amp;ROW()-1),"")</f>
        <v/>
      </c>
      <c r="B261" s="5" t="str">
        <f>IFERROR(IF(Portafolio_Proyectos!$AQ87="","",Portafolio_Proyectos!$AQ87),"")</f>
        <v/>
      </c>
      <c r="C261" s="5" t="str">
        <f>IFERROR(IF(Portafolio_Proyectos!$AQ87="","","Consolidada"),"")</f>
        <v/>
      </c>
      <c r="D261" s="5" t="str">
        <f>IFERROR(IF(Portafolio_Proyectos!$AQ87="","",Portafolio_Proyectos!$C87),"")</f>
        <v/>
      </c>
      <c r="E261" s="5" t="str">
        <f>IFERROR(IF(Portafolio_Proyectos!$AQ87="","",Portafolio_Proyectos!$B87),"")</f>
        <v/>
      </c>
      <c r="F261" s="5" t="str">
        <f>IFERROR(IF(Portafolio_Proyectos!$AQ87="","",Portafolio_Proyectos!$D87),"")</f>
        <v/>
      </c>
      <c r="G261" s="5" t="str">
        <f>IFERROR(IF(Portafolio_Proyectos!$AQ87="","",Portafolio_Proyectos!$A87),"")</f>
        <v/>
      </c>
      <c r="H261" s="5" t="str">
        <f>IFERROR(IF(Portafolio_Proyectos!$AQ87="","",Portafolio_Proyectos!$E87),"")</f>
        <v/>
      </c>
    </row>
    <row r="262" spans="1:8" x14ac:dyDescent="0.35">
      <c r="A262" s="5" t="str">
        <f>IFERROR(IF(Portafolio_Proyectos!$AR87="","","CAP-"&amp;ROW()-1),"")</f>
        <v/>
      </c>
      <c r="B262" s="5" t="str">
        <f>IFERROR(IF(Portafolio_Proyectos!$AR87="","",Portafolio_Proyectos!$AR87),"")</f>
        <v/>
      </c>
      <c r="C262" s="5" t="str">
        <f>IFERROR(IF(Portafolio_Proyectos!$AR87="","","Distintiva"),"")</f>
        <v/>
      </c>
      <c r="D262" s="5" t="str">
        <f>IFERROR(IF(Portafolio_Proyectos!$AR87="","",Portafolio_Proyectos!$C87),"")</f>
        <v/>
      </c>
      <c r="E262" s="5" t="str">
        <f>IFERROR(IF(Portafolio_Proyectos!$AR87="","",Portafolio_Proyectos!$B87),"")</f>
        <v/>
      </c>
      <c r="F262" s="5" t="str">
        <f>IFERROR(IF(Portafolio_Proyectos!$AR87="","",Portafolio_Proyectos!$D87),"")</f>
        <v/>
      </c>
      <c r="G262" s="5" t="str">
        <f>IFERROR(IF(Portafolio_Proyectos!$AR87="","",Portafolio_Proyectos!$A87),"")</f>
        <v/>
      </c>
      <c r="H262" s="5" t="str">
        <f>IFERROR(IF(Portafolio_Proyectos!$AR87="","",Portafolio_Proyectos!$E87),"")</f>
        <v/>
      </c>
    </row>
    <row r="263" spans="1:8" x14ac:dyDescent="0.35">
      <c r="A263" s="5" t="str">
        <f>IFERROR(IF(Portafolio_Proyectos!$AP88="","","CAP-"&amp;ROW()-1),"")</f>
        <v/>
      </c>
      <c r="B263" s="5" t="str">
        <f>IFERROR(IF(Portafolio_Proyectos!$AP88="","",Portafolio_Proyectos!$AP88),"")</f>
        <v/>
      </c>
      <c r="C263" s="5" t="str">
        <f>IFERROR(IF(Portafolio_Proyectos!$AP88="","","Emergente"),"")</f>
        <v/>
      </c>
      <c r="D263" s="5" t="str">
        <f>IFERROR(IF(Portafolio_Proyectos!$AP88="","",Portafolio_Proyectos!$C88),"")</f>
        <v/>
      </c>
      <c r="E263" s="5" t="str">
        <f>IFERROR(IF(Portafolio_Proyectos!$AP88="","",Portafolio_Proyectos!$B88),"")</f>
        <v/>
      </c>
      <c r="F263" s="5" t="str">
        <f>IFERROR(IF(Portafolio_Proyectos!$AP88="","",Portafolio_Proyectos!$D88),"")</f>
        <v/>
      </c>
      <c r="G263" s="5" t="str">
        <f>IFERROR(IF(Portafolio_Proyectos!$AP88="","",Portafolio_Proyectos!$A88),"")</f>
        <v/>
      </c>
      <c r="H263" s="5" t="str">
        <f>IFERROR(IF(Portafolio_Proyectos!$AP88="","",Portafolio_Proyectos!$E88),"")</f>
        <v/>
      </c>
    </row>
    <row r="264" spans="1:8" x14ac:dyDescent="0.35">
      <c r="A264" s="5" t="str">
        <f>IFERROR(IF(Portafolio_Proyectos!$AQ88="","","CAP-"&amp;ROW()-1),"")</f>
        <v/>
      </c>
      <c r="B264" s="5" t="str">
        <f>IFERROR(IF(Portafolio_Proyectos!$AQ88="","",Portafolio_Proyectos!$AQ88),"")</f>
        <v/>
      </c>
      <c r="C264" s="5" t="str">
        <f>IFERROR(IF(Portafolio_Proyectos!$AQ88="","","Consolidada"),"")</f>
        <v/>
      </c>
      <c r="D264" s="5" t="str">
        <f>IFERROR(IF(Portafolio_Proyectos!$AQ88="","",Portafolio_Proyectos!$C88),"")</f>
        <v/>
      </c>
      <c r="E264" s="5" t="str">
        <f>IFERROR(IF(Portafolio_Proyectos!$AQ88="","",Portafolio_Proyectos!$B88),"")</f>
        <v/>
      </c>
      <c r="F264" s="5" t="str">
        <f>IFERROR(IF(Portafolio_Proyectos!$AQ88="","",Portafolio_Proyectos!$D88),"")</f>
        <v/>
      </c>
      <c r="G264" s="5" t="str">
        <f>IFERROR(IF(Portafolio_Proyectos!$AQ88="","",Portafolio_Proyectos!$A88),"")</f>
        <v/>
      </c>
      <c r="H264" s="5" t="str">
        <f>IFERROR(IF(Portafolio_Proyectos!$AQ88="","",Portafolio_Proyectos!$E88),"")</f>
        <v/>
      </c>
    </row>
    <row r="265" spans="1:8" x14ac:dyDescent="0.35">
      <c r="A265" s="5" t="str">
        <f>IFERROR(IF(Portafolio_Proyectos!$AR88="","","CAP-"&amp;ROW()-1),"")</f>
        <v/>
      </c>
      <c r="B265" s="5" t="str">
        <f>IFERROR(IF(Portafolio_Proyectos!$AR88="","",Portafolio_Proyectos!$AR88),"")</f>
        <v/>
      </c>
      <c r="C265" s="5" t="str">
        <f>IFERROR(IF(Portafolio_Proyectos!$AR88="","","Distintiva"),"")</f>
        <v/>
      </c>
      <c r="D265" s="5" t="str">
        <f>IFERROR(IF(Portafolio_Proyectos!$AR88="","",Portafolio_Proyectos!$C88),"")</f>
        <v/>
      </c>
      <c r="E265" s="5" t="str">
        <f>IFERROR(IF(Portafolio_Proyectos!$AR88="","",Portafolio_Proyectos!$B88),"")</f>
        <v/>
      </c>
      <c r="F265" s="5" t="str">
        <f>IFERROR(IF(Portafolio_Proyectos!$AR88="","",Portafolio_Proyectos!$D88),"")</f>
        <v/>
      </c>
      <c r="G265" s="5" t="str">
        <f>IFERROR(IF(Portafolio_Proyectos!$AR88="","",Portafolio_Proyectos!$A88),"")</f>
        <v/>
      </c>
      <c r="H265" s="5" t="str">
        <f>IFERROR(IF(Portafolio_Proyectos!$AR88="","",Portafolio_Proyectos!$E88),"")</f>
        <v/>
      </c>
    </row>
    <row r="266" spans="1:8" x14ac:dyDescent="0.35">
      <c r="A266" s="5" t="str">
        <f>IFERROR(IF(Portafolio_Proyectos!$AP89="","","CAP-"&amp;ROW()-1),"")</f>
        <v/>
      </c>
      <c r="B266" s="5" t="str">
        <f>IFERROR(IF(Portafolio_Proyectos!$AP89="","",Portafolio_Proyectos!$AP89),"")</f>
        <v/>
      </c>
      <c r="C266" s="5" t="str">
        <f>IFERROR(IF(Portafolio_Proyectos!$AP89="","","Emergente"),"")</f>
        <v/>
      </c>
      <c r="D266" s="5" t="str">
        <f>IFERROR(IF(Portafolio_Proyectos!$AP89="","",Portafolio_Proyectos!$C89),"")</f>
        <v/>
      </c>
      <c r="E266" s="5" t="str">
        <f>IFERROR(IF(Portafolio_Proyectos!$AP89="","",Portafolio_Proyectos!$B89),"")</f>
        <v/>
      </c>
      <c r="F266" s="5" t="str">
        <f>IFERROR(IF(Portafolio_Proyectos!$AP89="","",Portafolio_Proyectos!$D89),"")</f>
        <v/>
      </c>
      <c r="G266" s="5" t="str">
        <f>IFERROR(IF(Portafolio_Proyectos!$AP89="","",Portafolio_Proyectos!$A89),"")</f>
        <v/>
      </c>
      <c r="H266" s="5" t="str">
        <f>IFERROR(IF(Portafolio_Proyectos!$AP89="","",Portafolio_Proyectos!$E89),"")</f>
        <v/>
      </c>
    </row>
    <row r="267" spans="1:8" x14ac:dyDescent="0.35">
      <c r="A267" s="5" t="str">
        <f>IFERROR(IF(Portafolio_Proyectos!$AQ89="","","CAP-"&amp;ROW()-1),"")</f>
        <v/>
      </c>
      <c r="B267" s="5" t="str">
        <f>IFERROR(IF(Portafolio_Proyectos!$AQ89="","",Portafolio_Proyectos!$AQ89),"")</f>
        <v/>
      </c>
      <c r="C267" s="5" t="str">
        <f>IFERROR(IF(Portafolio_Proyectos!$AQ89="","","Consolidada"),"")</f>
        <v/>
      </c>
      <c r="D267" s="5" t="str">
        <f>IFERROR(IF(Portafolio_Proyectos!$AQ89="","",Portafolio_Proyectos!$C89),"")</f>
        <v/>
      </c>
      <c r="E267" s="5" t="str">
        <f>IFERROR(IF(Portafolio_Proyectos!$AQ89="","",Portafolio_Proyectos!$B89),"")</f>
        <v/>
      </c>
      <c r="F267" s="5" t="str">
        <f>IFERROR(IF(Portafolio_Proyectos!$AQ89="","",Portafolio_Proyectos!$D89),"")</f>
        <v/>
      </c>
      <c r="G267" s="5" t="str">
        <f>IFERROR(IF(Portafolio_Proyectos!$AQ89="","",Portafolio_Proyectos!$A89),"")</f>
        <v/>
      </c>
      <c r="H267" s="5" t="str">
        <f>IFERROR(IF(Portafolio_Proyectos!$AQ89="","",Portafolio_Proyectos!$E89),"")</f>
        <v/>
      </c>
    </row>
    <row r="268" spans="1:8" x14ac:dyDescent="0.35">
      <c r="A268" s="5" t="str">
        <f>IFERROR(IF(Portafolio_Proyectos!$AR89="","","CAP-"&amp;ROW()-1),"")</f>
        <v/>
      </c>
      <c r="B268" s="5" t="str">
        <f>IFERROR(IF(Portafolio_Proyectos!$AR89="","",Portafolio_Proyectos!$AR89),"")</f>
        <v/>
      </c>
      <c r="C268" s="5" t="str">
        <f>IFERROR(IF(Portafolio_Proyectos!$AR89="","","Distintiva"),"")</f>
        <v/>
      </c>
      <c r="D268" s="5" t="str">
        <f>IFERROR(IF(Portafolio_Proyectos!$AR89="","",Portafolio_Proyectos!$C89),"")</f>
        <v/>
      </c>
      <c r="E268" s="5" t="str">
        <f>IFERROR(IF(Portafolio_Proyectos!$AR89="","",Portafolio_Proyectos!$B89),"")</f>
        <v/>
      </c>
      <c r="F268" s="5" t="str">
        <f>IFERROR(IF(Portafolio_Proyectos!$AR89="","",Portafolio_Proyectos!$D89),"")</f>
        <v/>
      </c>
      <c r="G268" s="5" t="str">
        <f>IFERROR(IF(Portafolio_Proyectos!$AR89="","",Portafolio_Proyectos!$A89),"")</f>
        <v/>
      </c>
      <c r="H268" s="5" t="str">
        <f>IFERROR(IF(Portafolio_Proyectos!$AR89="","",Portafolio_Proyectos!$E89),"")</f>
        <v/>
      </c>
    </row>
    <row r="269" spans="1:8" x14ac:dyDescent="0.35">
      <c r="A269" s="5" t="str">
        <f>IFERROR(IF(Portafolio_Proyectos!$AP90="","","CAP-"&amp;ROW()-1),"")</f>
        <v/>
      </c>
      <c r="B269" s="5" t="str">
        <f>IFERROR(IF(Portafolio_Proyectos!$AP90="","",Portafolio_Proyectos!$AP90),"")</f>
        <v/>
      </c>
      <c r="C269" s="5" t="str">
        <f>IFERROR(IF(Portafolio_Proyectos!$AP90="","","Emergente"),"")</f>
        <v/>
      </c>
      <c r="D269" s="5" t="str">
        <f>IFERROR(IF(Portafolio_Proyectos!$AP90="","",Portafolio_Proyectos!$C90),"")</f>
        <v/>
      </c>
      <c r="E269" s="5" t="str">
        <f>IFERROR(IF(Portafolio_Proyectos!$AP90="","",Portafolio_Proyectos!$B90),"")</f>
        <v/>
      </c>
      <c r="F269" s="5" t="str">
        <f>IFERROR(IF(Portafolio_Proyectos!$AP90="","",Portafolio_Proyectos!$D90),"")</f>
        <v/>
      </c>
      <c r="G269" s="5" t="str">
        <f>IFERROR(IF(Portafolio_Proyectos!$AP90="","",Portafolio_Proyectos!$A90),"")</f>
        <v/>
      </c>
      <c r="H269" s="5" t="str">
        <f>IFERROR(IF(Portafolio_Proyectos!$AP90="","",Portafolio_Proyectos!$E90),"")</f>
        <v/>
      </c>
    </row>
    <row r="270" spans="1:8" x14ac:dyDescent="0.35">
      <c r="A270" s="5" t="str">
        <f>IFERROR(IF(Portafolio_Proyectos!$AQ90="","","CAP-"&amp;ROW()-1),"")</f>
        <v/>
      </c>
      <c r="B270" s="5" t="str">
        <f>IFERROR(IF(Portafolio_Proyectos!$AQ90="","",Portafolio_Proyectos!$AQ90),"")</f>
        <v/>
      </c>
      <c r="C270" s="5" t="str">
        <f>IFERROR(IF(Portafolio_Proyectos!$AQ90="","","Consolidada"),"")</f>
        <v/>
      </c>
      <c r="D270" s="5" t="str">
        <f>IFERROR(IF(Portafolio_Proyectos!$AQ90="","",Portafolio_Proyectos!$C90),"")</f>
        <v/>
      </c>
      <c r="E270" s="5" t="str">
        <f>IFERROR(IF(Portafolio_Proyectos!$AQ90="","",Portafolio_Proyectos!$B90),"")</f>
        <v/>
      </c>
      <c r="F270" s="5" t="str">
        <f>IFERROR(IF(Portafolio_Proyectos!$AQ90="","",Portafolio_Proyectos!$D90),"")</f>
        <v/>
      </c>
      <c r="G270" s="5" t="str">
        <f>IFERROR(IF(Portafolio_Proyectos!$AQ90="","",Portafolio_Proyectos!$A90),"")</f>
        <v/>
      </c>
      <c r="H270" s="5" t="str">
        <f>IFERROR(IF(Portafolio_Proyectos!$AQ90="","",Portafolio_Proyectos!$E90),"")</f>
        <v/>
      </c>
    </row>
    <row r="271" spans="1:8" x14ac:dyDescent="0.35">
      <c r="A271" s="5" t="str">
        <f>IFERROR(IF(Portafolio_Proyectos!$AR90="","","CAP-"&amp;ROW()-1),"")</f>
        <v/>
      </c>
      <c r="B271" s="5" t="str">
        <f>IFERROR(IF(Portafolio_Proyectos!$AR90="","",Portafolio_Proyectos!$AR90),"")</f>
        <v/>
      </c>
      <c r="C271" s="5" t="str">
        <f>IFERROR(IF(Portafolio_Proyectos!$AR90="","","Distintiva"),"")</f>
        <v/>
      </c>
      <c r="D271" s="5" t="str">
        <f>IFERROR(IF(Portafolio_Proyectos!$AR90="","",Portafolio_Proyectos!$C90),"")</f>
        <v/>
      </c>
      <c r="E271" s="5" t="str">
        <f>IFERROR(IF(Portafolio_Proyectos!$AR90="","",Portafolio_Proyectos!$B90),"")</f>
        <v/>
      </c>
      <c r="F271" s="5" t="str">
        <f>IFERROR(IF(Portafolio_Proyectos!$AR90="","",Portafolio_Proyectos!$D90),"")</f>
        <v/>
      </c>
      <c r="G271" s="5" t="str">
        <f>IFERROR(IF(Portafolio_Proyectos!$AR90="","",Portafolio_Proyectos!$A90),"")</f>
        <v/>
      </c>
      <c r="H271" s="5" t="str">
        <f>IFERROR(IF(Portafolio_Proyectos!$AR90="","",Portafolio_Proyectos!$E90),"")</f>
        <v/>
      </c>
    </row>
    <row r="272" spans="1:8" x14ac:dyDescent="0.35">
      <c r="A272" s="5" t="str">
        <f>IFERROR(IF(Portafolio_Proyectos!$AP91="","","CAP-"&amp;ROW()-1),"")</f>
        <v/>
      </c>
      <c r="B272" s="5" t="str">
        <f>IFERROR(IF(Portafolio_Proyectos!$AP91="","",Portafolio_Proyectos!$AP91),"")</f>
        <v/>
      </c>
      <c r="C272" s="5" t="str">
        <f>IFERROR(IF(Portafolio_Proyectos!$AP91="","","Emergente"),"")</f>
        <v/>
      </c>
      <c r="D272" s="5" t="str">
        <f>IFERROR(IF(Portafolio_Proyectos!$AP91="","",Portafolio_Proyectos!$C91),"")</f>
        <v/>
      </c>
      <c r="E272" s="5" t="str">
        <f>IFERROR(IF(Portafolio_Proyectos!$AP91="","",Portafolio_Proyectos!$B91),"")</f>
        <v/>
      </c>
      <c r="F272" s="5" t="str">
        <f>IFERROR(IF(Portafolio_Proyectos!$AP91="","",Portafolio_Proyectos!$D91),"")</f>
        <v/>
      </c>
      <c r="G272" s="5" t="str">
        <f>IFERROR(IF(Portafolio_Proyectos!$AP91="","",Portafolio_Proyectos!$A91),"")</f>
        <v/>
      </c>
      <c r="H272" s="5" t="str">
        <f>IFERROR(IF(Portafolio_Proyectos!$AP91="","",Portafolio_Proyectos!$E91),"")</f>
        <v/>
      </c>
    </row>
    <row r="273" spans="1:8" x14ac:dyDescent="0.35">
      <c r="A273" s="5" t="str">
        <f>IFERROR(IF(Portafolio_Proyectos!$AQ91="","","CAP-"&amp;ROW()-1),"")</f>
        <v/>
      </c>
      <c r="B273" s="5" t="str">
        <f>IFERROR(IF(Portafolio_Proyectos!$AQ91="","",Portafolio_Proyectos!$AQ91),"")</f>
        <v/>
      </c>
      <c r="C273" s="5" t="str">
        <f>IFERROR(IF(Portafolio_Proyectos!$AQ91="","","Consolidada"),"")</f>
        <v/>
      </c>
      <c r="D273" s="5" t="str">
        <f>IFERROR(IF(Portafolio_Proyectos!$AQ91="","",Portafolio_Proyectos!$C91),"")</f>
        <v/>
      </c>
      <c r="E273" s="5" t="str">
        <f>IFERROR(IF(Portafolio_Proyectos!$AQ91="","",Portafolio_Proyectos!$B91),"")</f>
        <v/>
      </c>
      <c r="F273" s="5" t="str">
        <f>IFERROR(IF(Portafolio_Proyectos!$AQ91="","",Portafolio_Proyectos!$D91),"")</f>
        <v/>
      </c>
      <c r="G273" s="5" t="str">
        <f>IFERROR(IF(Portafolio_Proyectos!$AQ91="","",Portafolio_Proyectos!$A91),"")</f>
        <v/>
      </c>
      <c r="H273" s="5" t="str">
        <f>IFERROR(IF(Portafolio_Proyectos!$AQ91="","",Portafolio_Proyectos!$E91),"")</f>
        <v/>
      </c>
    </row>
    <row r="274" spans="1:8" x14ac:dyDescent="0.35">
      <c r="A274" s="5" t="str">
        <f>IFERROR(IF(Portafolio_Proyectos!$AR91="","","CAP-"&amp;ROW()-1),"")</f>
        <v/>
      </c>
      <c r="B274" s="5" t="str">
        <f>IFERROR(IF(Portafolio_Proyectos!$AR91="","",Portafolio_Proyectos!$AR91),"")</f>
        <v/>
      </c>
      <c r="C274" s="5" t="str">
        <f>IFERROR(IF(Portafolio_Proyectos!$AR91="","","Distintiva"),"")</f>
        <v/>
      </c>
      <c r="D274" s="5" t="str">
        <f>IFERROR(IF(Portafolio_Proyectos!$AR91="","",Portafolio_Proyectos!$C91),"")</f>
        <v/>
      </c>
      <c r="E274" s="5" t="str">
        <f>IFERROR(IF(Portafolio_Proyectos!$AR91="","",Portafolio_Proyectos!$B91),"")</f>
        <v/>
      </c>
      <c r="F274" s="5" t="str">
        <f>IFERROR(IF(Portafolio_Proyectos!$AR91="","",Portafolio_Proyectos!$D91),"")</f>
        <v/>
      </c>
      <c r="G274" s="5" t="str">
        <f>IFERROR(IF(Portafolio_Proyectos!$AR91="","",Portafolio_Proyectos!$A91),"")</f>
        <v/>
      </c>
      <c r="H274" s="5" t="str">
        <f>IFERROR(IF(Portafolio_Proyectos!$AR91="","",Portafolio_Proyectos!$E91),"")</f>
        <v/>
      </c>
    </row>
    <row r="275" spans="1:8" x14ac:dyDescent="0.35">
      <c r="A275" s="5" t="str">
        <f>IFERROR(IF(Portafolio_Proyectos!$AP92="","","CAP-"&amp;ROW()-1),"")</f>
        <v/>
      </c>
      <c r="B275" s="5" t="str">
        <f>IFERROR(IF(Portafolio_Proyectos!$AP92="","",Portafolio_Proyectos!$AP92),"")</f>
        <v/>
      </c>
      <c r="C275" s="5" t="str">
        <f>IFERROR(IF(Portafolio_Proyectos!$AP92="","","Emergente"),"")</f>
        <v/>
      </c>
      <c r="D275" s="5" t="str">
        <f>IFERROR(IF(Portafolio_Proyectos!$AP92="","",Portafolio_Proyectos!$C92),"")</f>
        <v/>
      </c>
      <c r="E275" s="5" t="str">
        <f>IFERROR(IF(Portafolio_Proyectos!$AP92="","",Portafolio_Proyectos!$B92),"")</f>
        <v/>
      </c>
      <c r="F275" s="5" t="str">
        <f>IFERROR(IF(Portafolio_Proyectos!$AP92="","",Portafolio_Proyectos!$D92),"")</f>
        <v/>
      </c>
      <c r="G275" s="5" t="str">
        <f>IFERROR(IF(Portafolio_Proyectos!$AP92="","",Portafolio_Proyectos!$A92),"")</f>
        <v/>
      </c>
      <c r="H275" s="5" t="str">
        <f>IFERROR(IF(Portafolio_Proyectos!$AP92="","",Portafolio_Proyectos!$E92),"")</f>
        <v/>
      </c>
    </row>
    <row r="276" spans="1:8" x14ac:dyDescent="0.35">
      <c r="A276" s="5" t="str">
        <f>IFERROR(IF(Portafolio_Proyectos!$AQ92="","","CAP-"&amp;ROW()-1),"")</f>
        <v/>
      </c>
      <c r="B276" s="5" t="str">
        <f>IFERROR(IF(Portafolio_Proyectos!$AQ92="","",Portafolio_Proyectos!$AQ92),"")</f>
        <v/>
      </c>
      <c r="C276" s="5" t="str">
        <f>IFERROR(IF(Portafolio_Proyectos!$AQ92="","","Consolidada"),"")</f>
        <v/>
      </c>
      <c r="D276" s="5" t="str">
        <f>IFERROR(IF(Portafolio_Proyectos!$AQ92="","",Portafolio_Proyectos!$C92),"")</f>
        <v/>
      </c>
      <c r="E276" s="5" t="str">
        <f>IFERROR(IF(Portafolio_Proyectos!$AQ92="","",Portafolio_Proyectos!$B92),"")</f>
        <v/>
      </c>
      <c r="F276" s="5" t="str">
        <f>IFERROR(IF(Portafolio_Proyectos!$AQ92="","",Portafolio_Proyectos!$D92),"")</f>
        <v/>
      </c>
      <c r="G276" s="5" t="str">
        <f>IFERROR(IF(Portafolio_Proyectos!$AQ92="","",Portafolio_Proyectos!$A92),"")</f>
        <v/>
      </c>
      <c r="H276" s="5" t="str">
        <f>IFERROR(IF(Portafolio_Proyectos!$AQ92="","",Portafolio_Proyectos!$E92),"")</f>
        <v/>
      </c>
    </row>
    <row r="277" spans="1:8" x14ac:dyDescent="0.35">
      <c r="A277" s="5" t="str">
        <f>IFERROR(IF(Portafolio_Proyectos!$AR92="","","CAP-"&amp;ROW()-1),"")</f>
        <v/>
      </c>
      <c r="B277" s="5" t="str">
        <f>IFERROR(IF(Portafolio_Proyectos!$AR92="","",Portafolio_Proyectos!$AR92),"")</f>
        <v/>
      </c>
      <c r="C277" s="5" t="str">
        <f>IFERROR(IF(Portafolio_Proyectos!$AR92="","","Distintiva"),"")</f>
        <v/>
      </c>
      <c r="D277" s="5" t="str">
        <f>IFERROR(IF(Portafolio_Proyectos!$AR92="","",Portafolio_Proyectos!$C92),"")</f>
        <v/>
      </c>
      <c r="E277" s="5" t="str">
        <f>IFERROR(IF(Portafolio_Proyectos!$AR92="","",Portafolio_Proyectos!$B92),"")</f>
        <v/>
      </c>
      <c r="F277" s="5" t="str">
        <f>IFERROR(IF(Portafolio_Proyectos!$AR92="","",Portafolio_Proyectos!$D92),"")</f>
        <v/>
      </c>
      <c r="G277" s="5" t="str">
        <f>IFERROR(IF(Portafolio_Proyectos!$AR92="","",Portafolio_Proyectos!$A92),"")</f>
        <v/>
      </c>
      <c r="H277" s="5" t="str">
        <f>IFERROR(IF(Portafolio_Proyectos!$AR92="","",Portafolio_Proyectos!$E92),"")</f>
        <v/>
      </c>
    </row>
    <row r="278" spans="1:8" x14ac:dyDescent="0.35">
      <c r="A278" s="5" t="str">
        <f>IFERROR(IF(Portafolio_Proyectos!$AP93="","","CAP-"&amp;ROW()-1),"")</f>
        <v/>
      </c>
      <c r="B278" s="5" t="str">
        <f>IFERROR(IF(Portafolio_Proyectos!$AP93="","",Portafolio_Proyectos!$AP93),"")</f>
        <v/>
      </c>
      <c r="C278" s="5" t="str">
        <f>IFERROR(IF(Portafolio_Proyectos!$AP93="","","Emergente"),"")</f>
        <v/>
      </c>
      <c r="D278" s="5" t="str">
        <f>IFERROR(IF(Portafolio_Proyectos!$AP93="","",Portafolio_Proyectos!$C93),"")</f>
        <v/>
      </c>
      <c r="E278" s="5" t="str">
        <f>IFERROR(IF(Portafolio_Proyectos!$AP93="","",Portafolio_Proyectos!$B93),"")</f>
        <v/>
      </c>
      <c r="F278" s="5" t="str">
        <f>IFERROR(IF(Portafolio_Proyectos!$AP93="","",Portafolio_Proyectos!$D93),"")</f>
        <v/>
      </c>
      <c r="G278" s="5" t="str">
        <f>IFERROR(IF(Portafolio_Proyectos!$AP93="","",Portafolio_Proyectos!$A93),"")</f>
        <v/>
      </c>
      <c r="H278" s="5" t="str">
        <f>IFERROR(IF(Portafolio_Proyectos!$AP93="","",Portafolio_Proyectos!$E93),"")</f>
        <v/>
      </c>
    </row>
    <row r="279" spans="1:8" x14ac:dyDescent="0.35">
      <c r="A279" s="5" t="str">
        <f>IFERROR(IF(Portafolio_Proyectos!$AQ93="","","CAP-"&amp;ROW()-1),"")</f>
        <v/>
      </c>
      <c r="B279" s="5" t="str">
        <f>IFERROR(IF(Portafolio_Proyectos!$AQ93="","",Portafolio_Proyectos!$AQ93),"")</f>
        <v/>
      </c>
      <c r="C279" s="5" t="str">
        <f>IFERROR(IF(Portafolio_Proyectos!$AQ93="","","Consolidada"),"")</f>
        <v/>
      </c>
      <c r="D279" s="5" t="str">
        <f>IFERROR(IF(Portafolio_Proyectos!$AQ93="","",Portafolio_Proyectos!$C93),"")</f>
        <v/>
      </c>
      <c r="E279" s="5" t="str">
        <f>IFERROR(IF(Portafolio_Proyectos!$AQ93="","",Portafolio_Proyectos!$B93),"")</f>
        <v/>
      </c>
      <c r="F279" s="5" t="str">
        <f>IFERROR(IF(Portafolio_Proyectos!$AQ93="","",Portafolio_Proyectos!$D93),"")</f>
        <v/>
      </c>
      <c r="G279" s="5" t="str">
        <f>IFERROR(IF(Portafolio_Proyectos!$AQ93="","",Portafolio_Proyectos!$A93),"")</f>
        <v/>
      </c>
      <c r="H279" s="5" t="str">
        <f>IFERROR(IF(Portafolio_Proyectos!$AQ93="","",Portafolio_Proyectos!$E93),"")</f>
        <v/>
      </c>
    </row>
    <row r="280" spans="1:8" x14ac:dyDescent="0.35">
      <c r="A280" s="5" t="str">
        <f>IFERROR(IF(Portafolio_Proyectos!$AR93="","","CAP-"&amp;ROW()-1),"")</f>
        <v/>
      </c>
      <c r="B280" s="5" t="str">
        <f>IFERROR(IF(Portafolio_Proyectos!$AR93="","",Portafolio_Proyectos!$AR93),"")</f>
        <v/>
      </c>
      <c r="C280" s="5" t="str">
        <f>IFERROR(IF(Portafolio_Proyectos!$AR93="","","Distintiva"),"")</f>
        <v/>
      </c>
      <c r="D280" s="5" t="str">
        <f>IFERROR(IF(Portafolio_Proyectos!$AR93="","",Portafolio_Proyectos!$C93),"")</f>
        <v/>
      </c>
      <c r="E280" s="5" t="str">
        <f>IFERROR(IF(Portafolio_Proyectos!$AR93="","",Portafolio_Proyectos!$B93),"")</f>
        <v/>
      </c>
      <c r="F280" s="5" t="str">
        <f>IFERROR(IF(Portafolio_Proyectos!$AR93="","",Portafolio_Proyectos!$D93),"")</f>
        <v/>
      </c>
      <c r="G280" s="5" t="str">
        <f>IFERROR(IF(Portafolio_Proyectos!$AR93="","",Portafolio_Proyectos!$A93),"")</f>
        <v/>
      </c>
      <c r="H280" s="5" t="str">
        <f>IFERROR(IF(Portafolio_Proyectos!$AR93="","",Portafolio_Proyectos!$E93),"")</f>
        <v/>
      </c>
    </row>
    <row r="281" spans="1:8" x14ac:dyDescent="0.35">
      <c r="A281" s="5" t="str">
        <f>IFERROR(IF(Portafolio_Proyectos!$AP94="","","CAP-"&amp;ROW()-1),"")</f>
        <v/>
      </c>
      <c r="B281" s="5" t="str">
        <f>IFERROR(IF(Portafolio_Proyectos!$AP94="","",Portafolio_Proyectos!$AP94),"")</f>
        <v/>
      </c>
      <c r="C281" s="5" t="str">
        <f>IFERROR(IF(Portafolio_Proyectos!$AP94="","","Emergente"),"")</f>
        <v/>
      </c>
      <c r="D281" s="5" t="str">
        <f>IFERROR(IF(Portafolio_Proyectos!$AP94="","",Portafolio_Proyectos!$C94),"")</f>
        <v/>
      </c>
      <c r="E281" s="5" t="str">
        <f>IFERROR(IF(Portafolio_Proyectos!$AP94="","",Portafolio_Proyectos!$B94),"")</f>
        <v/>
      </c>
      <c r="F281" s="5" t="str">
        <f>IFERROR(IF(Portafolio_Proyectos!$AP94="","",Portafolio_Proyectos!$D94),"")</f>
        <v/>
      </c>
      <c r="G281" s="5" t="str">
        <f>IFERROR(IF(Portafolio_Proyectos!$AP94="","",Portafolio_Proyectos!$A94),"")</f>
        <v/>
      </c>
      <c r="H281" s="5" t="str">
        <f>IFERROR(IF(Portafolio_Proyectos!$AP94="","",Portafolio_Proyectos!$E94),"")</f>
        <v/>
      </c>
    </row>
    <row r="282" spans="1:8" x14ac:dyDescent="0.35">
      <c r="A282" s="5" t="str">
        <f>IFERROR(IF(Portafolio_Proyectos!$AQ94="","","CAP-"&amp;ROW()-1),"")</f>
        <v/>
      </c>
      <c r="B282" s="5" t="str">
        <f>IFERROR(IF(Portafolio_Proyectos!$AQ94="","",Portafolio_Proyectos!$AQ94),"")</f>
        <v/>
      </c>
      <c r="C282" s="5" t="str">
        <f>IFERROR(IF(Portafolio_Proyectos!$AQ94="","","Consolidada"),"")</f>
        <v/>
      </c>
      <c r="D282" s="5" t="str">
        <f>IFERROR(IF(Portafolio_Proyectos!$AQ94="","",Portafolio_Proyectos!$C94),"")</f>
        <v/>
      </c>
      <c r="E282" s="5" t="str">
        <f>IFERROR(IF(Portafolio_Proyectos!$AQ94="","",Portafolio_Proyectos!$B94),"")</f>
        <v/>
      </c>
      <c r="F282" s="5" t="str">
        <f>IFERROR(IF(Portafolio_Proyectos!$AQ94="","",Portafolio_Proyectos!$D94),"")</f>
        <v/>
      </c>
      <c r="G282" s="5" t="str">
        <f>IFERROR(IF(Portafolio_Proyectos!$AQ94="","",Portafolio_Proyectos!$A94),"")</f>
        <v/>
      </c>
      <c r="H282" s="5" t="str">
        <f>IFERROR(IF(Portafolio_Proyectos!$AQ94="","",Portafolio_Proyectos!$E94),"")</f>
        <v/>
      </c>
    </row>
    <row r="283" spans="1:8" x14ac:dyDescent="0.35">
      <c r="A283" s="5" t="str">
        <f>IFERROR(IF(Portafolio_Proyectos!$AR94="","","CAP-"&amp;ROW()-1),"")</f>
        <v/>
      </c>
      <c r="B283" s="5" t="str">
        <f>IFERROR(IF(Portafolio_Proyectos!$AR94="","",Portafolio_Proyectos!$AR94),"")</f>
        <v/>
      </c>
      <c r="C283" s="5" t="str">
        <f>IFERROR(IF(Portafolio_Proyectos!$AR94="","","Distintiva"),"")</f>
        <v/>
      </c>
      <c r="D283" s="5" t="str">
        <f>IFERROR(IF(Portafolio_Proyectos!$AR94="","",Portafolio_Proyectos!$C94),"")</f>
        <v/>
      </c>
      <c r="E283" s="5" t="str">
        <f>IFERROR(IF(Portafolio_Proyectos!$AR94="","",Portafolio_Proyectos!$B94),"")</f>
        <v/>
      </c>
      <c r="F283" s="5" t="str">
        <f>IFERROR(IF(Portafolio_Proyectos!$AR94="","",Portafolio_Proyectos!$D94),"")</f>
        <v/>
      </c>
      <c r="G283" s="5" t="str">
        <f>IFERROR(IF(Portafolio_Proyectos!$AR94="","",Portafolio_Proyectos!$A94),"")</f>
        <v/>
      </c>
      <c r="H283" s="5" t="str">
        <f>IFERROR(IF(Portafolio_Proyectos!$AR94="","",Portafolio_Proyectos!$E94),"")</f>
        <v/>
      </c>
    </row>
    <row r="284" spans="1:8" x14ac:dyDescent="0.35">
      <c r="A284" s="5" t="str">
        <f>IFERROR(IF(Portafolio_Proyectos!$AP95="","","CAP-"&amp;ROW()-1),"")</f>
        <v/>
      </c>
      <c r="B284" s="5" t="str">
        <f>IFERROR(IF(Portafolio_Proyectos!$AP95="","",Portafolio_Proyectos!$AP95),"")</f>
        <v/>
      </c>
      <c r="C284" s="5" t="str">
        <f>IFERROR(IF(Portafolio_Proyectos!$AP95="","","Emergente"),"")</f>
        <v/>
      </c>
      <c r="D284" s="5" t="str">
        <f>IFERROR(IF(Portafolio_Proyectos!$AP95="","",Portafolio_Proyectos!$C95),"")</f>
        <v/>
      </c>
      <c r="E284" s="5" t="str">
        <f>IFERROR(IF(Portafolio_Proyectos!$AP95="","",Portafolio_Proyectos!$B95),"")</f>
        <v/>
      </c>
      <c r="F284" s="5" t="str">
        <f>IFERROR(IF(Portafolio_Proyectos!$AP95="","",Portafolio_Proyectos!$D95),"")</f>
        <v/>
      </c>
      <c r="G284" s="5" t="str">
        <f>IFERROR(IF(Portafolio_Proyectos!$AP95="","",Portafolio_Proyectos!$A95),"")</f>
        <v/>
      </c>
      <c r="H284" s="5" t="str">
        <f>IFERROR(IF(Portafolio_Proyectos!$AP95="","",Portafolio_Proyectos!$E95),"")</f>
        <v/>
      </c>
    </row>
    <row r="285" spans="1:8" x14ac:dyDescent="0.35">
      <c r="A285" s="5" t="str">
        <f>IFERROR(IF(Portafolio_Proyectos!$AQ95="","","CAP-"&amp;ROW()-1),"")</f>
        <v/>
      </c>
      <c r="B285" s="5" t="str">
        <f>IFERROR(IF(Portafolio_Proyectos!$AQ95="","",Portafolio_Proyectos!$AQ95),"")</f>
        <v/>
      </c>
      <c r="C285" s="5" t="str">
        <f>IFERROR(IF(Portafolio_Proyectos!$AQ95="","","Consolidada"),"")</f>
        <v/>
      </c>
      <c r="D285" s="5" t="str">
        <f>IFERROR(IF(Portafolio_Proyectos!$AQ95="","",Portafolio_Proyectos!$C95),"")</f>
        <v/>
      </c>
      <c r="E285" s="5" t="str">
        <f>IFERROR(IF(Portafolio_Proyectos!$AQ95="","",Portafolio_Proyectos!$B95),"")</f>
        <v/>
      </c>
      <c r="F285" s="5" t="str">
        <f>IFERROR(IF(Portafolio_Proyectos!$AQ95="","",Portafolio_Proyectos!$D95),"")</f>
        <v/>
      </c>
      <c r="G285" s="5" t="str">
        <f>IFERROR(IF(Portafolio_Proyectos!$AQ95="","",Portafolio_Proyectos!$A95),"")</f>
        <v/>
      </c>
      <c r="H285" s="5" t="str">
        <f>IFERROR(IF(Portafolio_Proyectos!$AQ95="","",Portafolio_Proyectos!$E95),"")</f>
        <v/>
      </c>
    </row>
    <row r="286" spans="1:8" x14ac:dyDescent="0.35">
      <c r="A286" s="5" t="str">
        <f>IFERROR(IF(Portafolio_Proyectos!$AR95="","","CAP-"&amp;ROW()-1),"")</f>
        <v/>
      </c>
      <c r="B286" s="5" t="str">
        <f>IFERROR(IF(Portafolio_Proyectos!$AR95="","",Portafolio_Proyectos!$AR95),"")</f>
        <v/>
      </c>
      <c r="C286" s="5" t="str">
        <f>IFERROR(IF(Portafolio_Proyectos!$AR95="","","Distintiva"),"")</f>
        <v/>
      </c>
      <c r="D286" s="5" t="str">
        <f>IFERROR(IF(Portafolio_Proyectos!$AR95="","",Portafolio_Proyectos!$C95),"")</f>
        <v/>
      </c>
      <c r="E286" s="5" t="str">
        <f>IFERROR(IF(Portafolio_Proyectos!$AR95="","",Portafolio_Proyectos!$B95),"")</f>
        <v/>
      </c>
      <c r="F286" s="5" t="str">
        <f>IFERROR(IF(Portafolio_Proyectos!$AR95="","",Portafolio_Proyectos!$D95),"")</f>
        <v/>
      </c>
      <c r="G286" s="5" t="str">
        <f>IFERROR(IF(Portafolio_Proyectos!$AR95="","",Portafolio_Proyectos!$A95),"")</f>
        <v/>
      </c>
      <c r="H286" s="5" t="str">
        <f>IFERROR(IF(Portafolio_Proyectos!$AR95="","",Portafolio_Proyectos!$E95),"")</f>
        <v/>
      </c>
    </row>
    <row r="287" spans="1:8" x14ac:dyDescent="0.35">
      <c r="A287" s="5" t="str">
        <f>IFERROR(IF(Portafolio_Proyectos!$AP96="","","CAP-"&amp;ROW()-1),"")</f>
        <v/>
      </c>
      <c r="B287" s="5" t="str">
        <f>IFERROR(IF(Portafolio_Proyectos!$AP96="","",Portafolio_Proyectos!$AP96),"")</f>
        <v/>
      </c>
      <c r="C287" s="5" t="str">
        <f>IFERROR(IF(Portafolio_Proyectos!$AP96="","","Emergente"),"")</f>
        <v/>
      </c>
      <c r="D287" s="5" t="str">
        <f>IFERROR(IF(Portafolio_Proyectos!$AP96="","",Portafolio_Proyectos!$C96),"")</f>
        <v/>
      </c>
      <c r="E287" s="5" t="str">
        <f>IFERROR(IF(Portafolio_Proyectos!$AP96="","",Portafolio_Proyectos!$B96),"")</f>
        <v/>
      </c>
      <c r="F287" s="5" t="str">
        <f>IFERROR(IF(Portafolio_Proyectos!$AP96="","",Portafolio_Proyectos!$D96),"")</f>
        <v/>
      </c>
      <c r="G287" s="5" t="str">
        <f>IFERROR(IF(Portafolio_Proyectos!$AP96="","",Portafolio_Proyectos!$A96),"")</f>
        <v/>
      </c>
      <c r="H287" s="5" t="str">
        <f>IFERROR(IF(Portafolio_Proyectos!$AP96="","",Portafolio_Proyectos!$E96),"")</f>
        <v/>
      </c>
    </row>
    <row r="288" spans="1:8" x14ac:dyDescent="0.35">
      <c r="A288" s="5" t="str">
        <f>IFERROR(IF(Portafolio_Proyectos!$AQ96="","","CAP-"&amp;ROW()-1),"")</f>
        <v/>
      </c>
      <c r="B288" s="5" t="str">
        <f>IFERROR(IF(Portafolio_Proyectos!$AQ96="","",Portafolio_Proyectos!$AQ96),"")</f>
        <v/>
      </c>
      <c r="C288" s="5" t="str">
        <f>IFERROR(IF(Portafolio_Proyectos!$AQ96="","","Consolidada"),"")</f>
        <v/>
      </c>
      <c r="D288" s="5" t="str">
        <f>IFERROR(IF(Portafolio_Proyectos!$AQ96="","",Portafolio_Proyectos!$C96),"")</f>
        <v/>
      </c>
      <c r="E288" s="5" t="str">
        <f>IFERROR(IF(Portafolio_Proyectos!$AQ96="","",Portafolio_Proyectos!$B96),"")</f>
        <v/>
      </c>
      <c r="F288" s="5" t="str">
        <f>IFERROR(IF(Portafolio_Proyectos!$AQ96="","",Portafolio_Proyectos!$D96),"")</f>
        <v/>
      </c>
      <c r="G288" s="5" t="str">
        <f>IFERROR(IF(Portafolio_Proyectos!$AQ96="","",Portafolio_Proyectos!$A96),"")</f>
        <v/>
      </c>
      <c r="H288" s="5" t="str">
        <f>IFERROR(IF(Portafolio_Proyectos!$AQ96="","",Portafolio_Proyectos!$E96),"")</f>
        <v/>
      </c>
    </row>
    <row r="289" spans="1:8" x14ac:dyDescent="0.35">
      <c r="A289" s="5" t="str">
        <f>IFERROR(IF(Portafolio_Proyectos!$AR96="","","CAP-"&amp;ROW()-1),"")</f>
        <v/>
      </c>
      <c r="B289" s="5" t="str">
        <f>IFERROR(IF(Portafolio_Proyectos!$AR96="","",Portafolio_Proyectos!$AR96),"")</f>
        <v/>
      </c>
      <c r="C289" s="5" t="str">
        <f>IFERROR(IF(Portafolio_Proyectos!$AR96="","","Distintiva"),"")</f>
        <v/>
      </c>
      <c r="D289" s="5" t="str">
        <f>IFERROR(IF(Portafolio_Proyectos!$AR96="","",Portafolio_Proyectos!$C96),"")</f>
        <v/>
      </c>
      <c r="E289" s="5" t="str">
        <f>IFERROR(IF(Portafolio_Proyectos!$AR96="","",Portafolio_Proyectos!$B96),"")</f>
        <v/>
      </c>
      <c r="F289" s="5" t="str">
        <f>IFERROR(IF(Portafolio_Proyectos!$AR96="","",Portafolio_Proyectos!$D96),"")</f>
        <v/>
      </c>
      <c r="G289" s="5" t="str">
        <f>IFERROR(IF(Portafolio_Proyectos!$AR96="","",Portafolio_Proyectos!$A96),"")</f>
        <v/>
      </c>
      <c r="H289" s="5" t="str">
        <f>IFERROR(IF(Portafolio_Proyectos!$AR96="","",Portafolio_Proyectos!$E96),"")</f>
        <v/>
      </c>
    </row>
    <row r="290" spans="1:8" x14ac:dyDescent="0.35">
      <c r="A290" s="5" t="str">
        <f>IFERROR(IF(Portafolio_Proyectos!$AP97="","","CAP-"&amp;ROW()-1),"")</f>
        <v/>
      </c>
      <c r="B290" s="5" t="str">
        <f>IFERROR(IF(Portafolio_Proyectos!$AP97="","",Portafolio_Proyectos!$AP97),"")</f>
        <v/>
      </c>
      <c r="C290" s="5" t="str">
        <f>IFERROR(IF(Portafolio_Proyectos!$AP97="","","Emergente"),"")</f>
        <v/>
      </c>
      <c r="D290" s="5" t="str">
        <f>IFERROR(IF(Portafolio_Proyectos!$AP97="","",Portafolio_Proyectos!$C97),"")</f>
        <v/>
      </c>
      <c r="E290" s="5" t="str">
        <f>IFERROR(IF(Portafolio_Proyectos!$AP97="","",Portafolio_Proyectos!$B97),"")</f>
        <v/>
      </c>
      <c r="F290" s="5" t="str">
        <f>IFERROR(IF(Portafolio_Proyectos!$AP97="","",Portafolio_Proyectos!$D97),"")</f>
        <v/>
      </c>
      <c r="G290" s="5" t="str">
        <f>IFERROR(IF(Portafolio_Proyectos!$AP97="","",Portafolio_Proyectos!$A97),"")</f>
        <v/>
      </c>
      <c r="H290" s="5" t="str">
        <f>IFERROR(IF(Portafolio_Proyectos!$AP97="","",Portafolio_Proyectos!$E97),"")</f>
        <v/>
      </c>
    </row>
    <row r="291" spans="1:8" x14ac:dyDescent="0.35">
      <c r="A291" s="5" t="str">
        <f>IFERROR(IF(Portafolio_Proyectos!$AQ97="","","CAP-"&amp;ROW()-1),"")</f>
        <v/>
      </c>
      <c r="B291" s="5" t="str">
        <f>IFERROR(IF(Portafolio_Proyectos!$AQ97="","",Portafolio_Proyectos!$AQ97),"")</f>
        <v/>
      </c>
      <c r="C291" s="5" t="str">
        <f>IFERROR(IF(Portafolio_Proyectos!$AQ97="","","Consolidada"),"")</f>
        <v/>
      </c>
      <c r="D291" s="5" t="str">
        <f>IFERROR(IF(Portafolio_Proyectos!$AQ97="","",Portafolio_Proyectos!$C97),"")</f>
        <v/>
      </c>
      <c r="E291" s="5" t="str">
        <f>IFERROR(IF(Portafolio_Proyectos!$AQ97="","",Portafolio_Proyectos!$B97),"")</f>
        <v/>
      </c>
      <c r="F291" s="5" t="str">
        <f>IFERROR(IF(Portafolio_Proyectos!$AQ97="","",Portafolio_Proyectos!$D97),"")</f>
        <v/>
      </c>
      <c r="G291" s="5" t="str">
        <f>IFERROR(IF(Portafolio_Proyectos!$AQ97="","",Portafolio_Proyectos!$A97),"")</f>
        <v/>
      </c>
      <c r="H291" s="5" t="str">
        <f>IFERROR(IF(Portafolio_Proyectos!$AQ97="","",Portafolio_Proyectos!$E97),"")</f>
        <v/>
      </c>
    </row>
    <row r="292" spans="1:8" x14ac:dyDescent="0.35">
      <c r="A292" s="5" t="str">
        <f>IFERROR(IF(Portafolio_Proyectos!$AR97="","","CAP-"&amp;ROW()-1),"")</f>
        <v/>
      </c>
      <c r="B292" s="5" t="str">
        <f>IFERROR(IF(Portafolio_Proyectos!$AR97="","",Portafolio_Proyectos!$AR97),"")</f>
        <v/>
      </c>
      <c r="C292" s="5" t="str">
        <f>IFERROR(IF(Portafolio_Proyectos!$AR97="","","Distintiva"),"")</f>
        <v/>
      </c>
      <c r="D292" s="5" t="str">
        <f>IFERROR(IF(Portafolio_Proyectos!$AR97="","",Portafolio_Proyectos!$C97),"")</f>
        <v/>
      </c>
      <c r="E292" s="5" t="str">
        <f>IFERROR(IF(Portafolio_Proyectos!$AR97="","",Portafolio_Proyectos!$B97),"")</f>
        <v/>
      </c>
      <c r="F292" s="5" t="str">
        <f>IFERROR(IF(Portafolio_Proyectos!$AR97="","",Portafolio_Proyectos!$D97),"")</f>
        <v/>
      </c>
      <c r="G292" s="5" t="str">
        <f>IFERROR(IF(Portafolio_Proyectos!$AR97="","",Portafolio_Proyectos!$A97),"")</f>
        <v/>
      </c>
      <c r="H292" s="5" t="str">
        <f>IFERROR(IF(Portafolio_Proyectos!$AR97="","",Portafolio_Proyectos!$E97),"")</f>
        <v/>
      </c>
    </row>
    <row r="293" spans="1:8" x14ac:dyDescent="0.35">
      <c r="A293" s="5" t="str">
        <f>IFERROR(IF(Portafolio_Proyectos!$AP98="","","CAP-"&amp;ROW()-1),"")</f>
        <v/>
      </c>
      <c r="B293" s="5" t="str">
        <f>IFERROR(IF(Portafolio_Proyectos!$AP98="","",Portafolio_Proyectos!$AP98),"")</f>
        <v/>
      </c>
      <c r="C293" s="5" t="str">
        <f>IFERROR(IF(Portafolio_Proyectos!$AP98="","","Emergente"),"")</f>
        <v/>
      </c>
      <c r="D293" s="5" t="str">
        <f>IFERROR(IF(Portafolio_Proyectos!$AP98="","",Portafolio_Proyectos!$C98),"")</f>
        <v/>
      </c>
      <c r="E293" s="5" t="str">
        <f>IFERROR(IF(Portafolio_Proyectos!$AP98="","",Portafolio_Proyectos!$B98),"")</f>
        <v/>
      </c>
      <c r="F293" s="5" t="str">
        <f>IFERROR(IF(Portafolio_Proyectos!$AP98="","",Portafolio_Proyectos!$D98),"")</f>
        <v/>
      </c>
      <c r="G293" s="5" t="str">
        <f>IFERROR(IF(Portafolio_Proyectos!$AP98="","",Portafolio_Proyectos!$A98),"")</f>
        <v/>
      </c>
      <c r="H293" s="5" t="str">
        <f>IFERROR(IF(Portafolio_Proyectos!$AP98="","",Portafolio_Proyectos!$E98),"")</f>
        <v/>
      </c>
    </row>
    <row r="294" spans="1:8" x14ac:dyDescent="0.35">
      <c r="A294" s="5" t="str">
        <f>IFERROR(IF(Portafolio_Proyectos!$AQ98="","","CAP-"&amp;ROW()-1),"")</f>
        <v/>
      </c>
      <c r="B294" s="5" t="str">
        <f>IFERROR(IF(Portafolio_Proyectos!$AQ98="","",Portafolio_Proyectos!$AQ98),"")</f>
        <v/>
      </c>
      <c r="C294" s="5" t="str">
        <f>IFERROR(IF(Portafolio_Proyectos!$AQ98="","","Consolidada"),"")</f>
        <v/>
      </c>
      <c r="D294" s="5" t="str">
        <f>IFERROR(IF(Portafolio_Proyectos!$AQ98="","",Portafolio_Proyectos!$C98),"")</f>
        <v/>
      </c>
      <c r="E294" s="5" t="str">
        <f>IFERROR(IF(Portafolio_Proyectos!$AQ98="","",Portafolio_Proyectos!$B98),"")</f>
        <v/>
      </c>
      <c r="F294" s="5" t="str">
        <f>IFERROR(IF(Portafolio_Proyectos!$AQ98="","",Portafolio_Proyectos!$D98),"")</f>
        <v/>
      </c>
      <c r="G294" s="5" t="str">
        <f>IFERROR(IF(Portafolio_Proyectos!$AQ98="","",Portafolio_Proyectos!$A98),"")</f>
        <v/>
      </c>
      <c r="H294" s="5" t="str">
        <f>IFERROR(IF(Portafolio_Proyectos!$AQ98="","",Portafolio_Proyectos!$E98),"")</f>
        <v/>
      </c>
    </row>
    <row r="295" spans="1:8" x14ac:dyDescent="0.35">
      <c r="A295" s="5" t="str">
        <f>IFERROR(IF(Portafolio_Proyectos!$AR98="","","CAP-"&amp;ROW()-1),"")</f>
        <v/>
      </c>
      <c r="B295" s="5" t="str">
        <f>IFERROR(IF(Portafolio_Proyectos!$AR98="","",Portafolio_Proyectos!$AR98),"")</f>
        <v/>
      </c>
      <c r="C295" s="5" t="str">
        <f>IFERROR(IF(Portafolio_Proyectos!$AR98="","","Distintiva"),"")</f>
        <v/>
      </c>
      <c r="D295" s="5" t="str">
        <f>IFERROR(IF(Portafolio_Proyectos!$AR98="","",Portafolio_Proyectos!$C98),"")</f>
        <v/>
      </c>
      <c r="E295" s="5" t="str">
        <f>IFERROR(IF(Portafolio_Proyectos!$AR98="","",Portafolio_Proyectos!$B98),"")</f>
        <v/>
      </c>
      <c r="F295" s="5" t="str">
        <f>IFERROR(IF(Portafolio_Proyectos!$AR98="","",Portafolio_Proyectos!$D98),"")</f>
        <v/>
      </c>
      <c r="G295" s="5" t="str">
        <f>IFERROR(IF(Portafolio_Proyectos!$AR98="","",Portafolio_Proyectos!$A98),"")</f>
        <v/>
      </c>
      <c r="H295" s="5" t="str">
        <f>IFERROR(IF(Portafolio_Proyectos!$AR98="","",Portafolio_Proyectos!$E98),"")</f>
        <v/>
      </c>
    </row>
    <row r="296" spans="1:8" x14ac:dyDescent="0.35">
      <c r="A296" s="5" t="str">
        <f>IFERROR(IF(Portafolio_Proyectos!$AP99="","","CAP-"&amp;ROW()-1),"")</f>
        <v/>
      </c>
      <c r="B296" s="5" t="str">
        <f>IFERROR(IF(Portafolio_Proyectos!$AP99="","",Portafolio_Proyectos!$AP99),"")</f>
        <v/>
      </c>
      <c r="C296" s="5" t="str">
        <f>IFERROR(IF(Portafolio_Proyectos!$AP99="","","Emergente"),"")</f>
        <v/>
      </c>
      <c r="D296" s="5" t="str">
        <f>IFERROR(IF(Portafolio_Proyectos!$AP99="","",Portafolio_Proyectos!$C99),"")</f>
        <v/>
      </c>
      <c r="E296" s="5" t="str">
        <f>IFERROR(IF(Portafolio_Proyectos!$AP99="","",Portafolio_Proyectos!$B99),"")</f>
        <v/>
      </c>
      <c r="F296" s="5" t="str">
        <f>IFERROR(IF(Portafolio_Proyectos!$AP99="","",Portafolio_Proyectos!$D99),"")</f>
        <v/>
      </c>
      <c r="G296" s="5" t="str">
        <f>IFERROR(IF(Portafolio_Proyectos!$AP99="","",Portafolio_Proyectos!$A99),"")</f>
        <v/>
      </c>
      <c r="H296" s="5" t="str">
        <f>IFERROR(IF(Portafolio_Proyectos!$AP99="","",Portafolio_Proyectos!$E99),"")</f>
        <v/>
      </c>
    </row>
    <row r="297" spans="1:8" x14ac:dyDescent="0.35">
      <c r="A297" s="5" t="str">
        <f>IFERROR(IF(Portafolio_Proyectos!$AQ99="","","CAP-"&amp;ROW()-1),"")</f>
        <v/>
      </c>
      <c r="B297" s="5" t="str">
        <f>IFERROR(IF(Portafolio_Proyectos!$AQ99="","",Portafolio_Proyectos!$AQ99),"")</f>
        <v/>
      </c>
      <c r="C297" s="5" t="str">
        <f>IFERROR(IF(Portafolio_Proyectos!$AQ99="","","Consolidada"),"")</f>
        <v/>
      </c>
      <c r="D297" s="5" t="str">
        <f>IFERROR(IF(Portafolio_Proyectos!$AQ99="","",Portafolio_Proyectos!$C99),"")</f>
        <v/>
      </c>
      <c r="E297" s="5" t="str">
        <f>IFERROR(IF(Portafolio_Proyectos!$AQ99="","",Portafolio_Proyectos!$B99),"")</f>
        <v/>
      </c>
      <c r="F297" s="5" t="str">
        <f>IFERROR(IF(Portafolio_Proyectos!$AQ99="","",Portafolio_Proyectos!$D99),"")</f>
        <v/>
      </c>
      <c r="G297" s="5" t="str">
        <f>IFERROR(IF(Portafolio_Proyectos!$AQ99="","",Portafolio_Proyectos!$A99),"")</f>
        <v/>
      </c>
      <c r="H297" s="5" t="str">
        <f>IFERROR(IF(Portafolio_Proyectos!$AQ99="","",Portafolio_Proyectos!$E99),"")</f>
        <v/>
      </c>
    </row>
    <row r="298" spans="1:8" x14ac:dyDescent="0.35">
      <c r="A298" s="5" t="str">
        <f>IFERROR(IF(Portafolio_Proyectos!$AR99="","","CAP-"&amp;ROW()-1),"")</f>
        <v/>
      </c>
      <c r="B298" s="5" t="str">
        <f>IFERROR(IF(Portafolio_Proyectos!$AR99="","",Portafolio_Proyectos!$AR99),"")</f>
        <v/>
      </c>
      <c r="C298" s="5" t="str">
        <f>IFERROR(IF(Portafolio_Proyectos!$AR99="","","Distintiva"),"")</f>
        <v/>
      </c>
      <c r="D298" s="5" t="str">
        <f>IFERROR(IF(Portafolio_Proyectos!$AR99="","",Portafolio_Proyectos!$C99),"")</f>
        <v/>
      </c>
      <c r="E298" s="5" t="str">
        <f>IFERROR(IF(Portafolio_Proyectos!$AR99="","",Portafolio_Proyectos!$B99),"")</f>
        <v/>
      </c>
      <c r="F298" s="5" t="str">
        <f>IFERROR(IF(Portafolio_Proyectos!$AR99="","",Portafolio_Proyectos!$D99),"")</f>
        <v/>
      </c>
      <c r="G298" s="5" t="str">
        <f>IFERROR(IF(Portafolio_Proyectos!$AR99="","",Portafolio_Proyectos!$A99),"")</f>
        <v/>
      </c>
      <c r="H298" s="5" t="str">
        <f>IFERROR(IF(Portafolio_Proyectos!$AR99="","",Portafolio_Proyectos!$E99),"")</f>
        <v/>
      </c>
    </row>
    <row r="299" spans="1:8" x14ac:dyDescent="0.35">
      <c r="A299" s="5" t="str">
        <f>IFERROR(IF(Portafolio_Proyectos!$AP100="","","CAP-"&amp;ROW()-1),"")</f>
        <v/>
      </c>
      <c r="B299" s="5" t="str">
        <f>IFERROR(IF(Portafolio_Proyectos!$AP100="","",Portafolio_Proyectos!$AP100),"")</f>
        <v/>
      </c>
      <c r="C299" s="5" t="str">
        <f>IFERROR(IF(Portafolio_Proyectos!$AP100="","","Emergente"),"")</f>
        <v/>
      </c>
      <c r="D299" s="5" t="str">
        <f>IFERROR(IF(Portafolio_Proyectos!$AP100="","",Portafolio_Proyectos!$C100),"")</f>
        <v/>
      </c>
      <c r="E299" s="5" t="str">
        <f>IFERROR(IF(Portafolio_Proyectos!$AP100="","",Portafolio_Proyectos!$B100),"")</f>
        <v/>
      </c>
      <c r="F299" s="5" t="str">
        <f>IFERROR(IF(Portafolio_Proyectos!$AP100="","",Portafolio_Proyectos!$D100),"")</f>
        <v/>
      </c>
      <c r="G299" s="5" t="str">
        <f>IFERROR(IF(Portafolio_Proyectos!$AP100="","",Portafolio_Proyectos!$A100),"")</f>
        <v/>
      </c>
      <c r="H299" s="5" t="str">
        <f>IFERROR(IF(Portafolio_Proyectos!$AP100="","",Portafolio_Proyectos!$E100),"")</f>
        <v/>
      </c>
    </row>
    <row r="300" spans="1:8" x14ac:dyDescent="0.35">
      <c r="A300" s="5" t="str">
        <f>IFERROR(IF(Portafolio_Proyectos!$AQ100="","","CAP-"&amp;ROW()-1),"")</f>
        <v/>
      </c>
      <c r="B300" s="5" t="str">
        <f>IFERROR(IF(Portafolio_Proyectos!$AQ100="","",Portafolio_Proyectos!$AQ100),"")</f>
        <v/>
      </c>
      <c r="C300" s="5" t="str">
        <f>IFERROR(IF(Portafolio_Proyectos!$AQ100="","","Consolidada"),"")</f>
        <v/>
      </c>
      <c r="D300" s="5" t="str">
        <f>IFERROR(IF(Portafolio_Proyectos!$AQ100="","",Portafolio_Proyectos!$C100),"")</f>
        <v/>
      </c>
      <c r="E300" s="5" t="str">
        <f>IFERROR(IF(Portafolio_Proyectos!$AQ100="","",Portafolio_Proyectos!$B100),"")</f>
        <v/>
      </c>
      <c r="F300" s="5" t="str">
        <f>IFERROR(IF(Portafolio_Proyectos!$AQ100="","",Portafolio_Proyectos!$D100),"")</f>
        <v/>
      </c>
      <c r="G300" s="5" t="str">
        <f>IFERROR(IF(Portafolio_Proyectos!$AQ100="","",Portafolio_Proyectos!$A100),"")</f>
        <v/>
      </c>
      <c r="H300" s="5" t="str">
        <f>IFERROR(IF(Portafolio_Proyectos!$AQ100="","",Portafolio_Proyectos!$E100),"")</f>
        <v/>
      </c>
    </row>
    <row r="301" spans="1:8" x14ac:dyDescent="0.35">
      <c r="A301" s="5" t="str">
        <f>IFERROR(IF(Portafolio_Proyectos!$AR100="","","CAP-"&amp;ROW()-1),"")</f>
        <v/>
      </c>
      <c r="B301" s="5" t="str">
        <f>IFERROR(IF(Portafolio_Proyectos!$AR100="","",Portafolio_Proyectos!$AR100),"")</f>
        <v/>
      </c>
      <c r="C301" s="5" t="str">
        <f>IFERROR(IF(Portafolio_Proyectos!$AR100="","","Distintiva"),"")</f>
        <v/>
      </c>
      <c r="D301" s="5" t="str">
        <f>IFERROR(IF(Portafolio_Proyectos!$AR100="","",Portafolio_Proyectos!$C100),"")</f>
        <v/>
      </c>
      <c r="E301" s="5" t="str">
        <f>IFERROR(IF(Portafolio_Proyectos!$AR100="","",Portafolio_Proyectos!$B100),"")</f>
        <v/>
      </c>
      <c r="F301" s="5" t="str">
        <f>IFERROR(IF(Portafolio_Proyectos!$AR100="","",Portafolio_Proyectos!$D100),"")</f>
        <v/>
      </c>
      <c r="G301" s="5" t="str">
        <f>IFERROR(IF(Portafolio_Proyectos!$AR100="","",Portafolio_Proyectos!$A100),"")</f>
        <v/>
      </c>
      <c r="H301" s="5" t="str">
        <f>IFERROR(IF(Portafolio_Proyectos!$AR100="","",Portafolio_Proyectos!$E100),"")</f>
        <v/>
      </c>
    </row>
    <row r="302" spans="1:8" x14ac:dyDescent="0.35">
      <c r="A302" s="5" t="str">
        <f>IFERROR(IF(Portafolio_Proyectos!$AP101="","","CAP-"&amp;ROW()-1),"")</f>
        <v/>
      </c>
      <c r="B302" s="5" t="str">
        <f>IFERROR(IF(Portafolio_Proyectos!$AP101="","",Portafolio_Proyectos!$AP101),"")</f>
        <v/>
      </c>
      <c r="C302" s="5" t="str">
        <f>IFERROR(IF(Portafolio_Proyectos!$AP101="","","Emergente"),"")</f>
        <v/>
      </c>
      <c r="D302" s="5" t="str">
        <f>IFERROR(IF(Portafolio_Proyectos!$AP101="","",Portafolio_Proyectos!$C101),"")</f>
        <v/>
      </c>
      <c r="E302" s="5" t="str">
        <f>IFERROR(IF(Portafolio_Proyectos!$AP101="","",Portafolio_Proyectos!$B101),"")</f>
        <v/>
      </c>
      <c r="F302" s="5" t="str">
        <f>IFERROR(IF(Portafolio_Proyectos!$AP101="","",Portafolio_Proyectos!$D101),"")</f>
        <v/>
      </c>
      <c r="G302" s="5" t="str">
        <f>IFERROR(IF(Portafolio_Proyectos!$AP101="","",Portafolio_Proyectos!$A101),"")</f>
        <v/>
      </c>
      <c r="H302" s="5" t="str">
        <f>IFERROR(IF(Portafolio_Proyectos!$AP101="","",Portafolio_Proyectos!$E101),"")</f>
        <v/>
      </c>
    </row>
    <row r="303" spans="1:8" x14ac:dyDescent="0.35">
      <c r="A303" s="5" t="str">
        <f>IFERROR(IF(Portafolio_Proyectos!$AQ101="","","CAP-"&amp;ROW()-1),"")</f>
        <v/>
      </c>
      <c r="B303" s="5" t="str">
        <f>IFERROR(IF(Portafolio_Proyectos!$AQ101="","",Portafolio_Proyectos!$AQ101),"")</f>
        <v/>
      </c>
      <c r="C303" s="5" t="str">
        <f>IFERROR(IF(Portafolio_Proyectos!$AQ101="","","Consolidada"),"")</f>
        <v/>
      </c>
      <c r="D303" s="5" t="str">
        <f>IFERROR(IF(Portafolio_Proyectos!$AQ101="","",Portafolio_Proyectos!$C101),"")</f>
        <v/>
      </c>
      <c r="E303" s="5" t="str">
        <f>IFERROR(IF(Portafolio_Proyectos!$AQ101="","",Portafolio_Proyectos!$B101),"")</f>
        <v/>
      </c>
      <c r="F303" s="5" t="str">
        <f>IFERROR(IF(Portafolio_Proyectos!$AQ101="","",Portafolio_Proyectos!$D101),"")</f>
        <v/>
      </c>
      <c r="G303" s="5" t="str">
        <f>IFERROR(IF(Portafolio_Proyectos!$AQ101="","",Portafolio_Proyectos!$A101),"")</f>
        <v/>
      </c>
      <c r="H303" s="5" t="str">
        <f>IFERROR(IF(Portafolio_Proyectos!$AQ101="","",Portafolio_Proyectos!$E101),"")</f>
        <v/>
      </c>
    </row>
    <row r="304" spans="1:8" x14ac:dyDescent="0.35">
      <c r="A304" s="5" t="str">
        <f>IFERROR(IF(Portafolio_Proyectos!$AR101="","","CAP-"&amp;ROW()-1),"")</f>
        <v/>
      </c>
      <c r="B304" s="5" t="str">
        <f>IFERROR(IF(Portafolio_Proyectos!$AR101="","",Portafolio_Proyectos!$AR101),"")</f>
        <v/>
      </c>
      <c r="C304" s="5" t="str">
        <f>IFERROR(IF(Portafolio_Proyectos!$AR101="","","Distintiva"),"")</f>
        <v/>
      </c>
      <c r="D304" s="5" t="str">
        <f>IFERROR(IF(Portafolio_Proyectos!$AR101="","",Portafolio_Proyectos!$C101),"")</f>
        <v/>
      </c>
      <c r="E304" s="5" t="str">
        <f>IFERROR(IF(Portafolio_Proyectos!$AR101="","",Portafolio_Proyectos!$B101),"")</f>
        <v/>
      </c>
      <c r="F304" s="5" t="str">
        <f>IFERROR(IF(Portafolio_Proyectos!$AR101="","",Portafolio_Proyectos!$D101),"")</f>
        <v/>
      </c>
      <c r="G304" s="5" t="str">
        <f>IFERROR(IF(Portafolio_Proyectos!$AR101="","",Portafolio_Proyectos!$A101),"")</f>
        <v/>
      </c>
      <c r="H304" s="5" t="str">
        <f>IFERROR(IF(Portafolio_Proyectos!$AR101="","",Portafolio_Proyectos!$E101),"")</f>
        <v/>
      </c>
    </row>
    <row r="305" spans="1:8" x14ac:dyDescent="0.35">
      <c r="A305" s="5" t="str">
        <f>IFERROR(IF(Portafolio_Proyectos!$AP102="","","CAP-"&amp;ROW()-1),"")</f>
        <v/>
      </c>
      <c r="B305" s="5" t="str">
        <f>IFERROR(IF(Portafolio_Proyectos!$AP102="","",Portafolio_Proyectos!$AP102),"")</f>
        <v/>
      </c>
      <c r="C305" s="5" t="str">
        <f>IFERROR(IF(Portafolio_Proyectos!$AP102="","","Emergente"),"")</f>
        <v/>
      </c>
      <c r="D305" s="5" t="str">
        <f>IFERROR(IF(Portafolio_Proyectos!$AP102="","",Portafolio_Proyectos!$C102),"")</f>
        <v/>
      </c>
      <c r="E305" s="5" t="str">
        <f>IFERROR(IF(Portafolio_Proyectos!$AP102="","",Portafolio_Proyectos!$B102),"")</f>
        <v/>
      </c>
      <c r="F305" s="5" t="str">
        <f>IFERROR(IF(Portafolio_Proyectos!$AP102="","",Portafolio_Proyectos!$D102),"")</f>
        <v/>
      </c>
      <c r="G305" s="5" t="str">
        <f>IFERROR(IF(Portafolio_Proyectos!$AP102="","",Portafolio_Proyectos!$A102),"")</f>
        <v/>
      </c>
      <c r="H305" s="5" t="str">
        <f>IFERROR(IF(Portafolio_Proyectos!$AP102="","",Portafolio_Proyectos!$E102),"")</f>
        <v/>
      </c>
    </row>
    <row r="306" spans="1:8" x14ac:dyDescent="0.35">
      <c r="A306" s="5" t="str">
        <f>IFERROR(IF(Portafolio_Proyectos!$AQ102="","","CAP-"&amp;ROW()-1),"")</f>
        <v/>
      </c>
      <c r="B306" s="5" t="str">
        <f>IFERROR(IF(Portafolio_Proyectos!$AQ102="","",Portafolio_Proyectos!$AQ102),"")</f>
        <v/>
      </c>
      <c r="C306" s="5" t="str">
        <f>IFERROR(IF(Portafolio_Proyectos!$AQ102="","","Consolidada"),"")</f>
        <v/>
      </c>
      <c r="D306" s="5" t="str">
        <f>IFERROR(IF(Portafolio_Proyectos!$AQ102="","",Portafolio_Proyectos!$C102),"")</f>
        <v/>
      </c>
      <c r="E306" s="5" t="str">
        <f>IFERROR(IF(Portafolio_Proyectos!$AQ102="","",Portafolio_Proyectos!$B102),"")</f>
        <v/>
      </c>
      <c r="F306" s="5" t="str">
        <f>IFERROR(IF(Portafolio_Proyectos!$AQ102="","",Portafolio_Proyectos!$D102),"")</f>
        <v/>
      </c>
      <c r="G306" s="5" t="str">
        <f>IFERROR(IF(Portafolio_Proyectos!$AQ102="","",Portafolio_Proyectos!$A102),"")</f>
        <v/>
      </c>
      <c r="H306" s="5" t="str">
        <f>IFERROR(IF(Portafolio_Proyectos!$AQ102="","",Portafolio_Proyectos!$E102),"")</f>
        <v/>
      </c>
    </row>
    <row r="307" spans="1:8" x14ac:dyDescent="0.35">
      <c r="A307" s="5" t="str">
        <f>IFERROR(IF(Portafolio_Proyectos!$AR102="","","CAP-"&amp;ROW()-1),"")</f>
        <v/>
      </c>
      <c r="B307" s="5" t="str">
        <f>IFERROR(IF(Portafolio_Proyectos!$AR102="","",Portafolio_Proyectos!$AR102),"")</f>
        <v/>
      </c>
      <c r="C307" s="5" t="str">
        <f>IFERROR(IF(Portafolio_Proyectos!$AR102="","","Distintiva"),"")</f>
        <v/>
      </c>
      <c r="D307" s="5" t="str">
        <f>IFERROR(IF(Portafolio_Proyectos!$AR102="","",Portafolio_Proyectos!$C102),"")</f>
        <v/>
      </c>
      <c r="E307" s="5" t="str">
        <f>IFERROR(IF(Portafolio_Proyectos!$AR102="","",Portafolio_Proyectos!$B102),"")</f>
        <v/>
      </c>
      <c r="F307" s="5" t="str">
        <f>IFERROR(IF(Portafolio_Proyectos!$AR102="","",Portafolio_Proyectos!$D102),"")</f>
        <v/>
      </c>
      <c r="G307" s="5" t="str">
        <f>IFERROR(IF(Portafolio_Proyectos!$AR102="","",Portafolio_Proyectos!$A102),"")</f>
        <v/>
      </c>
      <c r="H307" s="5" t="str">
        <f>IFERROR(IF(Portafolio_Proyectos!$AR102="","",Portafolio_Proyectos!$E102),"")</f>
        <v/>
      </c>
    </row>
    <row r="308" spans="1:8" x14ac:dyDescent="0.35">
      <c r="A308" s="5" t="str">
        <f>IFERROR(IF(Portafolio_Proyectos!$AP103="","","CAP-"&amp;ROW()-1),"")</f>
        <v/>
      </c>
      <c r="B308" s="5" t="str">
        <f>IFERROR(IF(Portafolio_Proyectos!$AP103="","",Portafolio_Proyectos!$AP103),"")</f>
        <v/>
      </c>
      <c r="C308" s="5" t="str">
        <f>IFERROR(IF(Portafolio_Proyectos!$AP103="","","Emergente"),"")</f>
        <v/>
      </c>
      <c r="D308" s="5" t="str">
        <f>IFERROR(IF(Portafolio_Proyectos!$AP103="","",Portafolio_Proyectos!$C103),"")</f>
        <v/>
      </c>
      <c r="E308" s="5" t="str">
        <f>IFERROR(IF(Portafolio_Proyectos!$AP103="","",Portafolio_Proyectos!$B103),"")</f>
        <v/>
      </c>
      <c r="F308" s="5" t="str">
        <f>IFERROR(IF(Portafolio_Proyectos!$AP103="","",Portafolio_Proyectos!$D103),"")</f>
        <v/>
      </c>
      <c r="G308" s="5" t="str">
        <f>IFERROR(IF(Portafolio_Proyectos!$AP103="","",Portafolio_Proyectos!$A103),"")</f>
        <v/>
      </c>
      <c r="H308" s="5" t="str">
        <f>IFERROR(IF(Portafolio_Proyectos!$AP103="","",Portafolio_Proyectos!$E103),"")</f>
        <v/>
      </c>
    </row>
    <row r="309" spans="1:8" x14ac:dyDescent="0.35">
      <c r="A309" s="5" t="str">
        <f>IFERROR(IF(Portafolio_Proyectos!$AQ103="","","CAP-"&amp;ROW()-1),"")</f>
        <v/>
      </c>
      <c r="B309" s="5" t="str">
        <f>IFERROR(IF(Portafolio_Proyectos!$AQ103="","",Portafolio_Proyectos!$AQ103),"")</f>
        <v/>
      </c>
      <c r="C309" s="5" t="str">
        <f>IFERROR(IF(Portafolio_Proyectos!$AQ103="","","Consolidada"),"")</f>
        <v/>
      </c>
      <c r="D309" s="5" t="str">
        <f>IFERROR(IF(Portafolio_Proyectos!$AQ103="","",Portafolio_Proyectos!$C103),"")</f>
        <v/>
      </c>
      <c r="E309" s="5" t="str">
        <f>IFERROR(IF(Portafolio_Proyectos!$AQ103="","",Portafolio_Proyectos!$B103),"")</f>
        <v/>
      </c>
      <c r="F309" s="5" t="str">
        <f>IFERROR(IF(Portafolio_Proyectos!$AQ103="","",Portafolio_Proyectos!$D103),"")</f>
        <v/>
      </c>
      <c r="G309" s="5" t="str">
        <f>IFERROR(IF(Portafolio_Proyectos!$AQ103="","",Portafolio_Proyectos!$A103),"")</f>
        <v/>
      </c>
      <c r="H309" s="5" t="str">
        <f>IFERROR(IF(Portafolio_Proyectos!$AQ103="","",Portafolio_Proyectos!$E103),"")</f>
        <v/>
      </c>
    </row>
    <row r="310" spans="1:8" x14ac:dyDescent="0.35">
      <c r="A310" s="5" t="str">
        <f>IFERROR(IF(Portafolio_Proyectos!$AR103="","","CAP-"&amp;ROW()-1),"")</f>
        <v/>
      </c>
      <c r="B310" s="5" t="str">
        <f>IFERROR(IF(Portafolio_Proyectos!$AR103="","",Portafolio_Proyectos!$AR103),"")</f>
        <v/>
      </c>
      <c r="C310" s="5" t="str">
        <f>IFERROR(IF(Portafolio_Proyectos!$AR103="","","Distintiva"),"")</f>
        <v/>
      </c>
      <c r="D310" s="5" t="str">
        <f>IFERROR(IF(Portafolio_Proyectos!$AR103="","",Portafolio_Proyectos!$C103),"")</f>
        <v/>
      </c>
      <c r="E310" s="5" t="str">
        <f>IFERROR(IF(Portafolio_Proyectos!$AR103="","",Portafolio_Proyectos!$B103),"")</f>
        <v/>
      </c>
      <c r="F310" s="5" t="str">
        <f>IFERROR(IF(Portafolio_Proyectos!$AR103="","",Portafolio_Proyectos!$D103),"")</f>
        <v/>
      </c>
      <c r="G310" s="5" t="str">
        <f>IFERROR(IF(Portafolio_Proyectos!$AR103="","",Portafolio_Proyectos!$A103),"")</f>
        <v/>
      </c>
      <c r="H310" s="5" t="str">
        <f>IFERROR(IF(Portafolio_Proyectos!$AR103="","",Portafolio_Proyectos!$E103),"")</f>
        <v/>
      </c>
    </row>
    <row r="311" spans="1:8" x14ac:dyDescent="0.35">
      <c r="A311" s="5" t="str">
        <f>IFERROR(IF(Portafolio_Proyectos!$AP104="","","CAP-"&amp;ROW()-1),"")</f>
        <v/>
      </c>
      <c r="B311" s="5" t="str">
        <f>IFERROR(IF(Portafolio_Proyectos!$AP104="","",Portafolio_Proyectos!$AP104),"")</f>
        <v/>
      </c>
      <c r="C311" s="5" t="str">
        <f>IFERROR(IF(Portafolio_Proyectos!$AP104="","","Emergente"),"")</f>
        <v/>
      </c>
      <c r="D311" s="5" t="str">
        <f>IFERROR(IF(Portafolio_Proyectos!$AP104="","",Portafolio_Proyectos!$C104),"")</f>
        <v/>
      </c>
      <c r="E311" s="5" t="str">
        <f>IFERROR(IF(Portafolio_Proyectos!$AP104="","",Portafolio_Proyectos!$B104),"")</f>
        <v/>
      </c>
      <c r="F311" s="5" t="str">
        <f>IFERROR(IF(Portafolio_Proyectos!$AP104="","",Portafolio_Proyectos!$D104),"")</f>
        <v/>
      </c>
      <c r="G311" s="5" t="str">
        <f>IFERROR(IF(Portafolio_Proyectos!$AP104="","",Portafolio_Proyectos!$A104),"")</f>
        <v/>
      </c>
      <c r="H311" s="5" t="str">
        <f>IFERROR(IF(Portafolio_Proyectos!$AP104="","",Portafolio_Proyectos!$E104),"")</f>
        <v/>
      </c>
    </row>
    <row r="312" spans="1:8" x14ac:dyDescent="0.35">
      <c r="A312" s="5" t="str">
        <f>IFERROR(IF(Portafolio_Proyectos!$AQ104="","","CAP-"&amp;ROW()-1),"")</f>
        <v/>
      </c>
      <c r="B312" s="5" t="str">
        <f>IFERROR(IF(Portafolio_Proyectos!$AQ104="","",Portafolio_Proyectos!$AQ104),"")</f>
        <v/>
      </c>
      <c r="C312" s="5" t="str">
        <f>IFERROR(IF(Portafolio_Proyectos!$AQ104="","","Consolidada"),"")</f>
        <v/>
      </c>
      <c r="D312" s="5" t="str">
        <f>IFERROR(IF(Portafolio_Proyectos!$AQ104="","",Portafolio_Proyectos!$C104),"")</f>
        <v/>
      </c>
      <c r="E312" s="5" t="str">
        <f>IFERROR(IF(Portafolio_Proyectos!$AQ104="","",Portafolio_Proyectos!$B104),"")</f>
        <v/>
      </c>
      <c r="F312" s="5" t="str">
        <f>IFERROR(IF(Portafolio_Proyectos!$AQ104="","",Portafolio_Proyectos!$D104),"")</f>
        <v/>
      </c>
      <c r="G312" s="5" t="str">
        <f>IFERROR(IF(Portafolio_Proyectos!$AQ104="","",Portafolio_Proyectos!$A104),"")</f>
        <v/>
      </c>
      <c r="H312" s="5" t="str">
        <f>IFERROR(IF(Portafolio_Proyectos!$AQ104="","",Portafolio_Proyectos!$E104),"")</f>
        <v/>
      </c>
    </row>
    <row r="313" spans="1:8" x14ac:dyDescent="0.35">
      <c r="A313" s="5" t="str">
        <f>IFERROR(IF(Portafolio_Proyectos!$AR104="","","CAP-"&amp;ROW()-1),"")</f>
        <v/>
      </c>
      <c r="B313" s="5" t="str">
        <f>IFERROR(IF(Portafolio_Proyectos!$AR104="","",Portafolio_Proyectos!$AR104),"")</f>
        <v/>
      </c>
      <c r="C313" s="5" t="str">
        <f>IFERROR(IF(Portafolio_Proyectos!$AR104="","","Distintiva"),"")</f>
        <v/>
      </c>
      <c r="D313" s="5" t="str">
        <f>IFERROR(IF(Portafolio_Proyectos!$AR104="","",Portafolio_Proyectos!$C104),"")</f>
        <v/>
      </c>
      <c r="E313" s="5" t="str">
        <f>IFERROR(IF(Portafolio_Proyectos!$AR104="","",Portafolio_Proyectos!$B104),"")</f>
        <v/>
      </c>
      <c r="F313" s="5" t="str">
        <f>IFERROR(IF(Portafolio_Proyectos!$AR104="","",Portafolio_Proyectos!$D104),"")</f>
        <v/>
      </c>
      <c r="G313" s="5" t="str">
        <f>IFERROR(IF(Portafolio_Proyectos!$AR104="","",Portafolio_Proyectos!$A104),"")</f>
        <v/>
      </c>
      <c r="H313" s="5" t="str">
        <f>IFERROR(IF(Portafolio_Proyectos!$AR104="","",Portafolio_Proyectos!$E104),"")</f>
        <v/>
      </c>
    </row>
    <row r="314" spans="1:8" x14ac:dyDescent="0.35">
      <c r="A314" s="5" t="str">
        <f>IFERROR(IF(Portafolio_Proyectos!$AP105="","","CAP-"&amp;ROW()-1),"")</f>
        <v/>
      </c>
      <c r="B314" s="5" t="str">
        <f>IFERROR(IF(Portafolio_Proyectos!$AP105="","",Portafolio_Proyectos!$AP105),"")</f>
        <v/>
      </c>
      <c r="C314" s="5" t="str">
        <f>IFERROR(IF(Portafolio_Proyectos!$AP105="","","Emergente"),"")</f>
        <v/>
      </c>
      <c r="D314" s="5" t="str">
        <f>IFERROR(IF(Portafolio_Proyectos!$AP105="","",Portafolio_Proyectos!$C105),"")</f>
        <v/>
      </c>
      <c r="E314" s="5" t="str">
        <f>IFERROR(IF(Portafolio_Proyectos!$AP105="","",Portafolio_Proyectos!$B105),"")</f>
        <v/>
      </c>
      <c r="F314" s="5" t="str">
        <f>IFERROR(IF(Portafolio_Proyectos!$AP105="","",Portafolio_Proyectos!$D105),"")</f>
        <v/>
      </c>
      <c r="G314" s="5" t="str">
        <f>IFERROR(IF(Portafolio_Proyectos!$AP105="","",Portafolio_Proyectos!$A105),"")</f>
        <v/>
      </c>
      <c r="H314" s="5" t="str">
        <f>IFERROR(IF(Portafolio_Proyectos!$AP105="","",Portafolio_Proyectos!$E105),"")</f>
        <v/>
      </c>
    </row>
    <row r="315" spans="1:8" x14ac:dyDescent="0.35">
      <c r="A315" s="5" t="str">
        <f>IFERROR(IF(Portafolio_Proyectos!$AQ105="","","CAP-"&amp;ROW()-1),"")</f>
        <v/>
      </c>
      <c r="B315" s="5" t="str">
        <f>IFERROR(IF(Portafolio_Proyectos!$AQ105="","",Portafolio_Proyectos!$AQ105),"")</f>
        <v/>
      </c>
      <c r="C315" s="5" t="str">
        <f>IFERROR(IF(Portafolio_Proyectos!$AQ105="","","Consolidada"),"")</f>
        <v/>
      </c>
      <c r="D315" s="5" t="str">
        <f>IFERROR(IF(Portafolio_Proyectos!$AQ105="","",Portafolio_Proyectos!$C105),"")</f>
        <v/>
      </c>
      <c r="E315" s="5" t="str">
        <f>IFERROR(IF(Portafolio_Proyectos!$AQ105="","",Portafolio_Proyectos!$B105),"")</f>
        <v/>
      </c>
      <c r="F315" s="5" t="str">
        <f>IFERROR(IF(Portafolio_Proyectos!$AQ105="","",Portafolio_Proyectos!$D105),"")</f>
        <v/>
      </c>
      <c r="G315" s="5" t="str">
        <f>IFERROR(IF(Portafolio_Proyectos!$AQ105="","",Portafolio_Proyectos!$A105),"")</f>
        <v/>
      </c>
      <c r="H315" s="5" t="str">
        <f>IFERROR(IF(Portafolio_Proyectos!$AQ105="","",Portafolio_Proyectos!$E105),"")</f>
        <v/>
      </c>
    </row>
    <row r="316" spans="1:8" x14ac:dyDescent="0.35">
      <c r="A316" s="5" t="str">
        <f>IFERROR(IF(Portafolio_Proyectos!$AR105="","","CAP-"&amp;ROW()-1),"")</f>
        <v/>
      </c>
      <c r="B316" s="5" t="str">
        <f>IFERROR(IF(Portafolio_Proyectos!$AR105="","",Portafolio_Proyectos!$AR105),"")</f>
        <v/>
      </c>
      <c r="C316" s="5" t="str">
        <f>IFERROR(IF(Portafolio_Proyectos!$AR105="","","Distintiva"),"")</f>
        <v/>
      </c>
      <c r="D316" s="5" t="str">
        <f>IFERROR(IF(Portafolio_Proyectos!$AR105="","",Portafolio_Proyectos!$C105),"")</f>
        <v/>
      </c>
      <c r="E316" s="5" t="str">
        <f>IFERROR(IF(Portafolio_Proyectos!$AR105="","",Portafolio_Proyectos!$B105),"")</f>
        <v/>
      </c>
      <c r="F316" s="5" t="str">
        <f>IFERROR(IF(Portafolio_Proyectos!$AR105="","",Portafolio_Proyectos!$D105),"")</f>
        <v/>
      </c>
      <c r="G316" s="5" t="str">
        <f>IFERROR(IF(Portafolio_Proyectos!$AR105="","",Portafolio_Proyectos!$A105),"")</f>
        <v/>
      </c>
      <c r="H316" s="5" t="str">
        <f>IFERROR(IF(Portafolio_Proyectos!$AR105="","",Portafolio_Proyectos!$E105),"")</f>
        <v/>
      </c>
    </row>
    <row r="317" spans="1:8" x14ac:dyDescent="0.35">
      <c r="A317" s="5" t="str">
        <f>IFERROR(IF(Portafolio_Proyectos!$AP106="","","CAP-"&amp;ROW()-1),"")</f>
        <v/>
      </c>
      <c r="B317" s="5" t="str">
        <f>IFERROR(IF(Portafolio_Proyectos!$AP106="","",Portafolio_Proyectos!$AP106),"")</f>
        <v/>
      </c>
      <c r="C317" s="5" t="str">
        <f>IFERROR(IF(Portafolio_Proyectos!$AP106="","","Emergente"),"")</f>
        <v/>
      </c>
      <c r="D317" s="5" t="str">
        <f>IFERROR(IF(Portafolio_Proyectos!$AP106="","",Portafolio_Proyectos!$C106),"")</f>
        <v/>
      </c>
      <c r="E317" s="5" t="str">
        <f>IFERROR(IF(Portafolio_Proyectos!$AP106="","",Portafolio_Proyectos!$B106),"")</f>
        <v/>
      </c>
      <c r="F317" s="5" t="str">
        <f>IFERROR(IF(Portafolio_Proyectos!$AP106="","",Portafolio_Proyectos!$D106),"")</f>
        <v/>
      </c>
      <c r="G317" s="5" t="str">
        <f>IFERROR(IF(Portafolio_Proyectos!$AP106="","",Portafolio_Proyectos!$A106),"")</f>
        <v/>
      </c>
      <c r="H317" s="5" t="str">
        <f>IFERROR(IF(Portafolio_Proyectos!$AP106="","",Portafolio_Proyectos!$E106),"")</f>
        <v/>
      </c>
    </row>
    <row r="318" spans="1:8" x14ac:dyDescent="0.35">
      <c r="A318" s="5" t="str">
        <f>IFERROR(IF(Portafolio_Proyectos!$AQ106="","","CAP-"&amp;ROW()-1),"")</f>
        <v/>
      </c>
      <c r="B318" s="5" t="str">
        <f>IFERROR(IF(Portafolio_Proyectos!$AQ106="","",Portafolio_Proyectos!$AQ106),"")</f>
        <v/>
      </c>
      <c r="C318" s="5" t="str">
        <f>IFERROR(IF(Portafolio_Proyectos!$AQ106="","","Consolidada"),"")</f>
        <v/>
      </c>
      <c r="D318" s="5" t="str">
        <f>IFERROR(IF(Portafolio_Proyectos!$AQ106="","",Portafolio_Proyectos!$C106),"")</f>
        <v/>
      </c>
      <c r="E318" s="5" t="str">
        <f>IFERROR(IF(Portafolio_Proyectos!$AQ106="","",Portafolio_Proyectos!$B106),"")</f>
        <v/>
      </c>
      <c r="F318" s="5" t="str">
        <f>IFERROR(IF(Portafolio_Proyectos!$AQ106="","",Portafolio_Proyectos!$D106),"")</f>
        <v/>
      </c>
      <c r="G318" s="5" t="str">
        <f>IFERROR(IF(Portafolio_Proyectos!$AQ106="","",Portafolio_Proyectos!$A106),"")</f>
        <v/>
      </c>
      <c r="H318" s="5" t="str">
        <f>IFERROR(IF(Portafolio_Proyectos!$AQ106="","",Portafolio_Proyectos!$E106),"")</f>
        <v/>
      </c>
    </row>
    <row r="319" spans="1:8" x14ac:dyDescent="0.35">
      <c r="A319" s="5" t="str">
        <f>IFERROR(IF(Portafolio_Proyectos!$AR106="","","CAP-"&amp;ROW()-1),"")</f>
        <v/>
      </c>
      <c r="B319" s="5" t="str">
        <f>IFERROR(IF(Portafolio_Proyectos!$AR106="","",Portafolio_Proyectos!$AR106),"")</f>
        <v/>
      </c>
      <c r="C319" s="5" t="str">
        <f>IFERROR(IF(Portafolio_Proyectos!$AR106="","","Distintiva"),"")</f>
        <v/>
      </c>
      <c r="D319" s="5" t="str">
        <f>IFERROR(IF(Portafolio_Proyectos!$AR106="","",Portafolio_Proyectos!$C106),"")</f>
        <v/>
      </c>
      <c r="E319" s="5" t="str">
        <f>IFERROR(IF(Portafolio_Proyectos!$AR106="","",Portafolio_Proyectos!$B106),"")</f>
        <v/>
      </c>
      <c r="F319" s="5" t="str">
        <f>IFERROR(IF(Portafolio_Proyectos!$AR106="","",Portafolio_Proyectos!$D106),"")</f>
        <v/>
      </c>
      <c r="G319" s="5" t="str">
        <f>IFERROR(IF(Portafolio_Proyectos!$AR106="","",Portafolio_Proyectos!$A106),"")</f>
        <v/>
      </c>
      <c r="H319" s="5" t="str">
        <f>IFERROR(IF(Portafolio_Proyectos!$AR106="","",Portafolio_Proyectos!$E106),"")</f>
        <v/>
      </c>
    </row>
    <row r="320" spans="1:8" x14ac:dyDescent="0.35">
      <c r="A320" s="5" t="str">
        <f>IFERROR(IF(Portafolio_Proyectos!$AP107="","","CAP-"&amp;ROW()-1),"")</f>
        <v/>
      </c>
      <c r="B320" s="5" t="str">
        <f>IFERROR(IF(Portafolio_Proyectos!$AP107="","",Portafolio_Proyectos!$AP107),"")</f>
        <v/>
      </c>
      <c r="C320" s="5" t="str">
        <f>IFERROR(IF(Portafolio_Proyectos!$AP107="","","Emergente"),"")</f>
        <v/>
      </c>
      <c r="D320" s="5" t="str">
        <f>IFERROR(IF(Portafolio_Proyectos!$AP107="","",Portafolio_Proyectos!$C107),"")</f>
        <v/>
      </c>
      <c r="E320" s="5" t="str">
        <f>IFERROR(IF(Portafolio_Proyectos!$AP107="","",Portafolio_Proyectos!$B107),"")</f>
        <v/>
      </c>
      <c r="F320" s="5" t="str">
        <f>IFERROR(IF(Portafolio_Proyectos!$AP107="","",Portafolio_Proyectos!$D107),"")</f>
        <v/>
      </c>
      <c r="G320" s="5" t="str">
        <f>IFERROR(IF(Portafolio_Proyectos!$AP107="","",Portafolio_Proyectos!$A107),"")</f>
        <v/>
      </c>
      <c r="H320" s="5" t="str">
        <f>IFERROR(IF(Portafolio_Proyectos!$AP107="","",Portafolio_Proyectos!$E107),"")</f>
        <v/>
      </c>
    </row>
    <row r="321" spans="1:8" x14ac:dyDescent="0.35">
      <c r="A321" s="5" t="str">
        <f>IFERROR(IF(Portafolio_Proyectos!$AQ107="","","CAP-"&amp;ROW()-1),"")</f>
        <v/>
      </c>
      <c r="B321" s="5" t="str">
        <f>IFERROR(IF(Portafolio_Proyectos!$AQ107="","",Portafolio_Proyectos!$AQ107),"")</f>
        <v/>
      </c>
      <c r="C321" s="5" t="str">
        <f>IFERROR(IF(Portafolio_Proyectos!$AQ107="","","Consolidada"),"")</f>
        <v/>
      </c>
      <c r="D321" s="5" t="str">
        <f>IFERROR(IF(Portafolio_Proyectos!$AQ107="","",Portafolio_Proyectos!$C107),"")</f>
        <v/>
      </c>
      <c r="E321" s="5" t="str">
        <f>IFERROR(IF(Portafolio_Proyectos!$AQ107="","",Portafolio_Proyectos!$B107),"")</f>
        <v/>
      </c>
      <c r="F321" s="5" t="str">
        <f>IFERROR(IF(Portafolio_Proyectos!$AQ107="","",Portafolio_Proyectos!$D107),"")</f>
        <v/>
      </c>
      <c r="G321" s="5" t="str">
        <f>IFERROR(IF(Portafolio_Proyectos!$AQ107="","",Portafolio_Proyectos!$A107),"")</f>
        <v/>
      </c>
      <c r="H321" s="5" t="str">
        <f>IFERROR(IF(Portafolio_Proyectos!$AQ107="","",Portafolio_Proyectos!$E107),"")</f>
        <v/>
      </c>
    </row>
    <row r="322" spans="1:8" x14ac:dyDescent="0.35">
      <c r="A322" s="5" t="str">
        <f>IFERROR(IF(Portafolio_Proyectos!$AR107="","","CAP-"&amp;ROW()-1),"")</f>
        <v/>
      </c>
      <c r="B322" s="5" t="str">
        <f>IFERROR(IF(Portafolio_Proyectos!$AR107="","",Portafolio_Proyectos!$AR107),"")</f>
        <v/>
      </c>
      <c r="C322" s="5" t="str">
        <f>IFERROR(IF(Portafolio_Proyectos!$AR107="","","Distintiva"),"")</f>
        <v/>
      </c>
      <c r="D322" s="5" t="str">
        <f>IFERROR(IF(Portafolio_Proyectos!$AR107="","",Portafolio_Proyectos!$C107),"")</f>
        <v/>
      </c>
      <c r="E322" s="5" t="str">
        <f>IFERROR(IF(Portafolio_Proyectos!$AR107="","",Portafolio_Proyectos!$B107),"")</f>
        <v/>
      </c>
      <c r="F322" s="5" t="str">
        <f>IFERROR(IF(Portafolio_Proyectos!$AR107="","",Portafolio_Proyectos!$D107),"")</f>
        <v/>
      </c>
      <c r="G322" s="5" t="str">
        <f>IFERROR(IF(Portafolio_Proyectos!$AR107="","",Portafolio_Proyectos!$A107),"")</f>
        <v/>
      </c>
      <c r="H322" s="5" t="str">
        <f>IFERROR(IF(Portafolio_Proyectos!$AR107="","",Portafolio_Proyectos!$E107),"")</f>
        <v/>
      </c>
    </row>
    <row r="323" spans="1:8" x14ac:dyDescent="0.35">
      <c r="A323" s="5" t="str">
        <f>IFERROR(IF(Portafolio_Proyectos!$AP108="","","CAP-"&amp;ROW()-1),"")</f>
        <v/>
      </c>
      <c r="B323" s="5" t="str">
        <f>IFERROR(IF(Portafolio_Proyectos!$AP108="","",Portafolio_Proyectos!$AP108),"")</f>
        <v/>
      </c>
      <c r="C323" s="5" t="str">
        <f>IFERROR(IF(Portafolio_Proyectos!$AP108="","","Emergente"),"")</f>
        <v/>
      </c>
      <c r="D323" s="5" t="str">
        <f>IFERROR(IF(Portafolio_Proyectos!$AP108="","",Portafolio_Proyectos!$C108),"")</f>
        <v/>
      </c>
      <c r="E323" s="5" t="str">
        <f>IFERROR(IF(Portafolio_Proyectos!$AP108="","",Portafolio_Proyectos!$B108),"")</f>
        <v/>
      </c>
      <c r="F323" s="5" t="str">
        <f>IFERROR(IF(Portafolio_Proyectos!$AP108="","",Portafolio_Proyectos!$D108),"")</f>
        <v/>
      </c>
      <c r="G323" s="5" t="str">
        <f>IFERROR(IF(Portafolio_Proyectos!$AP108="","",Portafolio_Proyectos!$A108),"")</f>
        <v/>
      </c>
      <c r="H323" s="5" t="str">
        <f>IFERROR(IF(Portafolio_Proyectos!$AP108="","",Portafolio_Proyectos!$E108),"")</f>
        <v/>
      </c>
    </row>
    <row r="324" spans="1:8" x14ac:dyDescent="0.35">
      <c r="A324" s="5" t="str">
        <f>IFERROR(IF(Portafolio_Proyectos!$AQ108="","","CAP-"&amp;ROW()-1),"")</f>
        <v/>
      </c>
      <c r="B324" s="5" t="str">
        <f>IFERROR(IF(Portafolio_Proyectos!$AQ108="","",Portafolio_Proyectos!$AQ108),"")</f>
        <v/>
      </c>
      <c r="C324" s="5" t="str">
        <f>IFERROR(IF(Portafolio_Proyectos!$AQ108="","","Consolidada"),"")</f>
        <v/>
      </c>
      <c r="D324" s="5" t="str">
        <f>IFERROR(IF(Portafolio_Proyectos!$AQ108="","",Portafolio_Proyectos!$C108),"")</f>
        <v/>
      </c>
      <c r="E324" s="5" t="str">
        <f>IFERROR(IF(Portafolio_Proyectos!$AQ108="","",Portafolio_Proyectos!$B108),"")</f>
        <v/>
      </c>
      <c r="F324" s="5" t="str">
        <f>IFERROR(IF(Portafolio_Proyectos!$AQ108="","",Portafolio_Proyectos!$D108),"")</f>
        <v/>
      </c>
      <c r="G324" s="5" t="str">
        <f>IFERROR(IF(Portafolio_Proyectos!$AQ108="","",Portafolio_Proyectos!$A108),"")</f>
        <v/>
      </c>
      <c r="H324" s="5" t="str">
        <f>IFERROR(IF(Portafolio_Proyectos!$AQ108="","",Portafolio_Proyectos!$E108),"")</f>
        <v/>
      </c>
    </row>
    <row r="325" spans="1:8" x14ac:dyDescent="0.35">
      <c r="A325" s="5" t="str">
        <f>IFERROR(IF(Portafolio_Proyectos!$AR108="","","CAP-"&amp;ROW()-1),"")</f>
        <v/>
      </c>
      <c r="B325" s="5" t="str">
        <f>IFERROR(IF(Portafolio_Proyectos!$AR108="","",Portafolio_Proyectos!$AR108),"")</f>
        <v/>
      </c>
      <c r="C325" s="5" t="str">
        <f>IFERROR(IF(Portafolio_Proyectos!$AR108="","","Distintiva"),"")</f>
        <v/>
      </c>
      <c r="D325" s="5" t="str">
        <f>IFERROR(IF(Portafolio_Proyectos!$AR108="","",Portafolio_Proyectos!$C108),"")</f>
        <v/>
      </c>
      <c r="E325" s="5" t="str">
        <f>IFERROR(IF(Portafolio_Proyectos!$AR108="","",Portafolio_Proyectos!$B108),"")</f>
        <v/>
      </c>
      <c r="F325" s="5" t="str">
        <f>IFERROR(IF(Portafolio_Proyectos!$AR108="","",Portafolio_Proyectos!$D108),"")</f>
        <v/>
      </c>
      <c r="G325" s="5" t="str">
        <f>IFERROR(IF(Portafolio_Proyectos!$AR108="","",Portafolio_Proyectos!$A108),"")</f>
        <v/>
      </c>
      <c r="H325" s="5" t="str">
        <f>IFERROR(IF(Portafolio_Proyectos!$AR108="","",Portafolio_Proyectos!$E108),"")</f>
        <v/>
      </c>
    </row>
    <row r="326" spans="1:8" x14ac:dyDescent="0.35">
      <c r="A326" s="5" t="str">
        <f>IFERROR(IF(Portafolio_Proyectos!$AP109="","","CAP-"&amp;ROW()-1),"")</f>
        <v/>
      </c>
      <c r="B326" s="5" t="str">
        <f>IFERROR(IF(Portafolio_Proyectos!$AP109="","",Portafolio_Proyectos!$AP109),"")</f>
        <v/>
      </c>
      <c r="C326" s="5" t="str">
        <f>IFERROR(IF(Portafolio_Proyectos!$AP109="","","Emergente"),"")</f>
        <v/>
      </c>
      <c r="D326" s="5" t="str">
        <f>IFERROR(IF(Portafolio_Proyectos!$AP109="","",Portafolio_Proyectos!$C109),"")</f>
        <v/>
      </c>
      <c r="E326" s="5" t="str">
        <f>IFERROR(IF(Portafolio_Proyectos!$AP109="","",Portafolio_Proyectos!$B109),"")</f>
        <v/>
      </c>
      <c r="F326" s="5" t="str">
        <f>IFERROR(IF(Portafolio_Proyectos!$AP109="","",Portafolio_Proyectos!$D109),"")</f>
        <v/>
      </c>
      <c r="G326" s="5" t="str">
        <f>IFERROR(IF(Portafolio_Proyectos!$AP109="","",Portafolio_Proyectos!$A109),"")</f>
        <v/>
      </c>
      <c r="H326" s="5" t="str">
        <f>IFERROR(IF(Portafolio_Proyectos!$AP109="","",Portafolio_Proyectos!$E109),"")</f>
        <v/>
      </c>
    </row>
    <row r="327" spans="1:8" x14ac:dyDescent="0.35">
      <c r="A327" s="5" t="str">
        <f>IFERROR(IF(Portafolio_Proyectos!$AQ109="","","CAP-"&amp;ROW()-1),"")</f>
        <v/>
      </c>
      <c r="B327" s="5" t="str">
        <f>IFERROR(IF(Portafolio_Proyectos!$AQ109="","",Portafolio_Proyectos!$AQ109),"")</f>
        <v/>
      </c>
      <c r="C327" s="5" t="str">
        <f>IFERROR(IF(Portafolio_Proyectos!$AQ109="","","Consolidada"),"")</f>
        <v/>
      </c>
      <c r="D327" s="5" t="str">
        <f>IFERROR(IF(Portafolio_Proyectos!$AQ109="","",Portafolio_Proyectos!$C109),"")</f>
        <v/>
      </c>
      <c r="E327" s="5" t="str">
        <f>IFERROR(IF(Portafolio_Proyectos!$AQ109="","",Portafolio_Proyectos!$B109),"")</f>
        <v/>
      </c>
      <c r="F327" s="5" t="str">
        <f>IFERROR(IF(Portafolio_Proyectos!$AQ109="","",Portafolio_Proyectos!$D109),"")</f>
        <v/>
      </c>
      <c r="G327" s="5" t="str">
        <f>IFERROR(IF(Portafolio_Proyectos!$AQ109="","",Portafolio_Proyectos!$A109),"")</f>
        <v/>
      </c>
      <c r="H327" s="5" t="str">
        <f>IFERROR(IF(Portafolio_Proyectos!$AQ109="","",Portafolio_Proyectos!$E109),"")</f>
        <v/>
      </c>
    </row>
    <row r="328" spans="1:8" x14ac:dyDescent="0.35">
      <c r="A328" s="5" t="str">
        <f>IFERROR(IF(Portafolio_Proyectos!$AR109="","","CAP-"&amp;ROW()-1),"")</f>
        <v/>
      </c>
      <c r="B328" s="5" t="str">
        <f>IFERROR(IF(Portafolio_Proyectos!$AR109="","",Portafolio_Proyectos!$AR109),"")</f>
        <v/>
      </c>
      <c r="C328" s="5" t="str">
        <f>IFERROR(IF(Portafolio_Proyectos!$AR109="","","Distintiva"),"")</f>
        <v/>
      </c>
      <c r="D328" s="5" t="str">
        <f>IFERROR(IF(Portafolio_Proyectos!$AR109="","",Portafolio_Proyectos!$C109),"")</f>
        <v/>
      </c>
      <c r="E328" s="5" t="str">
        <f>IFERROR(IF(Portafolio_Proyectos!$AR109="","",Portafolio_Proyectos!$B109),"")</f>
        <v/>
      </c>
      <c r="F328" s="5" t="str">
        <f>IFERROR(IF(Portafolio_Proyectos!$AR109="","",Portafolio_Proyectos!$D109),"")</f>
        <v/>
      </c>
      <c r="G328" s="5" t="str">
        <f>IFERROR(IF(Portafolio_Proyectos!$AR109="","",Portafolio_Proyectos!$A109),"")</f>
        <v/>
      </c>
      <c r="H328" s="5" t="str">
        <f>IFERROR(IF(Portafolio_Proyectos!$AR109="","",Portafolio_Proyectos!$E109),"")</f>
        <v/>
      </c>
    </row>
    <row r="329" spans="1:8" x14ac:dyDescent="0.35">
      <c r="A329" s="5" t="str">
        <f>IFERROR(IF(Portafolio_Proyectos!$AP110="","","CAP-"&amp;ROW()-1),"")</f>
        <v/>
      </c>
      <c r="B329" s="5" t="str">
        <f>IFERROR(IF(Portafolio_Proyectos!$AP110="","",Portafolio_Proyectos!$AP110),"")</f>
        <v/>
      </c>
      <c r="C329" s="5" t="str">
        <f>IFERROR(IF(Portafolio_Proyectos!$AP110="","","Emergente"),"")</f>
        <v/>
      </c>
      <c r="D329" s="5" t="str">
        <f>IFERROR(IF(Portafolio_Proyectos!$AP110="","",Portafolio_Proyectos!$C110),"")</f>
        <v/>
      </c>
      <c r="E329" s="5" t="str">
        <f>IFERROR(IF(Portafolio_Proyectos!$AP110="","",Portafolio_Proyectos!$B110),"")</f>
        <v/>
      </c>
      <c r="F329" s="5" t="str">
        <f>IFERROR(IF(Portafolio_Proyectos!$AP110="","",Portafolio_Proyectos!$D110),"")</f>
        <v/>
      </c>
      <c r="G329" s="5" t="str">
        <f>IFERROR(IF(Portafolio_Proyectos!$AP110="","",Portafolio_Proyectos!$A110),"")</f>
        <v/>
      </c>
      <c r="H329" s="5" t="str">
        <f>IFERROR(IF(Portafolio_Proyectos!$AP110="","",Portafolio_Proyectos!$E110),"")</f>
        <v/>
      </c>
    </row>
    <row r="330" spans="1:8" x14ac:dyDescent="0.35">
      <c r="A330" s="5" t="str">
        <f>IFERROR(IF(Portafolio_Proyectos!$AQ110="","","CAP-"&amp;ROW()-1),"")</f>
        <v/>
      </c>
      <c r="B330" s="5" t="str">
        <f>IFERROR(IF(Portafolio_Proyectos!$AQ110="","",Portafolio_Proyectos!$AQ110),"")</f>
        <v/>
      </c>
      <c r="C330" s="5" t="str">
        <f>IFERROR(IF(Portafolio_Proyectos!$AQ110="","","Consolidada"),"")</f>
        <v/>
      </c>
      <c r="D330" s="5" t="str">
        <f>IFERROR(IF(Portafolio_Proyectos!$AQ110="","",Portafolio_Proyectos!$C110),"")</f>
        <v/>
      </c>
      <c r="E330" s="5" t="str">
        <f>IFERROR(IF(Portafolio_Proyectos!$AQ110="","",Portafolio_Proyectos!$B110),"")</f>
        <v/>
      </c>
      <c r="F330" s="5" t="str">
        <f>IFERROR(IF(Portafolio_Proyectos!$AQ110="","",Portafolio_Proyectos!$D110),"")</f>
        <v/>
      </c>
      <c r="G330" s="5" t="str">
        <f>IFERROR(IF(Portafolio_Proyectos!$AQ110="","",Portafolio_Proyectos!$A110),"")</f>
        <v/>
      </c>
      <c r="H330" s="5" t="str">
        <f>IFERROR(IF(Portafolio_Proyectos!$AQ110="","",Portafolio_Proyectos!$E110),"")</f>
        <v/>
      </c>
    </row>
    <row r="331" spans="1:8" x14ac:dyDescent="0.35">
      <c r="A331" s="5" t="str">
        <f>IFERROR(IF(Portafolio_Proyectos!$AR110="","","CAP-"&amp;ROW()-1),"")</f>
        <v/>
      </c>
      <c r="B331" s="5" t="str">
        <f>IFERROR(IF(Portafolio_Proyectos!$AR110="","",Portafolio_Proyectos!$AR110),"")</f>
        <v/>
      </c>
      <c r="C331" s="5" t="str">
        <f>IFERROR(IF(Portafolio_Proyectos!$AR110="","","Distintiva"),"")</f>
        <v/>
      </c>
      <c r="D331" s="5" t="str">
        <f>IFERROR(IF(Portafolio_Proyectos!$AR110="","",Portafolio_Proyectos!$C110),"")</f>
        <v/>
      </c>
      <c r="E331" s="5" t="str">
        <f>IFERROR(IF(Portafolio_Proyectos!$AR110="","",Portafolio_Proyectos!$B110),"")</f>
        <v/>
      </c>
      <c r="F331" s="5" t="str">
        <f>IFERROR(IF(Portafolio_Proyectos!$AR110="","",Portafolio_Proyectos!$D110),"")</f>
        <v/>
      </c>
      <c r="G331" s="5" t="str">
        <f>IFERROR(IF(Portafolio_Proyectos!$AR110="","",Portafolio_Proyectos!$A110),"")</f>
        <v/>
      </c>
      <c r="H331" s="5" t="str">
        <f>IFERROR(IF(Portafolio_Proyectos!$AR110="","",Portafolio_Proyectos!$E110),"")</f>
        <v/>
      </c>
    </row>
    <row r="332" spans="1:8" x14ac:dyDescent="0.35">
      <c r="A332" s="5" t="str">
        <f>IFERROR(IF(Portafolio_Proyectos!$AP111="","","CAP-"&amp;ROW()-1),"")</f>
        <v/>
      </c>
      <c r="B332" s="5" t="str">
        <f>IFERROR(IF(Portafolio_Proyectos!$AP111="","",Portafolio_Proyectos!$AP111),"")</f>
        <v/>
      </c>
      <c r="C332" s="5" t="str">
        <f>IFERROR(IF(Portafolio_Proyectos!$AP111="","","Emergente"),"")</f>
        <v/>
      </c>
      <c r="D332" s="5" t="str">
        <f>IFERROR(IF(Portafolio_Proyectos!$AP111="","",Portafolio_Proyectos!$C111),"")</f>
        <v/>
      </c>
      <c r="E332" s="5" t="str">
        <f>IFERROR(IF(Portafolio_Proyectos!$AP111="","",Portafolio_Proyectos!$B111),"")</f>
        <v/>
      </c>
      <c r="F332" s="5" t="str">
        <f>IFERROR(IF(Portafolio_Proyectos!$AP111="","",Portafolio_Proyectos!$D111),"")</f>
        <v/>
      </c>
      <c r="G332" s="5" t="str">
        <f>IFERROR(IF(Portafolio_Proyectos!$AP111="","",Portafolio_Proyectos!$A111),"")</f>
        <v/>
      </c>
      <c r="H332" s="5" t="str">
        <f>IFERROR(IF(Portafolio_Proyectos!$AP111="","",Portafolio_Proyectos!$E111),"")</f>
        <v/>
      </c>
    </row>
    <row r="333" spans="1:8" x14ac:dyDescent="0.35">
      <c r="A333" s="5" t="str">
        <f>IFERROR(IF(Portafolio_Proyectos!$AQ111="","","CAP-"&amp;ROW()-1),"")</f>
        <v/>
      </c>
      <c r="B333" s="5" t="str">
        <f>IFERROR(IF(Portafolio_Proyectos!$AQ111="","",Portafolio_Proyectos!$AQ111),"")</f>
        <v/>
      </c>
      <c r="C333" s="5" t="str">
        <f>IFERROR(IF(Portafolio_Proyectos!$AQ111="","","Consolidada"),"")</f>
        <v/>
      </c>
      <c r="D333" s="5" t="str">
        <f>IFERROR(IF(Portafolio_Proyectos!$AQ111="","",Portafolio_Proyectos!$C111),"")</f>
        <v/>
      </c>
      <c r="E333" s="5" t="str">
        <f>IFERROR(IF(Portafolio_Proyectos!$AQ111="","",Portafolio_Proyectos!$B111),"")</f>
        <v/>
      </c>
      <c r="F333" s="5" t="str">
        <f>IFERROR(IF(Portafolio_Proyectos!$AQ111="","",Portafolio_Proyectos!$D111),"")</f>
        <v/>
      </c>
      <c r="G333" s="5" t="str">
        <f>IFERROR(IF(Portafolio_Proyectos!$AQ111="","",Portafolio_Proyectos!$A111),"")</f>
        <v/>
      </c>
      <c r="H333" s="5" t="str">
        <f>IFERROR(IF(Portafolio_Proyectos!$AQ111="","",Portafolio_Proyectos!$E111),"")</f>
        <v/>
      </c>
    </row>
    <row r="334" spans="1:8" x14ac:dyDescent="0.35">
      <c r="A334" s="5" t="str">
        <f>IFERROR(IF(Portafolio_Proyectos!$AR111="","","CAP-"&amp;ROW()-1),"")</f>
        <v/>
      </c>
      <c r="B334" s="5" t="str">
        <f>IFERROR(IF(Portafolio_Proyectos!$AR111="","",Portafolio_Proyectos!$AR111),"")</f>
        <v/>
      </c>
      <c r="C334" s="5" t="str">
        <f>IFERROR(IF(Portafolio_Proyectos!$AR111="","","Distintiva"),"")</f>
        <v/>
      </c>
      <c r="D334" s="5" t="str">
        <f>IFERROR(IF(Portafolio_Proyectos!$AR111="","",Portafolio_Proyectos!$C111),"")</f>
        <v/>
      </c>
      <c r="E334" s="5" t="str">
        <f>IFERROR(IF(Portafolio_Proyectos!$AR111="","",Portafolio_Proyectos!$B111),"")</f>
        <v/>
      </c>
      <c r="F334" s="5" t="str">
        <f>IFERROR(IF(Portafolio_Proyectos!$AR111="","",Portafolio_Proyectos!$D111),"")</f>
        <v/>
      </c>
      <c r="G334" s="5" t="str">
        <f>IFERROR(IF(Portafolio_Proyectos!$AR111="","",Portafolio_Proyectos!$A111),"")</f>
        <v/>
      </c>
      <c r="H334" s="5" t="str">
        <f>IFERROR(IF(Portafolio_Proyectos!$AR111="","",Portafolio_Proyectos!$E111),"")</f>
        <v/>
      </c>
    </row>
    <row r="335" spans="1:8" x14ac:dyDescent="0.35">
      <c r="A335" s="5" t="str">
        <f>IFERROR(IF(Portafolio_Proyectos!$AP112="","","CAP-"&amp;ROW()-1),"")</f>
        <v/>
      </c>
      <c r="B335" s="5" t="str">
        <f>IFERROR(IF(Portafolio_Proyectos!$AP112="","",Portafolio_Proyectos!$AP112),"")</f>
        <v/>
      </c>
      <c r="C335" s="5" t="str">
        <f>IFERROR(IF(Portafolio_Proyectos!$AP112="","","Emergente"),"")</f>
        <v/>
      </c>
      <c r="D335" s="5" t="str">
        <f>IFERROR(IF(Portafolio_Proyectos!$AP112="","",Portafolio_Proyectos!$C112),"")</f>
        <v/>
      </c>
      <c r="E335" s="5" t="str">
        <f>IFERROR(IF(Portafolio_Proyectos!$AP112="","",Portafolio_Proyectos!$B112),"")</f>
        <v/>
      </c>
      <c r="F335" s="5" t="str">
        <f>IFERROR(IF(Portafolio_Proyectos!$AP112="","",Portafolio_Proyectos!$D112),"")</f>
        <v/>
      </c>
      <c r="G335" s="5" t="str">
        <f>IFERROR(IF(Portafolio_Proyectos!$AP112="","",Portafolio_Proyectos!$A112),"")</f>
        <v/>
      </c>
      <c r="H335" s="5" t="str">
        <f>IFERROR(IF(Portafolio_Proyectos!$AP112="","",Portafolio_Proyectos!$E112),"")</f>
        <v/>
      </c>
    </row>
    <row r="336" spans="1:8" x14ac:dyDescent="0.35">
      <c r="A336" s="5" t="str">
        <f>IFERROR(IF(Portafolio_Proyectos!$AQ112="","","CAP-"&amp;ROW()-1),"")</f>
        <v/>
      </c>
      <c r="B336" s="5" t="str">
        <f>IFERROR(IF(Portafolio_Proyectos!$AQ112="","",Portafolio_Proyectos!$AQ112),"")</f>
        <v/>
      </c>
      <c r="C336" s="5" t="str">
        <f>IFERROR(IF(Portafolio_Proyectos!$AQ112="","","Consolidada"),"")</f>
        <v/>
      </c>
      <c r="D336" s="5" t="str">
        <f>IFERROR(IF(Portafolio_Proyectos!$AQ112="","",Portafolio_Proyectos!$C112),"")</f>
        <v/>
      </c>
      <c r="E336" s="5" t="str">
        <f>IFERROR(IF(Portafolio_Proyectos!$AQ112="","",Portafolio_Proyectos!$B112),"")</f>
        <v/>
      </c>
      <c r="F336" s="5" t="str">
        <f>IFERROR(IF(Portafolio_Proyectos!$AQ112="","",Portafolio_Proyectos!$D112),"")</f>
        <v/>
      </c>
      <c r="G336" s="5" t="str">
        <f>IFERROR(IF(Portafolio_Proyectos!$AQ112="","",Portafolio_Proyectos!$A112),"")</f>
        <v/>
      </c>
      <c r="H336" s="5" t="str">
        <f>IFERROR(IF(Portafolio_Proyectos!$AQ112="","",Portafolio_Proyectos!$E112),"")</f>
        <v/>
      </c>
    </row>
    <row r="337" spans="1:8" x14ac:dyDescent="0.35">
      <c r="A337" s="5" t="str">
        <f>IFERROR(IF(Portafolio_Proyectos!$AR112="","","CAP-"&amp;ROW()-1),"")</f>
        <v/>
      </c>
      <c r="B337" s="5" t="str">
        <f>IFERROR(IF(Portafolio_Proyectos!$AR112="","",Portafolio_Proyectos!$AR112),"")</f>
        <v/>
      </c>
      <c r="C337" s="5" t="str">
        <f>IFERROR(IF(Portafolio_Proyectos!$AR112="","","Distintiva"),"")</f>
        <v/>
      </c>
      <c r="D337" s="5" t="str">
        <f>IFERROR(IF(Portafolio_Proyectos!$AR112="","",Portafolio_Proyectos!$C112),"")</f>
        <v/>
      </c>
      <c r="E337" s="5" t="str">
        <f>IFERROR(IF(Portafolio_Proyectos!$AR112="","",Portafolio_Proyectos!$B112),"")</f>
        <v/>
      </c>
      <c r="F337" s="5" t="str">
        <f>IFERROR(IF(Portafolio_Proyectos!$AR112="","",Portafolio_Proyectos!$D112),"")</f>
        <v/>
      </c>
      <c r="G337" s="5" t="str">
        <f>IFERROR(IF(Portafolio_Proyectos!$AR112="","",Portafolio_Proyectos!$A112),"")</f>
        <v/>
      </c>
      <c r="H337" s="5" t="str">
        <f>IFERROR(IF(Portafolio_Proyectos!$AR112="","",Portafolio_Proyectos!$E112),"")</f>
        <v/>
      </c>
    </row>
    <row r="338" spans="1:8" x14ac:dyDescent="0.35">
      <c r="A338" s="5" t="str">
        <f>IFERROR(IF(Portafolio_Proyectos!$AP113="","","CAP-"&amp;ROW()-1),"")</f>
        <v/>
      </c>
      <c r="B338" s="5" t="str">
        <f>IFERROR(IF(Portafolio_Proyectos!$AP113="","",Portafolio_Proyectos!$AP113),"")</f>
        <v/>
      </c>
      <c r="C338" s="5" t="str">
        <f>IFERROR(IF(Portafolio_Proyectos!$AP113="","","Emergente"),"")</f>
        <v/>
      </c>
      <c r="D338" s="5" t="str">
        <f>IFERROR(IF(Portafolio_Proyectos!$AP113="","",Portafolio_Proyectos!$C113),"")</f>
        <v/>
      </c>
      <c r="E338" s="5" t="str">
        <f>IFERROR(IF(Portafolio_Proyectos!$AP113="","",Portafolio_Proyectos!$B113),"")</f>
        <v/>
      </c>
      <c r="F338" s="5" t="str">
        <f>IFERROR(IF(Portafolio_Proyectos!$AP113="","",Portafolio_Proyectos!$D113),"")</f>
        <v/>
      </c>
      <c r="G338" s="5" t="str">
        <f>IFERROR(IF(Portafolio_Proyectos!$AP113="","",Portafolio_Proyectos!$A113),"")</f>
        <v/>
      </c>
      <c r="H338" s="5" t="str">
        <f>IFERROR(IF(Portafolio_Proyectos!$AP113="","",Portafolio_Proyectos!$E113),"")</f>
        <v/>
      </c>
    </row>
    <row r="339" spans="1:8" x14ac:dyDescent="0.35">
      <c r="A339" s="5" t="str">
        <f>IFERROR(IF(Portafolio_Proyectos!$AQ113="","","CAP-"&amp;ROW()-1),"")</f>
        <v/>
      </c>
      <c r="B339" s="5" t="str">
        <f>IFERROR(IF(Portafolio_Proyectos!$AQ113="","",Portafolio_Proyectos!$AQ113),"")</f>
        <v/>
      </c>
      <c r="C339" s="5" t="str">
        <f>IFERROR(IF(Portafolio_Proyectos!$AQ113="","","Consolidada"),"")</f>
        <v/>
      </c>
      <c r="D339" s="5" t="str">
        <f>IFERROR(IF(Portafolio_Proyectos!$AQ113="","",Portafolio_Proyectos!$C113),"")</f>
        <v/>
      </c>
      <c r="E339" s="5" t="str">
        <f>IFERROR(IF(Portafolio_Proyectos!$AQ113="","",Portafolio_Proyectos!$B113),"")</f>
        <v/>
      </c>
      <c r="F339" s="5" t="str">
        <f>IFERROR(IF(Portafolio_Proyectos!$AQ113="","",Portafolio_Proyectos!$D113),"")</f>
        <v/>
      </c>
      <c r="G339" s="5" t="str">
        <f>IFERROR(IF(Portafolio_Proyectos!$AQ113="","",Portafolio_Proyectos!$A113),"")</f>
        <v/>
      </c>
      <c r="H339" s="5" t="str">
        <f>IFERROR(IF(Portafolio_Proyectos!$AQ113="","",Portafolio_Proyectos!$E113),"")</f>
        <v/>
      </c>
    </row>
    <row r="340" spans="1:8" x14ac:dyDescent="0.35">
      <c r="A340" s="5" t="str">
        <f>IFERROR(IF(Portafolio_Proyectos!$AR113="","","CAP-"&amp;ROW()-1),"")</f>
        <v/>
      </c>
      <c r="B340" s="5" t="str">
        <f>IFERROR(IF(Portafolio_Proyectos!$AR113="","",Portafolio_Proyectos!$AR113),"")</f>
        <v/>
      </c>
      <c r="C340" s="5" t="str">
        <f>IFERROR(IF(Portafolio_Proyectos!$AR113="","","Distintiva"),"")</f>
        <v/>
      </c>
      <c r="D340" s="5" t="str">
        <f>IFERROR(IF(Portafolio_Proyectos!$AR113="","",Portafolio_Proyectos!$C113),"")</f>
        <v/>
      </c>
      <c r="E340" s="5" t="str">
        <f>IFERROR(IF(Portafolio_Proyectos!$AR113="","",Portafolio_Proyectos!$B113),"")</f>
        <v/>
      </c>
      <c r="F340" s="5" t="str">
        <f>IFERROR(IF(Portafolio_Proyectos!$AR113="","",Portafolio_Proyectos!$D113),"")</f>
        <v/>
      </c>
      <c r="G340" s="5" t="str">
        <f>IFERROR(IF(Portafolio_Proyectos!$AR113="","",Portafolio_Proyectos!$A113),"")</f>
        <v/>
      </c>
      <c r="H340" s="5" t="str">
        <f>IFERROR(IF(Portafolio_Proyectos!$AR113="","",Portafolio_Proyectos!$E113),"")</f>
        <v/>
      </c>
    </row>
    <row r="341" spans="1:8" x14ac:dyDescent="0.35">
      <c r="A341" s="5" t="str">
        <f>IFERROR(IF(Portafolio_Proyectos!$AP114="","","CAP-"&amp;ROW()-1),"")</f>
        <v/>
      </c>
      <c r="B341" s="5" t="str">
        <f>IFERROR(IF(Portafolio_Proyectos!$AP114="","",Portafolio_Proyectos!$AP114),"")</f>
        <v/>
      </c>
      <c r="C341" s="5" t="str">
        <f>IFERROR(IF(Portafolio_Proyectos!$AP114="","","Emergente"),"")</f>
        <v/>
      </c>
      <c r="D341" s="5" t="str">
        <f>IFERROR(IF(Portafolio_Proyectos!$AP114="","",Portafolio_Proyectos!$C114),"")</f>
        <v/>
      </c>
      <c r="E341" s="5" t="str">
        <f>IFERROR(IF(Portafolio_Proyectos!$AP114="","",Portafolio_Proyectos!$B114),"")</f>
        <v/>
      </c>
      <c r="F341" s="5" t="str">
        <f>IFERROR(IF(Portafolio_Proyectos!$AP114="","",Portafolio_Proyectos!$D114),"")</f>
        <v/>
      </c>
      <c r="G341" s="5" t="str">
        <f>IFERROR(IF(Portafolio_Proyectos!$AP114="","",Portafolio_Proyectos!$A114),"")</f>
        <v/>
      </c>
      <c r="H341" s="5" t="str">
        <f>IFERROR(IF(Portafolio_Proyectos!$AP114="","",Portafolio_Proyectos!$E114),"")</f>
        <v/>
      </c>
    </row>
    <row r="342" spans="1:8" x14ac:dyDescent="0.35">
      <c r="A342" s="5" t="str">
        <f>IFERROR(IF(Portafolio_Proyectos!$AQ114="","","CAP-"&amp;ROW()-1),"")</f>
        <v/>
      </c>
      <c r="B342" s="5" t="str">
        <f>IFERROR(IF(Portafolio_Proyectos!$AQ114="","",Portafolio_Proyectos!$AQ114),"")</f>
        <v/>
      </c>
      <c r="C342" s="5" t="str">
        <f>IFERROR(IF(Portafolio_Proyectos!$AQ114="","","Consolidada"),"")</f>
        <v/>
      </c>
      <c r="D342" s="5" t="str">
        <f>IFERROR(IF(Portafolio_Proyectos!$AQ114="","",Portafolio_Proyectos!$C114),"")</f>
        <v/>
      </c>
      <c r="E342" s="5" t="str">
        <f>IFERROR(IF(Portafolio_Proyectos!$AQ114="","",Portafolio_Proyectos!$B114),"")</f>
        <v/>
      </c>
      <c r="F342" s="5" t="str">
        <f>IFERROR(IF(Portafolio_Proyectos!$AQ114="","",Portafolio_Proyectos!$D114),"")</f>
        <v/>
      </c>
      <c r="G342" s="5" t="str">
        <f>IFERROR(IF(Portafolio_Proyectos!$AQ114="","",Portafolio_Proyectos!$A114),"")</f>
        <v/>
      </c>
      <c r="H342" s="5" t="str">
        <f>IFERROR(IF(Portafolio_Proyectos!$AQ114="","",Portafolio_Proyectos!$E114),"")</f>
        <v/>
      </c>
    </row>
    <row r="343" spans="1:8" x14ac:dyDescent="0.35">
      <c r="A343" s="5" t="str">
        <f>IFERROR(IF(Portafolio_Proyectos!$AR114="","","CAP-"&amp;ROW()-1),"")</f>
        <v/>
      </c>
      <c r="B343" s="5" t="str">
        <f>IFERROR(IF(Portafolio_Proyectos!$AR114="","",Portafolio_Proyectos!$AR114),"")</f>
        <v/>
      </c>
      <c r="C343" s="5" t="str">
        <f>IFERROR(IF(Portafolio_Proyectos!$AR114="","","Distintiva"),"")</f>
        <v/>
      </c>
      <c r="D343" s="5" t="str">
        <f>IFERROR(IF(Portafolio_Proyectos!$AR114="","",Portafolio_Proyectos!$C114),"")</f>
        <v/>
      </c>
      <c r="E343" s="5" t="str">
        <f>IFERROR(IF(Portafolio_Proyectos!$AR114="","",Portafolio_Proyectos!$B114),"")</f>
        <v/>
      </c>
      <c r="F343" s="5" t="str">
        <f>IFERROR(IF(Portafolio_Proyectos!$AR114="","",Portafolio_Proyectos!$D114),"")</f>
        <v/>
      </c>
      <c r="G343" s="5" t="str">
        <f>IFERROR(IF(Portafolio_Proyectos!$AR114="","",Portafolio_Proyectos!$A114),"")</f>
        <v/>
      </c>
      <c r="H343" s="5" t="str">
        <f>IFERROR(IF(Portafolio_Proyectos!$AR114="","",Portafolio_Proyectos!$E114),"")</f>
        <v/>
      </c>
    </row>
    <row r="344" spans="1:8" x14ac:dyDescent="0.35">
      <c r="A344" s="5" t="str">
        <f>IFERROR(IF(Portafolio_Proyectos!$AP115="","","CAP-"&amp;ROW()-1),"")</f>
        <v/>
      </c>
      <c r="B344" s="5" t="str">
        <f>IFERROR(IF(Portafolio_Proyectos!$AP115="","",Portafolio_Proyectos!$AP115),"")</f>
        <v/>
      </c>
      <c r="C344" s="5" t="str">
        <f>IFERROR(IF(Portafolio_Proyectos!$AP115="","","Emergente"),"")</f>
        <v/>
      </c>
      <c r="D344" s="5" t="str">
        <f>IFERROR(IF(Portafolio_Proyectos!$AP115="","",Portafolio_Proyectos!$C115),"")</f>
        <v/>
      </c>
      <c r="E344" s="5" t="str">
        <f>IFERROR(IF(Portafolio_Proyectos!$AP115="","",Portafolio_Proyectos!$B115),"")</f>
        <v/>
      </c>
      <c r="F344" s="5" t="str">
        <f>IFERROR(IF(Portafolio_Proyectos!$AP115="","",Portafolio_Proyectos!$D115),"")</f>
        <v/>
      </c>
      <c r="G344" s="5" t="str">
        <f>IFERROR(IF(Portafolio_Proyectos!$AP115="","",Portafolio_Proyectos!$A115),"")</f>
        <v/>
      </c>
      <c r="H344" s="5" t="str">
        <f>IFERROR(IF(Portafolio_Proyectos!$AP115="","",Portafolio_Proyectos!$E115),"")</f>
        <v/>
      </c>
    </row>
    <row r="345" spans="1:8" x14ac:dyDescent="0.35">
      <c r="A345" s="5" t="str">
        <f>IFERROR(IF(Portafolio_Proyectos!$AQ115="","","CAP-"&amp;ROW()-1),"")</f>
        <v/>
      </c>
      <c r="B345" s="5" t="str">
        <f>IFERROR(IF(Portafolio_Proyectos!$AQ115="","",Portafolio_Proyectos!$AQ115),"")</f>
        <v/>
      </c>
      <c r="C345" s="5" t="str">
        <f>IFERROR(IF(Portafolio_Proyectos!$AQ115="","","Consolidada"),"")</f>
        <v/>
      </c>
      <c r="D345" s="5" t="str">
        <f>IFERROR(IF(Portafolio_Proyectos!$AQ115="","",Portafolio_Proyectos!$C115),"")</f>
        <v/>
      </c>
      <c r="E345" s="5" t="str">
        <f>IFERROR(IF(Portafolio_Proyectos!$AQ115="","",Portafolio_Proyectos!$B115),"")</f>
        <v/>
      </c>
      <c r="F345" s="5" t="str">
        <f>IFERROR(IF(Portafolio_Proyectos!$AQ115="","",Portafolio_Proyectos!$D115),"")</f>
        <v/>
      </c>
      <c r="G345" s="5" t="str">
        <f>IFERROR(IF(Portafolio_Proyectos!$AQ115="","",Portafolio_Proyectos!$A115),"")</f>
        <v/>
      </c>
      <c r="H345" s="5" t="str">
        <f>IFERROR(IF(Portafolio_Proyectos!$AQ115="","",Portafolio_Proyectos!$E115),"")</f>
        <v/>
      </c>
    </row>
    <row r="346" spans="1:8" x14ac:dyDescent="0.35">
      <c r="A346" s="5" t="str">
        <f>IFERROR(IF(Portafolio_Proyectos!$AR115="","","CAP-"&amp;ROW()-1),"")</f>
        <v/>
      </c>
      <c r="B346" s="5" t="str">
        <f>IFERROR(IF(Portafolio_Proyectos!$AR115="","",Portafolio_Proyectos!$AR115),"")</f>
        <v/>
      </c>
      <c r="C346" s="5" t="str">
        <f>IFERROR(IF(Portafolio_Proyectos!$AR115="","","Distintiva"),"")</f>
        <v/>
      </c>
      <c r="D346" s="5" t="str">
        <f>IFERROR(IF(Portafolio_Proyectos!$AR115="","",Portafolio_Proyectos!$C115),"")</f>
        <v/>
      </c>
      <c r="E346" s="5" t="str">
        <f>IFERROR(IF(Portafolio_Proyectos!$AR115="","",Portafolio_Proyectos!$B115),"")</f>
        <v/>
      </c>
      <c r="F346" s="5" t="str">
        <f>IFERROR(IF(Portafolio_Proyectos!$AR115="","",Portafolio_Proyectos!$D115),"")</f>
        <v/>
      </c>
      <c r="G346" s="5" t="str">
        <f>IFERROR(IF(Portafolio_Proyectos!$AR115="","",Portafolio_Proyectos!$A115),"")</f>
        <v/>
      </c>
      <c r="H346" s="5" t="str">
        <f>IFERROR(IF(Portafolio_Proyectos!$AR115="","",Portafolio_Proyectos!$E115),"")</f>
        <v/>
      </c>
    </row>
    <row r="347" spans="1:8" x14ac:dyDescent="0.35">
      <c r="A347" s="5" t="str">
        <f>IFERROR(IF(Portafolio_Proyectos!$AP116="","","CAP-"&amp;ROW()-1),"")</f>
        <v/>
      </c>
      <c r="B347" s="5" t="str">
        <f>IFERROR(IF(Portafolio_Proyectos!$AP116="","",Portafolio_Proyectos!$AP116),"")</f>
        <v/>
      </c>
      <c r="C347" s="5" t="str">
        <f>IFERROR(IF(Portafolio_Proyectos!$AP116="","","Emergente"),"")</f>
        <v/>
      </c>
      <c r="D347" s="5" t="str">
        <f>IFERROR(IF(Portafolio_Proyectos!$AP116="","",Portafolio_Proyectos!$C116),"")</f>
        <v/>
      </c>
      <c r="E347" s="5" t="str">
        <f>IFERROR(IF(Portafolio_Proyectos!$AP116="","",Portafolio_Proyectos!$B116),"")</f>
        <v/>
      </c>
      <c r="F347" s="5" t="str">
        <f>IFERROR(IF(Portafolio_Proyectos!$AP116="","",Portafolio_Proyectos!$D116),"")</f>
        <v/>
      </c>
      <c r="G347" s="5" t="str">
        <f>IFERROR(IF(Portafolio_Proyectos!$AP116="","",Portafolio_Proyectos!$A116),"")</f>
        <v/>
      </c>
      <c r="H347" s="5" t="str">
        <f>IFERROR(IF(Portafolio_Proyectos!$AP116="","",Portafolio_Proyectos!$E116),"")</f>
        <v/>
      </c>
    </row>
    <row r="348" spans="1:8" x14ac:dyDescent="0.35">
      <c r="A348" s="5" t="str">
        <f>IFERROR(IF(Portafolio_Proyectos!$AQ116="","","CAP-"&amp;ROW()-1),"")</f>
        <v/>
      </c>
      <c r="B348" s="5" t="str">
        <f>IFERROR(IF(Portafolio_Proyectos!$AQ116="","",Portafolio_Proyectos!$AQ116),"")</f>
        <v/>
      </c>
      <c r="C348" s="5" t="str">
        <f>IFERROR(IF(Portafolio_Proyectos!$AQ116="","","Consolidada"),"")</f>
        <v/>
      </c>
      <c r="D348" s="5" t="str">
        <f>IFERROR(IF(Portafolio_Proyectos!$AQ116="","",Portafolio_Proyectos!$C116),"")</f>
        <v/>
      </c>
      <c r="E348" s="5" t="str">
        <f>IFERROR(IF(Portafolio_Proyectos!$AQ116="","",Portafolio_Proyectos!$B116),"")</f>
        <v/>
      </c>
      <c r="F348" s="5" t="str">
        <f>IFERROR(IF(Portafolio_Proyectos!$AQ116="","",Portafolio_Proyectos!$D116),"")</f>
        <v/>
      </c>
      <c r="G348" s="5" t="str">
        <f>IFERROR(IF(Portafolio_Proyectos!$AQ116="","",Portafolio_Proyectos!$A116),"")</f>
        <v/>
      </c>
      <c r="H348" s="5" t="str">
        <f>IFERROR(IF(Portafolio_Proyectos!$AQ116="","",Portafolio_Proyectos!$E116),"")</f>
        <v/>
      </c>
    </row>
    <row r="349" spans="1:8" x14ac:dyDescent="0.35">
      <c r="A349" s="5" t="str">
        <f>IFERROR(IF(Portafolio_Proyectos!$AR116="","","CAP-"&amp;ROW()-1),"")</f>
        <v/>
      </c>
      <c r="B349" s="5" t="str">
        <f>IFERROR(IF(Portafolio_Proyectos!$AR116="","",Portafolio_Proyectos!$AR116),"")</f>
        <v/>
      </c>
      <c r="C349" s="5" t="str">
        <f>IFERROR(IF(Portafolio_Proyectos!$AR116="","","Distintiva"),"")</f>
        <v/>
      </c>
      <c r="D349" s="5" t="str">
        <f>IFERROR(IF(Portafolio_Proyectos!$AR116="","",Portafolio_Proyectos!$C116),"")</f>
        <v/>
      </c>
      <c r="E349" s="5" t="str">
        <f>IFERROR(IF(Portafolio_Proyectos!$AR116="","",Portafolio_Proyectos!$B116),"")</f>
        <v/>
      </c>
      <c r="F349" s="5" t="str">
        <f>IFERROR(IF(Portafolio_Proyectos!$AR116="","",Portafolio_Proyectos!$D116),"")</f>
        <v/>
      </c>
      <c r="G349" s="5" t="str">
        <f>IFERROR(IF(Portafolio_Proyectos!$AR116="","",Portafolio_Proyectos!$A116),"")</f>
        <v/>
      </c>
      <c r="H349" s="5" t="str">
        <f>IFERROR(IF(Portafolio_Proyectos!$AR116="","",Portafolio_Proyectos!$E116),"")</f>
        <v/>
      </c>
    </row>
    <row r="350" spans="1:8" x14ac:dyDescent="0.35">
      <c r="A350" s="5" t="str">
        <f>IFERROR(IF(Portafolio_Proyectos!$AP117="","","CAP-"&amp;ROW()-1),"")</f>
        <v/>
      </c>
      <c r="B350" s="5" t="str">
        <f>IFERROR(IF(Portafolio_Proyectos!$AP117="","",Portafolio_Proyectos!$AP117),"")</f>
        <v/>
      </c>
      <c r="C350" s="5" t="str">
        <f>IFERROR(IF(Portafolio_Proyectos!$AP117="","","Emergente"),"")</f>
        <v/>
      </c>
      <c r="D350" s="5" t="str">
        <f>IFERROR(IF(Portafolio_Proyectos!$AP117="","",Portafolio_Proyectos!$C117),"")</f>
        <v/>
      </c>
      <c r="E350" s="5" t="str">
        <f>IFERROR(IF(Portafolio_Proyectos!$AP117="","",Portafolio_Proyectos!$B117),"")</f>
        <v/>
      </c>
      <c r="F350" s="5" t="str">
        <f>IFERROR(IF(Portafolio_Proyectos!$AP117="","",Portafolio_Proyectos!$D117),"")</f>
        <v/>
      </c>
      <c r="G350" s="5" t="str">
        <f>IFERROR(IF(Portafolio_Proyectos!$AP117="","",Portafolio_Proyectos!$A117),"")</f>
        <v/>
      </c>
      <c r="H350" s="5" t="str">
        <f>IFERROR(IF(Portafolio_Proyectos!$AP117="","",Portafolio_Proyectos!$E117),"")</f>
        <v/>
      </c>
    </row>
    <row r="351" spans="1:8" x14ac:dyDescent="0.35">
      <c r="A351" s="5" t="str">
        <f>IFERROR(IF(Portafolio_Proyectos!$AQ117="","","CAP-"&amp;ROW()-1),"")</f>
        <v/>
      </c>
      <c r="B351" s="5" t="str">
        <f>IFERROR(IF(Portafolio_Proyectos!$AQ117="","",Portafolio_Proyectos!$AQ117),"")</f>
        <v/>
      </c>
      <c r="C351" s="5" t="str">
        <f>IFERROR(IF(Portafolio_Proyectos!$AQ117="","","Consolidada"),"")</f>
        <v/>
      </c>
      <c r="D351" s="5" t="str">
        <f>IFERROR(IF(Portafolio_Proyectos!$AQ117="","",Portafolio_Proyectos!$C117),"")</f>
        <v/>
      </c>
      <c r="E351" s="5" t="str">
        <f>IFERROR(IF(Portafolio_Proyectos!$AQ117="","",Portafolio_Proyectos!$B117),"")</f>
        <v/>
      </c>
      <c r="F351" s="5" t="str">
        <f>IFERROR(IF(Portafolio_Proyectos!$AQ117="","",Portafolio_Proyectos!$D117),"")</f>
        <v/>
      </c>
      <c r="G351" s="5" t="str">
        <f>IFERROR(IF(Portafolio_Proyectos!$AQ117="","",Portafolio_Proyectos!$A117),"")</f>
        <v/>
      </c>
      <c r="H351" s="5" t="str">
        <f>IFERROR(IF(Portafolio_Proyectos!$AQ117="","",Portafolio_Proyectos!$E117),"")</f>
        <v/>
      </c>
    </row>
    <row r="352" spans="1:8" x14ac:dyDescent="0.35">
      <c r="A352" s="5" t="str">
        <f>IFERROR(IF(Portafolio_Proyectos!$AR117="","","CAP-"&amp;ROW()-1),"")</f>
        <v/>
      </c>
      <c r="B352" s="5" t="str">
        <f>IFERROR(IF(Portafolio_Proyectos!$AR117="","",Portafolio_Proyectos!$AR117),"")</f>
        <v/>
      </c>
      <c r="C352" s="5" t="str">
        <f>IFERROR(IF(Portafolio_Proyectos!$AR117="","","Distintiva"),"")</f>
        <v/>
      </c>
      <c r="D352" s="5" t="str">
        <f>IFERROR(IF(Portafolio_Proyectos!$AR117="","",Portafolio_Proyectos!$C117),"")</f>
        <v/>
      </c>
      <c r="E352" s="5" t="str">
        <f>IFERROR(IF(Portafolio_Proyectos!$AR117="","",Portafolio_Proyectos!$B117),"")</f>
        <v/>
      </c>
      <c r="F352" s="5" t="str">
        <f>IFERROR(IF(Portafolio_Proyectos!$AR117="","",Portafolio_Proyectos!$D117),"")</f>
        <v/>
      </c>
      <c r="G352" s="5" t="str">
        <f>IFERROR(IF(Portafolio_Proyectos!$AR117="","",Portafolio_Proyectos!$A117),"")</f>
        <v/>
      </c>
      <c r="H352" s="5" t="str">
        <f>IFERROR(IF(Portafolio_Proyectos!$AR117="","",Portafolio_Proyectos!$E117),"")</f>
        <v/>
      </c>
    </row>
    <row r="353" spans="1:8" x14ac:dyDescent="0.35">
      <c r="A353" s="5" t="str">
        <f>IFERROR(IF(Portafolio_Proyectos!$AP118="","","CAP-"&amp;ROW()-1),"")</f>
        <v/>
      </c>
      <c r="B353" s="5" t="str">
        <f>IFERROR(IF(Portafolio_Proyectos!$AP118="","",Portafolio_Proyectos!$AP118),"")</f>
        <v/>
      </c>
      <c r="C353" s="5" t="str">
        <f>IFERROR(IF(Portafolio_Proyectos!$AP118="","","Emergente"),"")</f>
        <v/>
      </c>
      <c r="D353" s="5" t="str">
        <f>IFERROR(IF(Portafolio_Proyectos!$AP118="","",Portafolio_Proyectos!$C118),"")</f>
        <v/>
      </c>
      <c r="E353" s="5" t="str">
        <f>IFERROR(IF(Portafolio_Proyectos!$AP118="","",Portafolio_Proyectos!$B118),"")</f>
        <v/>
      </c>
      <c r="F353" s="5" t="str">
        <f>IFERROR(IF(Portafolio_Proyectos!$AP118="","",Portafolio_Proyectos!$D118),"")</f>
        <v/>
      </c>
      <c r="G353" s="5" t="str">
        <f>IFERROR(IF(Portafolio_Proyectos!$AP118="","",Portafolio_Proyectos!$A118),"")</f>
        <v/>
      </c>
      <c r="H353" s="5" t="str">
        <f>IFERROR(IF(Portafolio_Proyectos!$AP118="","",Portafolio_Proyectos!$E118),"")</f>
        <v/>
      </c>
    </row>
    <row r="354" spans="1:8" x14ac:dyDescent="0.35">
      <c r="A354" s="5" t="str">
        <f>IFERROR(IF(Portafolio_Proyectos!$AQ118="","","CAP-"&amp;ROW()-1),"")</f>
        <v/>
      </c>
      <c r="B354" s="5" t="str">
        <f>IFERROR(IF(Portafolio_Proyectos!$AQ118="","",Portafolio_Proyectos!$AQ118),"")</f>
        <v/>
      </c>
      <c r="C354" s="5" t="str">
        <f>IFERROR(IF(Portafolio_Proyectos!$AQ118="","","Consolidada"),"")</f>
        <v/>
      </c>
      <c r="D354" s="5" t="str">
        <f>IFERROR(IF(Portafolio_Proyectos!$AQ118="","",Portafolio_Proyectos!$C118),"")</f>
        <v/>
      </c>
      <c r="E354" s="5" t="str">
        <f>IFERROR(IF(Portafolio_Proyectos!$AQ118="","",Portafolio_Proyectos!$B118),"")</f>
        <v/>
      </c>
      <c r="F354" s="5" t="str">
        <f>IFERROR(IF(Portafolio_Proyectos!$AQ118="","",Portafolio_Proyectos!$D118),"")</f>
        <v/>
      </c>
      <c r="G354" s="5" t="str">
        <f>IFERROR(IF(Portafolio_Proyectos!$AQ118="","",Portafolio_Proyectos!$A118),"")</f>
        <v/>
      </c>
      <c r="H354" s="5" t="str">
        <f>IFERROR(IF(Portafolio_Proyectos!$AQ118="","",Portafolio_Proyectos!$E118),"")</f>
        <v/>
      </c>
    </row>
    <row r="355" spans="1:8" x14ac:dyDescent="0.35">
      <c r="A355" s="5" t="str">
        <f>IFERROR(IF(Portafolio_Proyectos!$AR118="","","CAP-"&amp;ROW()-1),"")</f>
        <v/>
      </c>
      <c r="B355" s="5" t="str">
        <f>IFERROR(IF(Portafolio_Proyectos!$AR118="","",Portafolio_Proyectos!$AR118),"")</f>
        <v/>
      </c>
      <c r="C355" s="5" t="str">
        <f>IFERROR(IF(Portafolio_Proyectos!$AR118="","","Distintiva"),"")</f>
        <v/>
      </c>
      <c r="D355" s="5" t="str">
        <f>IFERROR(IF(Portafolio_Proyectos!$AR118="","",Portafolio_Proyectos!$C118),"")</f>
        <v/>
      </c>
      <c r="E355" s="5" t="str">
        <f>IFERROR(IF(Portafolio_Proyectos!$AR118="","",Portafolio_Proyectos!$B118),"")</f>
        <v/>
      </c>
      <c r="F355" s="5" t="str">
        <f>IFERROR(IF(Portafolio_Proyectos!$AR118="","",Portafolio_Proyectos!$D118),"")</f>
        <v/>
      </c>
      <c r="G355" s="5" t="str">
        <f>IFERROR(IF(Portafolio_Proyectos!$AR118="","",Portafolio_Proyectos!$A118),"")</f>
        <v/>
      </c>
      <c r="H355" s="5" t="str">
        <f>IFERROR(IF(Portafolio_Proyectos!$AR118="","",Portafolio_Proyectos!$E118),"")</f>
        <v/>
      </c>
    </row>
    <row r="356" spans="1:8" x14ac:dyDescent="0.35">
      <c r="A356" s="5" t="str">
        <f>IFERROR(IF(Portafolio_Proyectos!$AP119="","","CAP-"&amp;ROW()-1),"")</f>
        <v/>
      </c>
      <c r="B356" s="5" t="str">
        <f>IFERROR(IF(Portafolio_Proyectos!$AP119="","",Portafolio_Proyectos!$AP119),"")</f>
        <v/>
      </c>
      <c r="C356" s="5" t="str">
        <f>IFERROR(IF(Portafolio_Proyectos!$AP119="","","Emergente"),"")</f>
        <v/>
      </c>
      <c r="D356" s="5" t="str">
        <f>IFERROR(IF(Portafolio_Proyectos!$AP119="","",Portafolio_Proyectos!$C119),"")</f>
        <v/>
      </c>
      <c r="E356" s="5" t="str">
        <f>IFERROR(IF(Portafolio_Proyectos!$AP119="","",Portafolio_Proyectos!$B119),"")</f>
        <v/>
      </c>
      <c r="F356" s="5" t="str">
        <f>IFERROR(IF(Portafolio_Proyectos!$AP119="","",Portafolio_Proyectos!$D119),"")</f>
        <v/>
      </c>
      <c r="G356" s="5" t="str">
        <f>IFERROR(IF(Portafolio_Proyectos!$AP119="","",Portafolio_Proyectos!$A119),"")</f>
        <v/>
      </c>
      <c r="H356" s="5" t="str">
        <f>IFERROR(IF(Portafolio_Proyectos!$AP119="","",Portafolio_Proyectos!$E119),"")</f>
        <v/>
      </c>
    </row>
    <row r="357" spans="1:8" x14ac:dyDescent="0.35">
      <c r="A357" s="5" t="str">
        <f>IFERROR(IF(Portafolio_Proyectos!$AQ119="","","CAP-"&amp;ROW()-1),"")</f>
        <v/>
      </c>
      <c r="B357" s="5" t="str">
        <f>IFERROR(IF(Portafolio_Proyectos!$AQ119="","",Portafolio_Proyectos!$AQ119),"")</f>
        <v/>
      </c>
      <c r="C357" s="5" t="str">
        <f>IFERROR(IF(Portafolio_Proyectos!$AQ119="","","Consolidada"),"")</f>
        <v/>
      </c>
      <c r="D357" s="5" t="str">
        <f>IFERROR(IF(Portafolio_Proyectos!$AQ119="","",Portafolio_Proyectos!$C119),"")</f>
        <v/>
      </c>
      <c r="E357" s="5" t="str">
        <f>IFERROR(IF(Portafolio_Proyectos!$AQ119="","",Portafolio_Proyectos!$B119),"")</f>
        <v/>
      </c>
      <c r="F357" s="5" t="str">
        <f>IFERROR(IF(Portafolio_Proyectos!$AQ119="","",Portafolio_Proyectos!$D119),"")</f>
        <v/>
      </c>
      <c r="G357" s="5" t="str">
        <f>IFERROR(IF(Portafolio_Proyectos!$AQ119="","",Portafolio_Proyectos!$A119),"")</f>
        <v/>
      </c>
      <c r="H357" s="5" t="str">
        <f>IFERROR(IF(Portafolio_Proyectos!$AQ119="","",Portafolio_Proyectos!$E119),"")</f>
        <v/>
      </c>
    </row>
    <row r="358" spans="1:8" x14ac:dyDescent="0.35">
      <c r="A358" s="5" t="str">
        <f>IFERROR(IF(Portafolio_Proyectos!$AR119="","","CAP-"&amp;ROW()-1),"")</f>
        <v/>
      </c>
      <c r="B358" s="5" t="str">
        <f>IFERROR(IF(Portafolio_Proyectos!$AR119="","",Portafolio_Proyectos!$AR119),"")</f>
        <v/>
      </c>
      <c r="C358" s="5" t="str">
        <f>IFERROR(IF(Portafolio_Proyectos!$AR119="","","Distintiva"),"")</f>
        <v/>
      </c>
      <c r="D358" s="5" t="str">
        <f>IFERROR(IF(Portafolio_Proyectos!$AR119="","",Portafolio_Proyectos!$C119),"")</f>
        <v/>
      </c>
      <c r="E358" s="5" t="str">
        <f>IFERROR(IF(Portafolio_Proyectos!$AR119="","",Portafolio_Proyectos!$B119),"")</f>
        <v/>
      </c>
      <c r="F358" s="5" t="str">
        <f>IFERROR(IF(Portafolio_Proyectos!$AR119="","",Portafolio_Proyectos!$D119),"")</f>
        <v/>
      </c>
      <c r="G358" s="5" t="str">
        <f>IFERROR(IF(Portafolio_Proyectos!$AR119="","",Portafolio_Proyectos!$A119),"")</f>
        <v/>
      </c>
      <c r="H358" s="5" t="str">
        <f>IFERROR(IF(Portafolio_Proyectos!$AR119="","",Portafolio_Proyectos!$E119),"")</f>
        <v/>
      </c>
    </row>
    <row r="359" spans="1:8" x14ac:dyDescent="0.35">
      <c r="A359" s="5" t="str">
        <f>IFERROR(IF(Portafolio_Proyectos!$AP120="","","CAP-"&amp;ROW()-1),"")</f>
        <v/>
      </c>
      <c r="B359" s="5" t="str">
        <f>IFERROR(IF(Portafolio_Proyectos!$AP120="","",Portafolio_Proyectos!$AP120),"")</f>
        <v/>
      </c>
      <c r="C359" s="5" t="str">
        <f>IFERROR(IF(Portafolio_Proyectos!$AP120="","","Emergente"),"")</f>
        <v/>
      </c>
      <c r="D359" s="5" t="str">
        <f>IFERROR(IF(Portafolio_Proyectos!$AP120="","",Portafolio_Proyectos!$C120),"")</f>
        <v/>
      </c>
      <c r="E359" s="5" t="str">
        <f>IFERROR(IF(Portafolio_Proyectos!$AP120="","",Portafolio_Proyectos!$B120),"")</f>
        <v/>
      </c>
      <c r="F359" s="5" t="str">
        <f>IFERROR(IF(Portafolio_Proyectos!$AP120="","",Portafolio_Proyectos!$D120),"")</f>
        <v/>
      </c>
      <c r="G359" s="5" t="str">
        <f>IFERROR(IF(Portafolio_Proyectos!$AP120="","",Portafolio_Proyectos!$A120),"")</f>
        <v/>
      </c>
      <c r="H359" s="5" t="str">
        <f>IFERROR(IF(Portafolio_Proyectos!$AP120="","",Portafolio_Proyectos!$E120),"")</f>
        <v/>
      </c>
    </row>
    <row r="360" spans="1:8" x14ac:dyDescent="0.35">
      <c r="A360" s="5" t="str">
        <f>IFERROR(IF(Portafolio_Proyectos!$AQ120="","","CAP-"&amp;ROW()-1),"")</f>
        <v/>
      </c>
      <c r="B360" s="5" t="str">
        <f>IFERROR(IF(Portafolio_Proyectos!$AQ120="","",Portafolio_Proyectos!$AQ120),"")</f>
        <v/>
      </c>
      <c r="C360" s="5" t="str">
        <f>IFERROR(IF(Portafolio_Proyectos!$AQ120="","","Consolidada"),"")</f>
        <v/>
      </c>
      <c r="D360" s="5" t="str">
        <f>IFERROR(IF(Portafolio_Proyectos!$AQ120="","",Portafolio_Proyectos!$C120),"")</f>
        <v/>
      </c>
      <c r="E360" s="5" t="str">
        <f>IFERROR(IF(Portafolio_Proyectos!$AQ120="","",Portafolio_Proyectos!$B120),"")</f>
        <v/>
      </c>
      <c r="F360" s="5" t="str">
        <f>IFERROR(IF(Portafolio_Proyectos!$AQ120="","",Portafolio_Proyectos!$D120),"")</f>
        <v/>
      </c>
      <c r="G360" s="5" t="str">
        <f>IFERROR(IF(Portafolio_Proyectos!$AQ120="","",Portafolio_Proyectos!$A120),"")</f>
        <v/>
      </c>
      <c r="H360" s="5" t="str">
        <f>IFERROR(IF(Portafolio_Proyectos!$AQ120="","",Portafolio_Proyectos!$E120),"")</f>
        <v/>
      </c>
    </row>
    <row r="361" spans="1:8" x14ac:dyDescent="0.35">
      <c r="A361" s="5" t="str">
        <f>IFERROR(IF(Portafolio_Proyectos!$AR120="","","CAP-"&amp;ROW()-1),"")</f>
        <v/>
      </c>
      <c r="B361" s="5" t="str">
        <f>IFERROR(IF(Portafolio_Proyectos!$AR120="","",Portafolio_Proyectos!$AR120),"")</f>
        <v/>
      </c>
      <c r="C361" s="5" t="str">
        <f>IFERROR(IF(Portafolio_Proyectos!$AR120="","","Distintiva"),"")</f>
        <v/>
      </c>
      <c r="D361" s="5" t="str">
        <f>IFERROR(IF(Portafolio_Proyectos!$AR120="","",Portafolio_Proyectos!$C120),"")</f>
        <v/>
      </c>
      <c r="E361" s="5" t="str">
        <f>IFERROR(IF(Portafolio_Proyectos!$AR120="","",Portafolio_Proyectos!$B120),"")</f>
        <v/>
      </c>
      <c r="F361" s="5" t="str">
        <f>IFERROR(IF(Portafolio_Proyectos!$AR120="","",Portafolio_Proyectos!$D120),"")</f>
        <v/>
      </c>
      <c r="G361" s="5" t="str">
        <f>IFERROR(IF(Portafolio_Proyectos!$AR120="","",Portafolio_Proyectos!$A120),"")</f>
        <v/>
      </c>
      <c r="H361" s="5" t="str">
        <f>IFERROR(IF(Portafolio_Proyectos!$AR120="","",Portafolio_Proyectos!$E120),"")</f>
        <v/>
      </c>
    </row>
    <row r="362" spans="1:8" x14ac:dyDescent="0.35">
      <c r="A362" s="5" t="str">
        <f>IFERROR(IF(Portafolio_Proyectos!$AP121="","","CAP-"&amp;ROW()-1),"")</f>
        <v/>
      </c>
      <c r="B362" s="5" t="str">
        <f>IFERROR(IF(Portafolio_Proyectos!$AP121="","",Portafolio_Proyectos!$AP121),"")</f>
        <v/>
      </c>
      <c r="C362" s="5" t="str">
        <f>IFERROR(IF(Portafolio_Proyectos!$AP121="","","Emergente"),"")</f>
        <v/>
      </c>
      <c r="D362" s="5" t="str">
        <f>IFERROR(IF(Portafolio_Proyectos!$AP121="","",Portafolio_Proyectos!$C121),"")</f>
        <v/>
      </c>
      <c r="E362" s="5" t="str">
        <f>IFERROR(IF(Portafolio_Proyectos!$AP121="","",Portafolio_Proyectos!$B121),"")</f>
        <v/>
      </c>
      <c r="F362" s="5" t="str">
        <f>IFERROR(IF(Portafolio_Proyectos!$AP121="","",Portafolio_Proyectos!$D121),"")</f>
        <v/>
      </c>
      <c r="G362" s="5" t="str">
        <f>IFERROR(IF(Portafolio_Proyectos!$AP121="","",Portafolio_Proyectos!$A121),"")</f>
        <v/>
      </c>
      <c r="H362" s="5" t="str">
        <f>IFERROR(IF(Portafolio_Proyectos!$AP121="","",Portafolio_Proyectos!$E121),"")</f>
        <v/>
      </c>
    </row>
    <row r="363" spans="1:8" x14ac:dyDescent="0.35">
      <c r="A363" s="5" t="str">
        <f>IFERROR(IF(Portafolio_Proyectos!$AQ121="","","CAP-"&amp;ROW()-1),"")</f>
        <v/>
      </c>
      <c r="B363" s="5" t="str">
        <f>IFERROR(IF(Portafolio_Proyectos!$AQ121="","",Portafolio_Proyectos!$AQ121),"")</f>
        <v/>
      </c>
      <c r="C363" s="5" t="str">
        <f>IFERROR(IF(Portafolio_Proyectos!$AQ121="","","Consolidada"),"")</f>
        <v/>
      </c>
      <c r="D363" s="5" t="str">
        <f>IFERROR(IF(Portafolio_Proyectos!$AQ121="","",Portafolio_Proyectos!$C121),"")</f>
        <v/>
      </c>
      <c r="E363" s="5" t="str">
        <f>IFERROR(IF(Portafolio_Proyectos!$AQ121="","",Portafolio_Proyectos!$B121),"")</f>
        <v/>
      </c>
      <c r="F363" s="5" t="str">
        <f>IFERROR(IF(Portafolio_Proyectos!$AQ121="","",Portafolio_Proyectos!$D121),"")</f>
        <v/>
      </c>
      <c r="G363" s="5" t="str">
        <f>IFERROR(IF(Portafolio_Proyectos!$AQ121="","",Portafolio_Proyectos!$A121),"")</f>
        <v/>
      </c>
      <c r="H363" s="5" t="str">
        <f>IFERROR(IF(Portafolio_Proyectos!$AQ121="","",Portafolio_Proyectos!$E121),"")</f>
        <v/>
      </c>
    </row>
    <row r="364" spans="1:8" x14ac:dyDescent="0.35">
      <c r="A364" s="5" t="str">
        <f>IFERROR(IF(Portafolio_Proyectos!$AR121="","","CAP-"&amp;ROW()-1),"")</f>
        <v/>
      </c>
      <c r="B364" s="5" t="str">
        <f>IFERROR(IF(Portafolio_Proyectos!$AR121="","",Portafolio_Proyectos!$AR121),"")</f>
        <v/>
      </c>
      <c r="C364" s="5" t="str">
        <f>IFERROR(IF(Portafolio_Proyectos!$AR121="","","Distintiva"),"")</f>
        <v/>
      </c>
      <c r="D364" s="5" t="str">
        <f>IFERROR(IF(Portafolio_Proyectos!$AR121="","",Portafolio_Proyectos!$C121),"")</f>
        <v/>
      </c>
      <c r="E364" s="5" t="str">
        <f>IFERROR(IF(Portafolio_Proyectos!$AR121="","",Portafolio_Proyectos!$B121),"")</f>
        <v/>
      </c>
      <c r="F364" s="5" t="str">
        <f>IFERROR(IF(Portafolio_Proyectos!$AR121="","",Portafolio_Proyectos!$D121),"")</f>
        <v/>
      </c>
      <c r="G364" s="5" t="str">
        <f>IFERROR(IF(Portafolio_Proyectos!$AR121="","",Portafolio_Proyectos!$A121),"")</f>
        <v/>
      </c>
      <c r="H364" s="5" t="str">
        <f>IFERROR(IF(Portafolio_Proyectos!$AR121="","",Portafolio_Proyectos!$E121),"")</f>
        <v/>
      </c>
    </row>
    <row r="365" spans="1:8" x14ac:dyDescent="0.35">
      <c r="A365" s="5" t="str">
        <f>IFERROR(IF(Portafolio_Proyectos!$AP122="","","CAP-"&amp;ROW()-1),"")</f>
        <v/>
      </c>
      <c r="B365" s="5" t="str">
        <f>IFERROR(IF(Portafolio_Proyectos!$AP122="","",Portafolio_Proyectos!$AP122),"")</f>
        <v/>
      </c>
      <c r="C365" s="5" t="str">
        <f>IFERROR(IF(Portafolio_Proyectos!$AP122="","","Emergente"),"")</f>
        <v/>
      </c>
      <c r="D365" s="5" t="str">
        <f>IFERROR(IF(Portafolio_Proyectos!$AP122="","",Portafolio_Proyectos!$C122),"")</f>
        <v/>
      </c>
      <c r="E365" s="5" t="str">
        <f>IFERROR(IF(Portafolio_Proyectos!$AP122="","",Portafolio_Proyectos!$B122),"")</f>
        <v/>
      </c>
      <c r="F365" s="5" t="str">
        <f>IFERROR(IF(Portafolio_Proyectos!$AP122="","",Portafolio_Proyectos!$D122),"")</f>
        <v/>
      </c>
      <c r="G365" s="5" t="str">
        <f>IFERROR(IF(Portafolio_Proyectos!$AP122="","",Portafolio_Proyectos!$A122),"")</f>
        <v/>
      </c>
      <c r="H365" s="5" t="str">
        <f>IFERROR(IF(Portafolio_Proyectos!$AP122="","",Portafolio_Proyectos!$E122),"")</f>
        <v/>
      </c>
    </row>
    <row r="366" spans="1:8" x14ac:dyDescent="0.35">
      <c r="A366" s="5" t="str">
        <f>IFERROR(IF(Portafolio_Proyectos!$AQ122="","","CAP-"&amp;ROW()-1),"")</f>
        <v/>
      </c>
      <c r="B366" s="5" t="str">
        <f>IFERROR(IF(Portafolio_Proyectos!$AQ122="","",Portafolio_Proyectos!$AQ122),"")</f>
        <v/>
      </c>
      <c r="C366" s="5" t="str">
        <f>IFERROR(IF(Portafolio_Proyectos!$AQ122="","","Consolidada"),"")</f>
        <v/>
      </c>
      <c r="D366" s="5" t="str">
        <f>IFERROR(IF(Portafolio_Proyectos!$AQ122="","",Portafolio_Proyectos!$C122),"")</f>
        <v/>
      </c>
      <c r="E366" s="5" t="str">
        <f>IFERROR(IF(Portafolio_Proyectos!$AQ122="","",Portafolio_Proyectos!$B122),"")</f>
        <v/>
      </c>
      <c r="F366" s="5" t="str">
        <f>IFERROR(IF(Portafolio_Proyectos!$AQ122="","",Portafolio_Proyectos!$D122),"")</f>
        <v/>
      </c>
      <c r="G366" s="5" t="str">
        <f>IFERROR(IF(Portafolio_Proyectos!$AQ122="","",Portafolio_Proyectos!$A122),"")</f>
        <v/>
      </c>
      <c r="H366" s="5" t="str">
        <f>IFERROR(IF(Portafolio_Proyectos!$AQ122="","",Portafolio_Proyectos!$E122),"")</f>
        <v/>
      </c>
    </row>
    <row r="367" spans="1:8" x14ac:dyDescent="0.35">
      <c r="A367" s="5" t="str">
        <f>IFERROR(IF(Portafolio_Proyectos!$AR122="","","CAP-"&amp;ROW()-1),"")</f>
        <v/>
      </c>
      <c r="B367" s="5" t="str">
        <f>IFERROR(IF(Portafolio_Proyectos!$AR122="","",Portafolio_Proyectos!$AR122),"")</f>
        <v/>
      </c>
      <c r="C367" s="5" t="str">
        <f>IFERROR(IF(Portafolio_Proyectos!$AR122="","","Distintiva"),"")</f>
        <v/>
      </c>
      <c r="D367" s="5" t="str">
        <f>IFERROR(IF(Portafolio_Proyectos!$AR122="","",Portafolio_Proyectos!$C122),"")</f>
        <v/>
      </c>
      <c r="E367" s="5" t="str">
        <f>IFERROR(IF(Portafolio_Proyectos!$AR122="","",Portafolio_Proyectos!$B122),"")</f>
        <v/>
      </c>
      <c r="F367" s="5" t="str">
        <f>IFERROR(IF(Portafolio_Proyectos!$AR122="","",Portafolio_Proyectos!$D122),"")</f>
        <v/>
      </c>
      <c r="G367" s="5" t="str">
        <f>IFERROR(IF(Portafolio_Proyectos!$AR122="","",Portafolio_Proyectos!$A122),"")</f>
        <v/>
      </c>
      <c r="H367" s="5" t="str">
        <f>IFERROR(IF(Portafolio_Proyectos!$AR122="","",Portafolio_Proyectos!$E122),"")</f>
        <v/>
      </c>
    </row>
    <row r="368" spans="1:8" x14ac:dyDescent="0.35">
      <c r="A368" s="5" t="str">
        <f>IFERROR(IF(Portafolio_Proyectos!$AP123="","","CAP-"&amp;ROW()-1),"")</f>
        <v/>
      </c>
      <c r="B368" s="5" t="str">
        <f>IFERROR(IF(Portafolio_Proyectos!$AP123="","",Portafolio_Proyectos!$AP123),"")</f>
        <v/>
      </c>
      <c r="C368" s="5" t="str">
        <f>IFERROR(IF(Portafolio_Proyectos!$AP123="","","Emergente"),"")</f>
        <v/>
      </c>
      <c r="D368" s="5" t="str">
        <f>IFERROR(IF(Portafolio_Proyectos!$AP123="","",Portafolio_Proyectos!$C123),"")</f>
        <v/>
      </c>
      <c r="E368" s="5" t="str">
        <f>IFERROR(IF(Portafolio_Proyectos!$AP123="","",Portafolio_Proyectos!$B123),"")</f>
        <v/>
      </c>
      <c r="F368" s="5" t="str">
        <f>IFERROR(IF(Portafolio_Proyectos!$AP123="","",Portafolio_Proyectos!$D123),"")</f>
        <v/>
      </c>
      <c r="G368" s="5" t="str">
        <f>IFERROR(IF(Portafolio_Proyectos!$AP123="","",Portafolio_Proyectos!$A123),"")</f>
        <v/>
      </c>
      <c r="H368" s="5" t="str">
        <f>IFERROR(IF(Portafolio_Proyectos!$AP123="","",Portafolio_Proyectos!$E123),"")</f>
        <v/>
      </c>
    </row>
    <row r="369" spans="1:8" x14ac:dyDescent="0.35">
      <c r="A369" s="5" t="str">
        <f>IFERROR(IF(Portafolio_Proyectos!$AQ123="","","CAP-"&amp;ROW()-1),"")</f>
        <v/>
      </c>
      <c r="B369" s="5" t="str">
        <f>IFERROR(IF(Portafolio_Proyectos!$AQ123="","",Portafolio_Proyectos!$AQ123),"")</f>
        <v/>
      </c>
      <c r="C369" s="5" t="str">
        <f>IFERROR(IF(Portafolio_Proyectos!$AQ123="","","Consolidada"),"")</f>
        <v/>
      </c>
      <c r="D369" s="5" t="str">
        <f>IFERROR(IF(Portafolio_Proyectos!$AQ123="","",Portafolio_Proyectos!$C123),"")</f>
        <v/>
      </c>
      <c r="E369" s="5" t="str">
        <f>IFERROR(IF(Portafolio_Proyectos!$AQ123="","",Portafolio_Proyectos!$B123),"")</f>
        <v/>
      </c>
      <c r="F369" s="5" t="str">
        <f>IFERROR(IF(Portafolio_Proyectos!$AQ123="","",Portafolio_Proyectos!$D123),"")</f>
        <v/>
      </c>
      <c r="G369" s="5" t="str">
        <f>IFERROR(IF(Portafolio_Proyectos!$AQ123="","",Portafolio_Proyectos!$A123),"")</f>
        <v/>
      </c>
      <c r="H369" s="5" t="str">
        <f>IFERROR(IF(Portafolio_Proyectos!$AQ123="","",Portafolio_Proyectos!$E123),"")</f>
        <v/>
      </c>
    </row>
    <row r="370" spans="1:8" x14ac:dyDescent="0.35">
      <c r="A370" s="5" t="str">
        <f>IFERROR(IF(Portafolio_Proyectos!$AR123="","","CAP-"&amp;ROW()-1),"")</f>
        <v/>
      </c>
      <c r="B370" s="5" t="str">
        <f>IFERROR(IF(Portafolio_Proyectos!$AR123="","",Portafolio_Proyectos!$AR123),"")</f>
        <v/>
      </c>
      <c r="C370" s="5" t="str">
        <f>IFERROR(IF(Portafolio_Proyectos!$AR123="","","Distintiva"),"")</f>
        <v/>
      </c>
      <c r="D370" s="5" t="str">
        <f>IFERROR(IF(Portafolio_Proyectos!$AR123="","",Portafolio_Proyectos!$C123),"")</f>
        <v/>
      </c>
      <c r="E370" s="5" t="str">
        <f>IFERROR(IF(Portafolio_Proyectos!$AR123="","",Portafolio_Proyectos!$B123),"")</f>
        <v/>
      </c>
      <c r="F370" s="5" t="str">
        <f>IFERROR(IF(Portafolio_Proyectos!$AR123="","",Portafolio_Proyectos!$D123),"")</f>
        <v/>
      </c>
      <c r="G370" s="5" t="str">
        <f>IFERROR(IF(Portafolio_Proyectos!$AR123="","",Portafolio_Proyectos!$A123),"")</f>
        <v/>
      </c>
      <c r="H370" s="5" t="str">
        <f>IFERROR(IF(Portafolio_Proyectos!$AR123="","",Portafolio_Proyectos!$E123),"")</f>
        <v/>
      </c>
    </row>
    <row r="371" spans="1:8" x14ac:dyDescent="0.35">
      <c r="A371" s="5" t="str">
        <f>IFERROR(IF(Portafolio_Proyectos!$AP124="","","CAP-"&amp;ROW()-1),"")</f>
        <v/>
      </c>
      <c r="B371" s="5" t="str">
        <f>IFERROR(IF(Portafolio_Proyectos!$AP124="","",Portafolio_Proyectos!$AP124),"")</f>
        <v/>
      </c>
      <c r="C371" s="5" t="str">
        <f>IFERROR(IF(Portafolio_Proyectos!$AP124="","","Emergente"),"")</f>
        <v/>
      </c>
      <c r="D371" s="5" t="str">
        <f>IFERROR(IF(Portafolio_Proyectos!$AP124="","",Portafolio_Proyectos!$C124),"")</f>
        <v/>
      </c>
      <c r="E371" s="5" t="str">
        <f>IFERROR(IF(Portafolio_Proyectos!$AP124="","",Portafolio_Proyectos!$B124),"")</f>
        <v/>
      </c>
      <c r="F371" s="5" t="str">
        <f>IFERROR(IF(Portafolio_Proyectos!$AP124="","",Portafolio_Proyectos!$D124),"")</f>
        <v/>
      </c>
      <c r="G371" s="5" t="str">
        <f>IFERROR(IF(Portafolio_Proyectos!$AP124="","",Portafolio_Proyectos!$A124),"")</f>
        <v/>
      </c>
      <c r="H371" s="5" t="str">
        <f>IFERROR(IF(Portafolio_Proyectos!$AP124="","",Portafolio_Proyectos!$E124),"")</f>
        <v/>
      </c>
    </row>
    <row r="372" spans="1:8" x14ac:dyDescent="0.35">
      <c r="A372" s="5" t="str">
        <f>IFERROR(IF(Portafolio_Proyectos!$AQ124="","","CAP-"&amp;ROW()-1),"")</f>
        <v/>
      </c>
      <c r="B372" s="5" t="str">
        <f>IFERROR(IF(Portafolio_Proyectos!$AQ124="","",Portafolio_Proyectos!$AQ124),"")</f>
        <v/>
      </c>
      <c r="C372" s="5" t="str">
        <f>IFERROR(IF(Portafolio_Proyectos!$AQ124="","","Consolidada"),"")</f>
        <v/>
      </c>
      <c r="D372" s="5" t="str">
        <f>IFERROR(IF(Portafolio_Proyectos!$AQ124="","",Portafolio_Proyectos!$C124),"")</f>
        <v/>
      </c>
      <c r="E372" s="5" t="str">
        <f>IFERROR(IF(Portafolio_Proyectos!$AQ124="","",Portafolio_Proyectos!$B124),"")</f>
        <v/>
      </c>
      <c r="F372" s="5" t="str">
        <f>IFERROR(IF(Portafolio_Proyectos!$AQ124="","",Portafolio_Proyectos!$D124),"")</f>
        <v/>
      </c>
      <c r="G372" s="5" t="str">
        <f>IFERROR(IF(Portafolio_Proyectos!$AQ124="","",Portafolio_Proyectos!$A124),"")</f>
        <v/>
      </c>
      <c r="H372" s="5" t="str">
        <f>IFERROR(IF(Portafolio_Proyectos!$AQ124="","",Portafolio_Proyectos!$E124),"")</f>
        <v/>
      </c>
    </row>
    <row r="373" spans="1:8" x14ac:dyDescent="0.35">
      <c r="A373" s="5" t="str">
        <f>IFERROR(IF(Portafolio_Proyectos!$AR124="","","CAP-"&amp;ROW()-1),"")</f>
        <v/>
      </c>
      <c r="B373" s="5" t="str">
        <f>IFERROR(IF(Portafolio_Proyectos!$AR124="","",Portafolio_Proyectos!$AR124),"")</f>
        <v/>
      </c>
      <c r="C373" s="5" t="str">
        <f>IFERROR(IF(Portafolio_Proyectos!$AR124="","","Distintiva"),"")</f>
        <v/>
      </c>
      <c r="D373" s="5" t="str">
        <f>IFERROR(IF(Portafolio_Proyectos!$AR124="","",Portafolio_Proyectos!$C124),"")</f>
        <v/>
      </c>
      <c r="E373" s="5" t="str">
        <f>IFERROR(IF(Portafolio_Proyectos!$AR124="","",Portafolio_Proyectos!$B124),"")</f>
        <v/>
      </c>
      <c r="F373" s="5" t="str">
        <f>IFERROR(IF(Portafolio_Proyectos!$AR124="","",Portafolio_Proyectos!$D124),"")</f>
        <v/>
      </c>
      <c r="G373" s="5" t="str">
        <f>IFERROR(IF(Portafolio_Proyectos!$AR124="","",Portafolio_Proyectos!$A124),"")</f>
        <v/>
      </c>
      <c r="H373" s="5" t="str">
        <f>IFERROR(IF(Portafolio_Proyectos!$AR124="","",Portafolio_Proyectos!$E124),"")</f>
        <v/>
      </c>
    </row>
    <row r="374" spans="1:8" x14ac:dyDescent="0.35">
      <c r="A374" s="5" t="str">
        <f>IFERROR(IF(Portafolio_Proyectos!$AP125="","","CAP-"&amp;ROW()-1),"")</f>
        <v/>
      </c>
      <c r="B374" s="5" t="str">
        <f>IFERROR(IF(Portafolio_Proyectos!$AP125="","",Portafolio_Proyectos!$AP125),"")</f>
        <v/>
      </c>
      <c r="C374" s="5" t="str">
        <f>IFERROR(IF(Portafolio_Proyectos!$AP125="","","Emergente"),"")</f>
        <v/>
      </c>
      <c r="D374" s="5" t="str">
        <f>IFERROR(IF(Portafolio_Proyectos!$AP125="","",Portafolio_Proyectos!$C125),"")</f>
        <v/>
      </c>
      <c r="E374" s="5" t="str">
        <f>IFERROR(IF(Portafolio_Proyectos!$AP125="","",Portafolio_Proyectos!$B125),"")</f>
        <v/>
      </c>
      <c r="F374" s="5" t="str">
        <f>IFERROR(IF(Portafolio_Proyectos!$AP125="","",Portafolio_Proyectos!$D125),"")</f>
        <v/>
      </c>
      <c r="G374" s="5" t="str">
        <f>IFERROR(IF(Portafolio_Proyectos!$AP125="","",Portafolio_Proyectos!$A125),"")</f>
        <v/>
      </c>
      <c r="H374" s="5" t="str">
        <f>IFERROR(IF(Portafolio_Proyectos!$AP125="","",Portafolio_Proyectos!$E125),"")</f>
        <v/>
      </c>
    </row>
    <row r="375" spans="1:8" x14ac:dyDescent="0.35">
      <c r="A375" s="5" t="str">
        <f>IFERROR(IF(Portafolio_Proyectos!$AQ125="","","CAP-"&amp;ROW()-1),"")</f>
        <v/>
      </c>
      <c r="B375" s="5" t="str">
        <f>IFERROR(IF(Portafolio_Proyectos!$AQ125="","",Portafolio_Proyectos!$AQ125),"")</f>
        <v/>
      </c>
      <c r="C375" s="5" t="str">
        <f>IFERROR(IF(Portafolio_Proyectos!$AQ125="","","Consolidada"),"")</f>
        <v/>
      </c>
      <c r="D375" s="5" t="str">
        <f>IFERROR(IF(Portafolio_Proyectos!$AQ125="","",Portafolio_Proyectos!$C125),"")</f>
        <v/>
      </c>
      <c r="E375" s="5" t="str">
        <f>IFERROR(IF(Portafolio_Proyectos!$AQ125="","",Portafolio_Proyectos!$B125),"")</f>
        <v/>
      </c>
      <c r="F375" s="5" t="str">
        <f>IFERROR(IF(Portafolio_Proyectos!$AQ125="","",Portafolio_Proyectos!$D125),"")</f>
        <v/>
      </c>
      <c r="G375" s="5" t="str">
        <f>IFERROR(IF(Portafolio_Proyectos!$AQ125="","",Portafolio_Proyectos!$A125),"")</f>
        <v/>
      </c>
      <c r="H375" s="5" t="str">
        <f>IFERROR(IF(Portafolio_Proyectos!$AQ125="","",Portafolio_Proyectos!$E125),"")</f>
        <v/>
      </c>
    </row>
    <row r="376" spans="1:8" x14ac:dyDescent="0.35">
      <c r="A376" s="5" t="str">
        <f>IFERROR(IF(Portafolio_Proyectos!$AR125="","","CAP-"&amp;ROW()-1),"")</f>
        <v/>
      </c>
      <c r="B376" s="5" t="str">
        <f>IFERROR(IF(Portafolio_Proyectos!$AR125="","",Portafolio_Proyectos!$AR125),"")</f>
        <v/>
      </c>
      <c r="C376" s="5" t="str">
        <f>IFERROR(IF(Portafolio_Proyectos!$AR125="","","Distintiva"),"")</f>
        <v/>
      </c>
      <c r="D376" s="5" t="str">
        <f>IFERROR(IF(Portafolio_Proyectos!$AR125="","",Portafolio_Proyectos!$C125),"")</f>
        <v/>
      </c>
      <c r="E376" s="5" t="str">
        <f>IFERROR(IF(Portafolio_Proyectos!$AR125="","",Portafolio_Proyectos!$B125),"")</f>
        <v/>
      </c>
      <c r="F376" s="5" t="str">
        <f>IFERROR(IF(Portafolio_Proyectos!$AR125="","",Portafolio_Proyectos!$D125),"")</f>
        <v/>
      </c>
      <c r="G376" s="5" t="str">
        <f>IFERROR(IF(Portafolio_Proyectos!$AR125="","",Portafolio_Proyectos!$A125),"")</f>
        <v/>
      </c>
      <c r="H376" s="5" t="str">
        <f>IFERROR(IF(Portafolio_Proyectos!$AR125="","",Portafolio_Proyectos!$E125),"")</f>
        <v/>
      </c>
    </row>
    <row r="377" spans="1:8" x14ac:dyDescent="0.35">
      <c r="A377" s="5" t="str">
        <f>IFERROR(IF(Portafolio_Proyectos!$AP126="","","CAP-"&amp;ROW()-1),"")</f>
        <v/>
      </c>
      <c r="B377" s="5" t="str">
        <f>IFERROR(IF(Portafolio_Proyectos!$AP126="","",Portafolio_Proyectos!$AP126),"")</f>
        <v/>
      </c>
      <c r="C377" s="5" t="str">
        <f>IFERROR(IF(Portafolio_Proyectos!$AP126="","","Emergente"),"")</f>
        <v/>
      </c>
      <c r="D377" s="5" t="str">
        <f>IFERROR(IF(Portafolio_Proyectos!$AP126="","",Portafolio_Proyectos!$C126),"")</f>
        <v/>
      </c>
      <c r="E377" s="5" t="str">
        <f>IFERROR(IF(Portafolio_Proyectos!$AP126="","",Portafolio_Proyectos!$B126),"")</f>
        <v/>
      </c>
      <c r="F377" s="5" t="str">
        <f>IFERROR(IF(Portafolio_Proyectos!$AP126="","",Portafolio_Proyectos!$D126),"")</f>
        <v/>
      </c>
      <c r="G377" s="5" t="str">
        <f>IFERROR(IF(Portafolio_Proyectos!$AP126="","",Portafolio_Proyectos!$A126),"")</f>
        <v/>
      </c>
      <c r="H377" s="5" t="str">
        <f>IFERROR(IF(Portafolio_Proyectos!$AP126="","",Portafolio_Proyectos!$E126),"")</f>
        <v/>
      </c>
    </row>
    <row r="378" spans="1:8" x14ac:dyDescent="0.35">
      <c r="A378" s="5" t="str">
        <f>IFERROR(IF(Portafolio_Proyectos!$AQ126="","","CAP-"&amp;ROW()-1),"")</f>
        <v/>
      </c>
      <c r="B378" s="5" t="str">
        <f>IFERROR(IF(Portafolio_Proyectos!$AQ126="","",Portafolio_Proyectos!$AQ126),"")</f>
        <v/>
      </c>
      <c r="C378" s="5" t="str">
        <f>IFERROR(IF(Portafolio_Proyectos!$AQ126="","","Consolidada"),"")</f>
        <v/>
      </c>
      <c r="D378" s="5" t="str">
        <f>IFERROR(IF(Portafolio_Proyectos!$AQ126="","",Portafolio_Proyectos!$C126),"")</f>
        <v/>
      </c>
      <c r="E378" s="5" t="str">
        <f>IFERROR(IF(Portafolio_Proyectos!$AQ126="","",Portafolio_Proyectos!$B126),"")</f>
        <v/>
      </c>
      <c r="F378" s="5" t="str">
        <f>IFERROR(IF(Portafolio_Proyectos!$AQ126="","",Portafolio_Proyectos!$D126),"")</f>
        <v/>
      </c>
      <c r="G378" s="5" t="str">
        <f>IFERROR(IF(Portafolio_Proyectos!$AQ126="","",Portafolio_Proyectos!$A126),"")</f>
        <v/>
      </c>
      <c r="H378" s="5" t="str">
        <f>IFERROR(IF(Portafolio_Proyectos!$AQ126="","",Portafolio_Proyectos!$E126),"")</f>
        <v/>
      </c>
    </row>
    <row r="379" spans="1:8" x14ac:dyDescent="0.35">
      <c r="A379" s="5" t="str">
        <f>IFERROR(IF(Portafolio_Proyectos!$AR126="","","CAP-"&amp;ROW()-1),"")</f>
        <v/>
      </c>
      <c r="B379" s="5" t="str">
        <f>IFERROR(IF(Portafolio_Proyectos!$AR126="","",Portafolio_Proyectos!$AR126),"")</f>
        <v/>
      </c>
      <c r="C379" s="5" t="str">
        <f>IFERROR(IF(Portafolio_Proyectos!$AR126="","","Distintiva"),"")</f>
        <v/>
      </c>
      <c r="D379" s="5" t="str">
        <f>IFERROR(IF(Portafolio_Proyectos!$AR126="","",Portafolio_Proyectos!$C126),"")</f>
        <v/>
      </c>
      <c r="E379" s="5" t="str">
        <f>IFERROR(IF(Portafolio_Proyectos!$AR126="","",Portafolio_Proyectos!$B126),"")</f>
        <v/>
      </c>
      <c r="F379" s="5" t="str">
        <f>IFERROR(IF(Portafolio_Proyectos!$AR126="","",Portafolio_Proyectos!$D126),"")</f>
        <v/>
      </c>
      <c r="G379" s="5" t="str">
        <f>IFERROR(IF(Portafolio_Proyectos!$AR126="","",Portafolio_Proyectos!$A126),"")</f>
        <v/>
      </c>
      <c r="H379" s="5" t="str">
        <f>IFERROR(IF(Portafolio_Proyectos!$AR126="","",Portafolio_Proyectos!$E126),"")</f>
        <v/>
      </c>
    </row>
    <row r="380" spans="1:8" x14ac:dyDescent="0.35">
      <c r="A380" s="5" t="str">
        <f>IFERROR(IF(Portafolio_Proyectos!$AP127="","","CAP-"&amp;ROW()-1),"")</f>
        <v/>
      </c>
      <c r="B380" s="5" t="str">
        <f>IFERROR(IF(Portafolio_Proyectos!$AP127="","",Portafolio_Proyectos!$AP127),"")</f>
        <v/>
      </c>
      <c r="C380" s="5" t="str">
        <f>IFERROR(IF(Portafolio_Proyectos!$AP127="","","Emergente"),"")</f>
        <v/>
      </c>
      <c r="D380" s="5" t="str">
        <f>IFERROR(IF(Portafolio_Proyectos!$AP127="","",Portafolio_Proyectos!$C127),"")</f>
        <v/>
      </c>
      <c r="E380" s="5" t="str">
        <f>IFERROR(IF(Portafolio_Proyectos!$AP127="","",Portafolio_Proyectos!$B127),"")</f>
        <v/>
      </c>
      <c r="F380" s="5" t="str">
        <f>IFERROR(IF(Portafolio_Proyectos!$AP127="","",Portafolio_Proyectos!$D127),"")</f>
        <v/>
      </c>
      <c r="G380" s="5" t="str">
        <f>IFERROR(IF(Portafolio_Proyectos!$AP127="","",Portafolio_Proyectos!$A127),"")</f>
        <v/>
      </c>
      <c r="H380" s="5" t="str">
        <f>IFERROR(IF(Portafolio_Proyectos!$AP127="","",Portafolio_Proyectos!$E127),"")</f>
        <v/>
      </c>
    </row>
    <row r="381" spans="1:8" x14ac:dyDescent="0.35">
      <c r="A381" s="5" t="str">
        <f>IFERROR(IF(Portafolio_Proyectos!$AQ127="","","CAP-"&amp;ROW()-1),"")</f>
        <v/>
      </c>
      <c r="B381" s="5" t="str">
        <f>IFERROR(IF(Portafolio_Proyectos!$AQ127="","",Portafolio_Proyectos!$AQ127),"")</f>
        <v/>
      </c>
      <c r="C381" s="5" t="str">
        <f>IFERROR(IF(Portafolio_Proyectos!$AQ127="","","Consolidada"),"")</f>
        <v/>
      </c>
      <c r="D381" s="5" t="str">
        <f>IFERROR(IF(Portafolio_Proyectos!$AQ127="","",Portafolio_Proyectos!$C127),"")</f>
        <v/>
      </c>
      <c r="E381" s="5" t="str">
        <f>IFERROR(IF(Portafolio_Proyectos!$AQ127="","",Portafolio_Proyectos!$B127),"")</f>
        <v/>
      </c>
      <c r="F381" s="5" t="str">
        <f>IFERROR(IF(Portafolio_Proyectos!$AQ127="","",Portafolio_Proyectos!$D127),"")</f>
        <v/>
      </c>
      <c r="G381" s="5" t="str">
        <f>IFERROR(IF(Portafolio_Proyectos!$AQ127="","",Portafolio_Proyectos!$A127),"")</f>
        <v/>
      </c>
      <c r="H381" s="5" t="str">
        <f>IFERROR(IF(Portafolio_Proyectos!$AQ127="","",Portafolio_Proyectos!$E127),"")</f>
        <v/>
      </c>
    </row>
    <row r="382" spans="1:8" x14ac:dyDescent="0.35">
      <c r="A382" s="5" t="str">
        <f>IFERROR(IF(Portafolio_Proyectos!$AR127="","","CAP-"&amp;ROW()-1),"")</f>
        <v/>
      </c>
      <c r="B382" s="5" t="str">
        <f>IFERROR(IF(Portafolio_Proyectos!$AR127="","",Portafolio_Proyectos!$AR127),"")</f>
        <v/>
      </c>
      <c r="C382" s="5" t="str">
        <f>IFERROR(IF(Portafolio_Proyectos!$AR127="","","Distintiva"),"")</f>
        <v/>
      </c>
      <c r="D382" s="5" t="str">
        <f>IFERROR(IF(Portafolio_Proyectos!$AR127="","",Portafolio_Proyectos!$C127),"")</f>
        <v/>
      </c>
      <c r="E382" s="5" t="str">
        <f>IFERROR(IF(Portafolio_Proyectos!$AR127="","",Portafolio_Proyectos!$B127),"")</f>
        <v/>
      </c>
      <c r="F382" s="5" t="str">
        <f>IFERROR(IF(Portafolio_Proyectos!$AR127="","",Portafolio_Proyectos!$D127),"")</f>
        <v/>
      </c>
      <c r="G382" s="5" t="str">
        <f>IFERROR(IF(Portafolio_Proyectos!$AR127="","",Portafolio_Proyectos!$A127),"")</f>
        <v/>
      </c>
      <c r="H382" s="5" t="str">
        <f>IFERROR(IF(Portafolio_Proyectos!$AR127="","",Portafolio_Proyectos!$E127),"")</f>
        <v/>
      </c>
    </row>
    <row r="383" spans="1:8" x14ac:dyDescent="0.35">
      <c r="A383" s="5" t="str">
        <f>IFERROR(IF(Portafolio_Proyectos!$AP128="","","CAP-"&amp;ROW()-1),"")</f>
        <v/>
      </c>
      <c r="B383" s="5" t="str">
        <f>IFERROR(IF(Portafolio_Proyectos!$AP128="","",Portafolio_Proyectos!$AP128),"")</f>
        <v/>
      </c>
      <c r="C383" s="5" t="str">
        <f>IFERROR(IF(Portafolio_Proyectos!$AP128="","","Emergente"),"")</f>
        <v/>
      </c>
      <c r="D383" s="5" t="str">
        <f>IFERROR(IF(Portafolio_Proyectos!$AP128="","",Portafolio_Proyectos!$C128),"")</f>
        <v/>
      </c>
      <c r="E383" s="5" t="str">
        <f>IFERROR(IF(Portafolio_Proyectos!$AP128="","",Portafolio_Proyectos!$B128),"")</f>
        <v/>
      </c>
      <c r="F383" s="5" t="str">
        <f>IFERROR(IF(Portafolio_Proyectos!$AP128="","",Portafolio_Proyectos!$D128),"")</f>
        <v/>
      </c>
      <c r="G383" s="5" t="str">
        <f>IFERROR(IF(Portafolio_Proyectos!$AP128="","",Portafolio_Proyectos!$A128),"")</f>
        <v/>
      </c>
      <c r="H383" s="5" t="str">
        <f>IFERROR(IF(Portafolio_Proyectos!$AP128="","",Portafolio_Proyectos!$E128),"")</f>
        <v/>
      </c>
    </row>
    <row r="384" spans="1:8" x14ac:dyDescent="0.35">
      <c r="A384" s="5" t="str">
        <f>IFERROR(IF(Portafolio_Proyectos!$AQ128="","","CAP-"&amp;ROW()-1),"")</f>
        <v/>
      </c>
      <c r="B384" s="5" t="str">
        <f>IFERROR(IF(Portafolio_Proyectos!$AQ128="","",Portafolio_Proyectos!$AQ128),"")</f>
        <v/>
      </c>
      <c r="C384" s="5" t="str">
        <f>IFERROR(IF(Portafolio_Proyectos!$AQ128="","","Consolidada"),"")</f>
        <v/>
      </c>
      <c r="D384" s="5" t="str">
        <f>IFERROR(IF(Portafolio_Proyectos!$AQ128="","",Portafolio_Proyectos!$C128),"")</f>
        <v/>
      </c>
      <c r="E384" s="5" t="str">
        <f>IFERROR(IF(Portafolio_Proyectos!$AQ128="","",Portafolio_Proyectos!$B128),"")</f>
        <v/>
      </c>
      <c r="F384" s="5" t="str">
        <f>IFERROR(IF(Portafolio_Proyectos!$AQ128="","",Portafolio_Proyectos!$D128),"")</f>
        <v/>
      </c>
      <c r="G384" s="5" t="str">
        <f>IFERROR(IF(Portafolio_Proyectos!$AQ128="","",Portafolio_Proyectos!$A128),"")</f>
        <v/>
      </c>
      <c r="H384" s="5" t="str">
        <f>IFERROR(IF(Portafolio_Proyectos!$AQ128="","",Portafolio_Proyectos!$E128),"")</f>
        <v/>
      </c>
    </row>
    <row r="385" spans="1:8" x14ac:dyDescent="0.35">
      <c r="A385" s="5" t="str">
        <f>IFERROR(IF(Portafolio_Proyectos!$AR128="","","CAP-"&amp;ROW()-1),"")</f>
        <v/>
      </c>
      <c r="B385" s="5" t="str">
        <f>IFERROR(IF(Portafolio_Proyectos!$AR128="","",Portafolio_Proyectos!$AR128),"")</f>
        <v/>
      </c>
      <c r="C385" s="5" t="str">
        <f>IFERROR(IF(Portafolio_Proyectos!$AR128="","","Distintiva"),"")</f>
        <v/>
      </c>
      <c r="D385" s="5" t="str">
        <f>IFERROR(IF(Portafolio_Proyectos!$AR128="","",Portafolio_Proyectos!$C128),"")</f>
        <v/>
      </c>
      <c r="E385" s="5" t="str">
        <f>IFERROR(IF(Portafolio_Proyectos!$AR128="","",Portafolio_Proyectos!$B128),"")</f>
        <v/>
      </c>
      <c r="F385" s="5" t="str">
        <f>IFERROR(IF(Portafolio_Proyectos!$AR128="","",Portafolio_Proyectos!$D128),"")</f>
        <v/>
      </c>
      <c r="G385" s="5" t="str">
        <f>IFERROR(IF(Portafolio_Proyectos!$AR128="","",Portafolio_Proyectos!$A128),"")</f>
        <v/>
      </c>
      <c r="H385" s="5" t="str">
        <f>IFERROR(IF(Portafolio_Proyectos!$AR128="","",Portafolio_Proyectos!$E128),"")</f>
        <v/>
      </c>
    </row>
    <row r="386" spans="1:8" x14ac:dyDescent="0.35">
      <c r="A386" s="5" t="str">
        <f>IFERROR(IF(Portafolio_Proyectos!$AP129="","","CAP-"&amp;ROW()-1),"")</f>
        <v/>
      </c>
      <c r="B386" s="5" t="str">
        <f>IFERROR(IF(Portafolio_Proyectos!$AP129="","",Portafolio_Proyectos!$AP129),"")</f>
        <v/>
      </c>
      <c r="C386" s="5" t="str">
        <f>IFERROR(IF(Portafolio_Proyectos!$AP129="","","Emergente"),"")</f>
        <v/>
      </c>
      <c r="D386" s="5" t="str">
        <f>IFERROR(IF(Portafolio_Proyectos!$AP129="","",Portafolio_Proyectos!$C129),"")</f>
        <v/>
      </c>
      <c r="E386" s="5" t="str">
        <f>IFERROR(IF(Portafolio_Proyectos!$AP129="","",Portafolio_Proyectos!$B129),"")</f>
        <v/>
      </c>
      <c r="F386" s="5" t="str">
        <f>IFERROR(IF(Portafolio_Proyectos!$AP129="","",Portafolio_Proyectos!$D129),"")</f>
        <v/>
      </c>
      <c r="G386" s="5" t="str">
        <f>IFERROR(IF(Portafolio_Proyectos!$AP129="","",Portafolio_Proyectos!$A129),"")</f>
        <v/>
      </c>
      <c r="H386" s="5" t="str">
        <f>IFERROR(IF(Portafolio_Proyectos!$AP129="","",Portafolio_Proyectos!$E129),"")</f>
        <v/>
      </c>
    </row>
    <row r="387" spans="1:8" x14ac:dyDescent="0.35">
      <c r="A387" s="5" t="str">
        <f>IFERROR(IF(Portafolio_Proyectos!$AQ129="","","CAP-"&amp;ROW()-1),"")</f>
        <v/>
      </c>
      <c r="B387" s="5" t="str">
        <f>IFERROR(IF(Portafolio_Proyectos!$AQ129="","",Portafolio_Proyectos!$AQ129),"")</f>
        <v/>
      </c>
      <c r="C387" s="5" t="str">
        <f>IFERROR(IF(Portafolio_Proyectos!$AQ129="","","Consolidada"),"")</f>
        <v/>
      </c>
      <c r="D387" s="5" t="str">
        <f>IFERROR(IF(Portafolio_Proyectos!$AQ129="","",Portafolio_Proyectos!$C129),"")</f>
        <v/>
      </c>
      <c r="E387" s="5" t="str">
        <f>IFERROR(IF(Portafolio_Proyectos!$AQ129="","",Portafolio_Proyectos!$B129),"")</f>
        <v/>
      </c>
      <c r="F387" s="5" t="str">
        <f>IFERROR(IF(Portafolio_Proyectos!$AQ129="","",Portafolio_Proyectos!$D129),"")</f>
        <v/>
      </c>
      <c r="G387" s="5" t="str">
        <f>IFERROR(IF(Portafolio_Proyectos!$AQ129="","",Portafolio_Proyectos!$A129),"")</f>
        <v/>
      </c>
      <c r="H387" s="5" t="str">
        <f>IFERROR(IF(Portafolio_Proyectos!$AQ129="","",Portafolio_Proyectos!$E129),"")</f>
        <v/>
      </c>
    </row>
    <row r="388" spans="1:8" x14ac:dyDescent="0.35">
      <c r="A388" s="5" t="str">
        <f>IFERROR(IF(Portafolio_Proyectos!$AR129="","","CAP-"&amp;ROW()-1),"")</f>
        <v/>
      </c>
      <c r="B388" s="5" t="str">
        <f>IFERROR(IF(Portafolio_Proyectos!$AR129="","",Portafolio_Proyectos!$AR129),"")</f>
        <v/>
      </c>
      <c r="C388" s="5" t="str">
        <f>IFERROR(IF(Portafolio_Proyectos!$AR129="","","Distintiva"),"")</f>
        <v/>
      </c>
      <c r="D388" s="5" t="str">
        <f>IFERROR(IF(Portafolio_Proyectos!$AR129="","",Portafolio_Proyectos!$C129),"")</f>
        <v/>
      </c>
      <c r="E388" s="5" t="str">
        <f>IFERROR(IF(Portafolio_Proyectos!$AR129="","",Portafolio_Proyectos!$B129),"")</f>
        <v/>
      </c>
      <c r="F388" s="5" t="str">
        <f>IFERROR(IF(Portafolio_Proyectos!$AR129="","",Portafolio_Proyectos!$D129),"")</f>
        <v/>
      </c>
      <c r="G388" s="5" t="str">
        <f>IFERROR(IF(Portafolio_Proyectos!$AR129="","",Portafolio_Proyectos!$A129),"")</f>
        <v/>
      </c>
      <c r="H388" s="5" t="str">
        <f>IFERROR(IF(Portafolio_Proyectos!$AR129="","",Portafolio_Proyectos!$E129),"")</f>
        <v/>
      </c>
    </row>
    <row r="389" spans="1:8" x14ac:dyDescent="0.35">
      <c r="A389" s="5" t="str">
        <f>IFERROR(IF(Portafolio_Proyectos!$AP130="","","CAP-"&amp;ROW()-1),"")</f>
        <v/>
      </c>
      <c r="B389" s="5" t="str">
        <f>IFERROR(IF(Portafolio_Proyectos!$AP130="","",Portafolio_Proyectos!$AP130),"")</f>
        <v/>
      </c>
      <c r="C389" s="5" t="str">
        <f>IFERROR(IF(Portafolio_Proyectos!$AP130="","","Emergente"),"")</f>
        <v/>
      </c>
      <c r="D389" s="5" t="str">
        <f>IFERROR(IF(Portafolio_Proyectos!$AP130="","",Portafolio_Proyectos!$C130),"")</f>
        <v/>
      </c>
      <c r="E389" s="5" t="str">
        <f>IFERROR(IF(Portafolio_Proyectos!$AP130="","",Portafolio_Proyectos!$B130),"")</f>
        <v/>
      </c>
      <c r="F389" s="5" t="str">
        <f>IFERROR(IF(Portafolio_Proyectos!$AP130="","",Portafolio_Proyectos!$D130),"")</f>
        <v/>
      </c>
      <c r="G389" s="5" t="str">
        <f>IFERROR(IF(Portafolio_Proyectos!$AP130="","",Portafolio_Proyectos!$A130),"")</f>
        <v/>
      </c>
      <c r="H389" s="5" t="str">
        <f>IFERROR(IF(Portafolio_Proyectos!$AP130="","",Portafolio_Proyectos!$E130),"")</f>
        <v/>
      </c>
    </row>
    <row r="390" spans="1:8" x14ac:dyDescent="0.35">
      <c r="A390" s="5" t="str">
        <f>IFERROR(IF(Portafolio_Proyectos!$AQ130="","","CAP-"&amp;ROW()-1),"")</f>
        <v/>
      </c>
      <c r="B390" s="5" t="str">
        <f>IFERROR(IF(Portafolio_Proyectos!$AQ130="","",Portafolio_Proyectos!$AQ130),"")</f>
        <v/>
      </c>
      <c r="C390" s="5" t="str">
        <f>IFERROR(IF(Portafolio_Proyectos!$AQ130="","","Consolidada"),"")</f>
        <v/>
      </c>
      <c r="D390" s="5" t="str">
        <f>IFERROR(IF(Portafolio_Proyectos!$AQ130="","",Portafolio_Proyectos!$C130),"")</f>
        <v/>
      </c>
      <c r="E390" s="5" t="str">
        <f>IFERROR(IF(Portafolio_Proyectos!$AQ130="","",Portafolio_Proyectos!$B130),"")</f>
        <v/>
      </c>
      <c r="F390" s="5" t="str">
        <f>IFERROR(IF(Portafolio_Proyectos!$AQ130="","",Portafolio_Proyectos!$D130),"")</f>
        <v/>
      </c>
      <c r="G390" s="5" t="str">
        <f>IFERROR(IF(Portafolio_Proyectos!$AQ130="","",Portafolio_Proyectos!$A130),"")</f>
        <v/>
      </c>
      <c r="H390" s="5" t="str">
        <f>IFERROR(IF(Portafolio_Proyectos!$AQ130="","",Portafolio_Proyectos!$E130),"")</f>
        <v/>
      </c>
    </row>
    <row r="391" spans="1:8" x14ac:dyDescent="0.35">
      <c r="A391" s="5" t="str">
        <f>IFERROR(IF(Portafolio_Proyectos!$AR130="","","CAP-"&amp;ROW()-1),"")</f>
        <v/>
      </c>
      <c r="B391" s="5" t="str">
        <f>IFERROR(IF(Portafolio_Proyectos!$AR130="","",Portafolio_Proyectos!$AR130),"")</f>
        <v/>
      </c>
      <c r="C391" s="5" t="str">
        <f>IFERROR(IF(Portafolio_Proyectos!$AR130="","","Distintiva"),"")</f>
        <v/>
      </c>
      <c r="D391" s="5" t="str">
        <f>IFERROR(IF(Portafolio_Proyectos!$AR130="","",Portafolio_Proyectos!$C130),"")</f>
        <v/>
      </c>
      <c r="E391" s="5" t="str">
        <f>IFERROR(IF(Portafolio_Proyectos!$AR130="","",Portafolio_Proyectos!$B130),"")</f>
        <v/>
      </c>
      <c r="F391" s="5" t="str">
        <f>IFERROR(IF(Portafolio_Proyectos!$AR130="","",Portafolio_Proyectos!$D130),"")</f>
        <v/>
      </c>
      <c r="G391" s="5" t="str">
        <f>IFERROR(IF(Portafolio_Proyectos!$AR130="","",Portafolio_Proyectos!$A130),"")</f>
        <v/>
      </c>
      <c r="H391" s="5" t="str">
        <f>IFERROR(IF(Portafolio_Proyectos!$AR130="","",Portafolio_Proyectos!$E130),"")</f>
        <v/>
      </c>
    </row>
    <row r="392" spans="1:8" x14ac:dyDescent="0.35">
      <c r="A392" s="5" t="str">
        <f>IFERROR(IF(Portafolio_Proyectos!$AP131="","","CAP-"&amp;ROW()-1),"")</f>
        <v/>
      </c>
      <c r="B392" s="5" t="str">
        <f>IFERROR(IF(Portafolio_Proyectos!$AP131="","",Portafolio_Proyectos!$AP131),"")</f>
        <v/>
      </c>
      <c r="C392" s="5" t="str">
        <f>IFERROR(IF(Portafolio_Proyectos!$AP131="","","Emergente"),"")</f>
        <v/>
      </c>
      <c r="D392" s="5" t="str">
        <f>IFERROR(IF(Portafolio_Proyectos!$AP131="","",Portafolio_Proyectos!$C131),"")</f>
        <v/>
      </c>
      <c r="E392" s="5" t="str">
        <f>IFERROR(IF(Portafolio_Proyectos!$AP131="","",Portafolio_Proyectos!$B131),"")</f>
        <v/>
      </c>
      <c r="F392" s="5" t="str">
        <f>IFERROR(IF(Portafolio_Proyectos!$AP131="","",Portafolio_Proyectos!$D131),"")</f>
        <v/>
      </c>
      <c r="G392" s="5" t="str">
        <f>IFERROR(IF(Portafolio_Proyectos!$AP131="","",Portafolio_Proyectos!$A131),"")</f>
        <v/>
      </c>
      <c r="H392" s="5" t="str">
        <f>IFERROR(IF(Portafolio_Proyectos!$AP131="","",Portafolio_Proyectos!$E131),"")</f>
        <v/>
      </c>
    </row>
    <row r="393" spans="1:8" x14ac:dyDescent="0.35">
      <c r="A393" s="5" t="str">
        <f>IFERROR(IF(Portafolio_Proyectos!$AQ131="","","CAP-"&amp;ROW()-1),"")</f>
        <v/>
      </c>
      <c r="B393" s="5" t="str">
        <f>IFERROR(IF(Portafolio_Proyectos!$AQ131="","",Portafolio_Proyectos!$AQ131),"")</f>
        <v/>
      </c>
      <c r="C393" s="5" t="str">
        <f>IFERROR(IF(Portafolio_Proyectos!$AQ131="","","Consolidada"),"")</f>
        <v/>
      </c>
      <c r="D393" s="5" t="str">
        <f>IFERROR(IF(Portafolio_Proyectos!$AQ131="","",Portafolio_Proyectos!$C131),"")</f>
        <v/>
      </c>
      <c r="E393" s="5" t="str">
        <f>IFERROR(IF(Portafolio_Proyectos!$AQ131="","",Portafolio_Proyectos!$B131),"")</f>
        <v/>
      </c>
      <c r="F393" s="5" t="str">
        <f>IFERROR(IF(Portafolio_Proyectos!$AQ131="","",Portafolio_Proyectos!$D131),"")</f>
        <v/>
      </c>
      <c r="G393" s="5" t="str">
        <f>IFERROR(IF(Portafolio_Proyectos!$AQ131="","",Portafolio_Proyectos!$A131),"")</f>
        <v/>
      </c>
      <c r="H393" s="5" t="str">
        <f>IFERROR(IF(Portafolio_Proyectos!$AQ131="","",Portafolio_Proyectos!$E131),"")</f>
        <v/>
      </c>
    </row>
    <row r="394" spans="1:8" x14ac:dyDescent="0.35">
      <c r="A394" s="5" t="str">
        <f>IFERROR(IF(Portafolio_Proyectos!$AR131="","","CAP-"&amp;ROW()-1),"")</f>
        <v/>
      </c>
      <c r="B394" s="5" t="str">
        <f>IFERROR(IF(Portafolio_Proyectos!$AR131="","",Portafolio_Proyectos!$AR131),"")</f>
        <v/>
      </c>
      <c r="C394" s="5" t="str">
        <f>IFERROR(IF(Portafolio_Proyectos!$AR131="","","Distintiva"),"")</f>
        <v/>
      </c>
      <c r="D394" s="5" t="str">
        <f>IFERROR(IF(Portafolio_Proyectos!$AR131="","",Portafolio_Proyectos!$C131),"")</f>
        <v/>
      </c>
      <c r="E394" s="5" t="str">
        <f>IFERROR(IF(Portafolio_Proyectos!$AR131="","",Portafolio_Proyectos!$B131),"")</f>
        <v/>
      </c>
      <c r="F394" s="5" t="str">
        <f>IFERROR(IF(Portafolio_Proyectos!$AR131="","",Portafolio_Proyectos!$D131),"")</f>
        <v/>
      </c>
      <c r="G394" s="5" t="str">
        <f>IFERROR(IF(Portafolio_Proyectos!$AR131="","",Portafolio_Proyectos!$A131),"")</f>
        <v/>
      </c>
      <c r="H394" s="5" t="str">
        <f>IFERROR(IF(Portafolio_Proyectos!$AR131="","",Portafolio_Proyectos!$E131),"")</f>
        <v/>
      </c>
    </row>
    <row r="395" spans="1:8" x14ac:dyDescent="0.35">
      <c r="A395" s="5" t="str">
        <f>IFERROR(IF(Portafolio_Proyectos!$AP132="","","CAP-"&amp;ROW()-1),"")</f>
        <v/>
      </c>
      <c r="B395" s="5" t="str">
        <f>IFERROR(IF(Portafolio_Proyectos!$AP132="","",Portafolio_Proyectos!$AP132),"")</f>
        <v/>
      </c>
      <c r="C395" s="5" t="str">
        <f>IFERROR(IF(Portafolio_Proyectos!$AP132="","","Emergente"),"")</f>
        <v/>
      </c>
      <c r="D395" s="5" t="str">
        <f>IFERROR(IF(Portafolio_Proyectos!$AP132="","",Portafolio_Proyectos!$C132),"")</f>
        <v/>
      </c>
      <c r="E395" s="5" t="str">
        <f>IFERROR(IF(Portafolio_Proyectos!$AP132="","",Portafolio_Proyectos!$B132),"")</f>
        <v/>
      </c>
      <c r="F395" s="5" t="str">
        <f>IFERROR(IF(Portafolio_Proyectos!$AP132="","",Portafolio_Proyectos!$D132),"")</f>
        <v/>
      </c>
      <c r="G395" s="5" t="str">
        <f>IFERROR(IF(Portafolio_Proyectos!$AP132="","",Portafolio_Proyectos!$A132),"")</f>
        <v/>
      </c>
      <c r="H395" s="5" t="str">
        <f>IFERROR(IF(Portafolio_Proyectos!$AP132="","",Portafolio_Proyectos!$E132),"")</f>
        <v/>
      </c>
    </row>
    <row r="396" spans="1:8" x14ac:dyDescent="0.35">
      <c r="A396" s="5" t="str">
        <f>IFERROR(IF(Portafolio_Proyectos!$AQ132="","","CAP-"&amp;ROW()-1),"")</f>
        <v/>
      </c>
      <c r="B396" s="5" t="str">
        <f>IFERROR(IF(Portafolio_Proyectos!$AQ132="","",Portafolio_Proyectos!$AQ132),"")</f>
        <v/>
      </c>
      <c r="C396" s="5" t="str">
        <f>IFERROR(IF(Portafolio_Proyectos!$AQ132="","","Consolidada"),"")</f>
        <v/>
      </c>
      <c r="D396" s="5" t="str">
        <f>IFERROR(IF(Portafolio_Proyectos!$AQ132="","",Portafolio_Proyectos!$C132),"")</f>
        <v/>
      </c>
      <c r="E396" s="5" t="str">
        <f>IFERROR(IF(Portafolio_Proyectos!$AQ132="","",Portafolio_Proyectos!$B132),"")</f>
        <v/>
      </c>
      <c r="F396" s="5" t="str">
        <f>IFERROR(IF(Portafolio_Proyectos!$AQ132="","",Portafolio_Proyectos!$D132),"")</f>
        <v/>
      </c>
      <c r="G396" s="5" t="str">
        <f>IFERROR(IF(Portafolio_Proyectos!$AQ132="","",Portafolio_Proyectos!$A132),"")</f>
        <v/>
      </c>
      <c r="H396" s="5" t="str">
        <f>IFERROR(IF(Portafolio_Proyectos!$AQ132="","",Portafolio_Proyectos!$E132),"")</f>
        <v/>
      </c>
    </row>
    <row r="397" spans="1:8" x14ac:dyDescent="0.35">
      <c r="A397" s="5" t="str">
        <f>IFERROR(IF(Portafolio_Proyectos!$AR132="","","CAP-"&amp;ROW()-1),"")</f>
        <v/>
      </c>
      <c r="B397" s="5" t="str">
        <f>IFERROR(IF(Portafolio_Proyectos!$AR132="","",Portafolio_Proyectos!$AR132),"")</f>
        <v/>
      </c>
      <c r="C397" s="5" t="str">
        <f>IFERROR(IF(Portafolio_Proyectos!$AR132="","","Distintiva"),"")</f>
        <v/>
      </c>
      <c r="D397" s="5" t="str">
        <f>IFERROR(IF(Portafolio_Proyectos!$AR132="","",Portafolio_Proyectos!$C132),"")</f>
        <v/>
      </c>
      <c r="E397" s="5" t="str">
        <f>IFERROR(IF(Portafolio_Proyectos!$AR132="","",Portafolio_Proyectos!$B132),"")</f>
        <v/>
      </c>
      <c r="F397" s="5" t="str">
        <f>IFERROR(IF(Portafolio_Proyectos!$AR132="","",Portafolio_Proyectos!$D132),"")</f>
        <v/>
      </c>
      <c r="G397" s="5" t="str">
        <f>IFERROR(IF(Portafolio_Proyectos!$AR132="","",Portafolio_Proyectos!$A132),"")</f>
        <v/>
      </c>
      <c r="H397" s="5" t="str">
        <f>IFERROR(IF(Portafolio_Proyectos!$AR132="","",Portafolio_Proyectos!$E132),"")</f>
        <v/>
      </c>
    </row>
    <row r="398" spans="1:8" x14ac:dyDescent="0.35">
      <c r="A398" s="5" t="str">
        <f>IFERROR(IF(Portafolio_Proyectos!$AP133="","","CAP-"&amp;ROW()-1),"")</f>
        <v/>
      </c>
      <c r="B398" s="5" t="str">
        <f>IFERROR(IF(Portafolio_Proyectos!$AP133="","",Portafolio_Proyectos!$AP133),"")</f>
        <v/>
      </c>
      <c r="C398" s="5" t="str">
        <f>IFERROR(IF(Portafolio_Proyectos!$AP133="","","Emergente"),"")</f>
        <v/>
      </c>
      <c r="D398" s="5" t="str">
        <f>IFERROR(IF(Portafolio_Proyectos!$AP133="","",Portafolio_Proyectos!$C133),"")</f>
        <v/>
      </c>
      <c r="E398" s="5" t="str">
        <f>IFERROR(IF(Portafolio_Proyectos!$AP133="","",Portafolio_Proyectos!$B133),"")</f>
        <v/>
      </c>
      <c r="F398" s="5" t="str">
        <f>IFERROR(IF(Portafolio_Proyectos!$AP133="","",Portafolio_Proyectos!$D133),"")</f>
        <v/>
      </c>
      <c r="G398" s="5" t="str">
        <f>IFERROR(IF(Portafolio_Proyectos!$AP133="","",Portafolio_Proyectos!$A133),"")</f>
        <v/>
      </c>
      <c r="H398" s="5" t="str">
        <f>IFERROR(IF(Portafolio_Proyectos!$AP133="","",Portafolio_Proyectos!$E133),"")</f>
        <v/>
      </c>
    </row>
    <row r="399" spans="1:8" x14ac:dyDescent="0.35">
      <c r="A399" s="5" t="str">
        <f>IFERROR(IF(Portafolio_Proyectos!$AQ133="","","CAP-"&amp;ROW()-1),"")</f>
        <v/>
      </c>
      <c r="B399" s="5" t="str">
        <f>IFERROR(IF(Portafolio_Proyectos!$AQ133="","",Portafolio_Proyectos!$AQ133),"")</f>
        <v/>
      </c>
      <c r="C399" s="5" t="str">
        <f>IFERROR(IF(Portafolio_Proyectos!$AQ133="","","Consolidada"),"")</f>
        <v/>
      </c>
      <c r="D399" s="5" t="str">
        <f>IFERROR(IF(Portafolio_Proyectos!$AQ133="","",Portafolio_Proyectos!$C133),"")</f>
        <v/>
      </c>
      <c r="E399" s="5" t="str">
        <f>IFERROR(IF(Portafolio_Proyectos!$AQ133="","",Portafolio_Proyectos!$B133),"")</f>
        <v/>
      </c>
      <c r="F399" s="5" t="str">
        <f>IFERROR(IF(Portafolio_Proyectos!$AQ133="","",Portafolio_Proyectos!$D133),"")</f>
        <v/>
      </c>
      <c r="G399" s="5" t="str">
        <f>IFERROR(IF(Portafolio_Proyectos!$AQ133="","",Portafolio_Proyectos!$A133),"")</f>
        <v/>
      </c>
      <c r="H399" s="5" t="str">
        <f>IFERROR(IF(Portafolio_Proyectos!$AQ133="","",Portafolio_Proyectos!$E133),"")</f>
        <v/>
      </c>
    </row>
    <row r="400" spans="1:8" x14ac:dyDescent="0.35">
      <c r="A400" s="5" t="str">
        <f>IFERROR(IF(Portafolio_Proyectos!$AR133="","","CAP-"&amp;ROW()-1),"")</f>
        <v/>
      </c>
      <c r="B400" s="5" t="str">
        <f>IFERROR(IF(Portafolio_Proyectos!$AR133="","",Portafolio_Proyectos!$AR133),"")</f>
        <v/>
      </c>
      <c r="C400" s="5" t="str">
        <f>IFERROR(IF(Portafolio_Proyectos!$AR133="","","Distintiva"),"")</f>
        <v/>
      </c>
      <c r="D400" s="5" t="str">
        <f>IFERROR(IF(Portafolio_Proyectos!$AR133="","",Portafolio_Proyectos!$C133),"")</f>
        <v/>
      </c>
      <c r="E400" s="5" t="str">
        <f>IFERROR(IF(Portafolio_Proyectos!$AR133="","",Portafolio_Proyectos!$B133),"")</f>
        <v/>
      </c>
      <c r="F400" s="5" t="str">
        <f>IFERROR(IF(Portafolio_Proyectos!$AR133="","",Portafolio_Proyectos!$D133),"")</f>
        <v/>
      </c>
      <c r="G400" s="5" t="str">
        <f>IFERROR(IF(Portafolio_Proyectos!$AR133="","",Portafolio_Proyectos!$A133),"")</f>
        <v/>
      </c>
      <c r="H400" s="5" t="str">
        <f>IFERROR(IF(Portafolio_Proyectos!$AR133="","",Portafolio_Proyectos!$E133),"")</f>
        <v/>
      </c>
    </row>
    <row r="401" spans="1:8" x14ac:dyDescent="0.35">
      <c r="A401" s="5" t="str">
        <f>IFERROR(IF(Portafolio_Proyectos!$AP134="","","CAP-"&amp;ROW()-1),"")</f>
        <v/>
      </c>
      <c r="B401" s="5" t="str">
        <f>IFERROR(IF(Portafolio_Proyectos!$AP134="","",Portafolio_Proyectos!$AP134),"")</f>
        <v/>
      </c>
      <c r="C401" s="5" t="str">
        <f>IFERROR(IF(Portafolio_Proyectos!$AP134="","","Emergente"),"")</f>
        <v/>
      </c>
      <c r="D401" s="5" t="str">
        <f>IFERROR(IF(Portafolio_Proyectos!$AP134="","",Portafolio_Proyectos!$C134),"")</f>
        <v/>
      </c>
      <c r="E401" s="5" t="str">
        <f>IFERROR(IF(Portafolio_Proyectos!$AP134="","",Portafolio_Proyectos!$B134),"")</f>
        <v/>
      </c>
      <c r="F401" s="5" t="str">
        <f>IFERROR(IF(Portafolio_Proyectos!$AP134="","",Portafolio_Proyectos!$D134),"")</f>
        <v/>
      </c>
      <c r="G401" s="5" t="str">
        <f>IFERROR(IF(Portafolio_Proyectos!$AP134="","",Portafolio_Proyectos!$A134),"")</f>
        <v/>
      </c>
      <c r="H401" s="5" t="str">
        <f>IFERROR(IF(Portafolio_Proyectos!$AP134="","",Portafolio_Proyectos!$E134),"")</f>
        <v/>
      </c>
    </row>
    <row r="402" spans="1:8" x14ac:dyDescent="0.35">
      <c r="A402" s="5" t="str">
        <f>IFERROR(IF(Portafolio_Proyectos!$AQ134="","","CAP-"&amp;ROW()-1),"")</f>
        <v/>
      </c>
      <c r="B402" s="5" t="str">
        <f>IFERROR(IF(Portafolio_Proyectos!$AQ134="","",Portafolio_Proyectos!$AQ134),"")</f>
        <v/>
      </c>
      <c r="C402" s="5" t="str">
        <f>IFERROR(IF(Portafolio_Proyectos!$AQ134="","","Consolidada"),"")</f>
        <v/>
      </c>
      <c r="D402" s="5" t="str">
        <f>IFERROR(IF(Portafolio_Proyectos!$AQ134="","",Portafolio_Proyectos!$C134),"")</f>
        <v/>
      </c>
      <c r="E402" s="5" t="str">
        <f>IFERROR(IF(Portafolio_Proyectos!$AQ134="","",Portafolio_Proyectos!$B134),"")</f>
        <v/>
      </c>
      <c r="F402" s="5" t="str">
        <f>IFERROR(IF(Portafolio_Proyectos!$AQ134="","",Portafolio_Proyectos!$D134),"")</f>
        <v/>
      </c>
      <c r="G402" s="5" t="str">
        <f>IFERROR(IF(Portafolio_Proyectos!$AQ134="","",Portafolio_Proyectos!$A134),"")</f>
        <v/>
      </c>
      <c r="H402" s="5" t="str">
        <f>IFERROR(IF(Portafolio_Proyectos!$AQ134="","",Portafolio_Proyectos!$E134),"")</f>
        <v/>
      </c>
    </row>
    <row r="403" spans="1:8" x14ac:dyDescent="0.35">
      <c r="A403" s="5" t="str">
        <f>IFERROR(IF(Portafolio_Proyectos!$AR134="","","CAP-"&amp;ROW()-1),"")</f>
        <v/>
      </c>
      <c r="B403" s="5" t="str">
        <f>IFERROR(IF(Portafolio_Proyectos!$AR134="","",Portafolio_Proyectos!$AR134),"")</f>
        <v/>
      </c>
      <c r="C403" s="5" t="str">
        <f>IFERROR(IF(Portafolio_Proyectos!$AR134="","","Distintiva"),"")</f>
        <v/>
      </c>
      <c r="D403" s="5" t="str">
        <f>IFERROR(IF(Portafolio_Proyectos!$AR134="","",Portafolio_Proyectos!$C134),"")</f>
        <v/>
      </c>
      <c r="E403" s="5" t="str">
        <f>IFERROR(IF(Portafolio_Proyectos!$AR134="","",Portafolio_Proyectos!$B134),"")</f>
        <v/>
      </c>
      <c r="F403" s="5" t="str">
        <f>IFERROR(IF(Portafolio_Proyectos!$AR134="","",Portafolio_Proyectos!$D134),"")</f>
        <v/>
      </c>
      <c r="G403" s="5" t="str">
        <f>IFERROR(IF(Portafolio_Proyectos!$AR134="","",Portafolio_Proyectos!$A134),"")</f>
        <v/>
      </c>
      <c r="H403" s="5" t="str">
        <f>IFERROR(IF(Portafolio_Proyectos!$AR134="","",Portafolio_Proyectos!$E134),"")</f>
        <v/>
      </c>
    </row>
    <row r="404" spans="1:8" x14ac:dyDescent="0.35">
      <c r="A404" s="5" t="str">
        <f>IFERROR(IF(Portafolio_Proyectos!$AP135="","","CAP-"&amp;ROW()-1),"")</f>
        <v/>
      </c>
      <c r="B404" s="5" t="str">
        <f>IFERROR(IF(Portafolio_Proyectos!$AP135="","",Portafolio_Proyectos!$AP135),"")</f>
        <v/>
      </c>
      <c r="C404" s="5" t="str">
        <f>IFERROR(IF(Portafolio_Proyectos!$AP135="","","Emergente"),"")</f>
        <v/>
      </c>
      <c r="D404" s="5" t="str">
        <f>IFERROR(IF(Portafolio_Proyectos!$AP135="","",Portafolio_Proyectos!$C135),"")</f>
        <v/>
      </c>
      <c r="E404" s="5" t="str">
        <f>IFERROR(IF(Portafolio_Proyectos!$AP135="","",Portafolio_Proyectos!$B135),"")</f>
        <v/>
      </c>
      <c r="F404" s="5" t="str">
        <f>IFERROR(IF(Portafolio_Proyectos!$AP135="","",Portafolio_Proyectos!$D135),"")</f>
        <v/>
      </c>
      <c r="G404" s="5" t="str">
        <f>IFERROR(IF(Portafolio_Proyectos!$AP135="","",Portafolio_Proyectos!$A135),"")</f>
        <v/>
      </c>
      <c r="H404" s="5" t="str">
        <f>IFERROR(IF(Portafolio_Proyectos!$AP135="","",Portafolio_Proyectos!$E135),"")</f>
        <v/>
      </c>
    </row>
    <row r="405" spans="1:8" x14ac:dyDescent="0.35">
      <c r="A405" s="5" t="str">
        <f>IFERROR(IF(Portafolio_Proyectos!$AQ135="","","CAP-"&amp;ROW()-1),"")</f>
        <v/>
      </c>
      <c r="B405" s="5" t="str">
        <f>IFERROR(IF(Portafolio_Proyectos!$AQ135="","",Portafolio_Proyectos!$AQ135),"")</f>
        <v/>
      </c>
      <c r="C405" s="5" t="str">
        <f>IFERROR(IF(Portafolio_Proyectos!$AQ135="","","Consolidada"),"")</f>
        <v/>
      </c>
      <c r="D405" s="5" t="str">
        <f>IFERROR(IF(Portafolio_Proyectos!$AQ135="","",Portafolio_Proyectos!$C135),"")</f>
        <v/>
      </c>
      <c r="E405" s="5" t="str">
        <f>IFERROR(IF(Portafolio_Proyectos!$AQ135="","",Portafolio_Proyectos!$B135),"")</f>
        <v/>
      </c>
      <c r="F405" s="5" t="str">
        <f>IFERROR(IF(Portafolio_Proyectos!$AQ135="","",Portafolio_Proyectos!$D135),"")</f>
        <v/>
      </c>
      <c r="G405" s="5" t="str">
        <f>IFERROR(IF(Portafolio_Proyectos!$AQ135="","",Portafolio_Proyectos!$A135),"")</f>
        <v/>
      </c>
      <c r="H405" s="5" t="str">
        <f>IFERROR(IF(Portafolio_Proyectos!$AQ135="","",Portafolio_Proyectos!$E135),"")</f>
        <v/>
      </c>
    </row>
    <row r="406" spans="1:8" x14ac:dyDescent="0.35">
      <c r="A406" s="5" t="str">
        <f>IFERROR(IF(Portafolio_Proyectos!$AR135="","","CAP-"&amp;ROW()-1),"")</f>
        <v/>
      </c>
      <c r="B406" s="5" t="str">
        <f>IFERROR(IF(Portafolio_Proyectos!$AR135="","",Portafolio_Proyectos!$AR135),"")</f>
        <v/>
      </c>
      <c r="C406" s="5" t="str">
        <f>IFERROR(IF(Portafolio_Proyectos!$AR135="","","Distintiva"),"")</f>
        <v/>
      </c>
      <c r="D406" s="5" t="str">
        <f>IFERROR(IF(Portafolio_Proyectos!$AR135="","",Portafolio_Proyectos!$C135),"")</f>
        <v/>
      </c>
      <c r="E406" s="5" t="str">
        <f>IFERROR(IF(Portafolio_Proyectos!$AR135="","",Portafolio_Proyectos!$B135),"")</f>
        <v/>
      </c>
      <c r="F406" s="5" t="str">
        <f>IFERROR(IF(Portafolio_Proyectos!$AR135="","",Portafolio_Proyectos!$D135),"")</f>
        <v/>
      </c>
      <c r="G406" s="5" t="str">
        <f>IFERROR(IF(Portafolio_Proyectos!$AR135="","",Portafolio_Proyectos!$A135),"")</f>
        <v/>
      </c>
      <c r="H406" s="5" t="str">
        <f>IFERROR(IF(Portafolio_Proyectos!$AR135="","",Portafolio_Proyectos!$E135),"")</f>
        <v/>
      </c>
    </row>
    <row r="407" spans="1:8" x14ac:dyDescent="0.35">
      <c r="A407" s="5" t="str">
        <f>IFERROR(IF(Portafolio_Proyectos!$AP136="","","CAP-"&amp;ROW()-1),"")</f>
        <v/>
      </c>
      <c r="B407" s="5" t="str">
        <f>IFERROR(IF(Portafolio_Proyectos!$AP136="","",Portafolio_Proyectos!$AP136),"")</f>
        <v/>
      </c>
      <c r="C407" s="5" t="str">
        <f>IFERROR(IF(Portafolio_Proyectos!$AP136="","","Emergente"),"")</f>
        <v/>
      </c>
      <c r="D407" s="5" t="str">
        <f>IFERROR(IF(Portafolio_Proyectos!$AP136="","",Portafolio_Proyectos!$C136),"")</f>
        <v/>
      </c>
      <c r="E407" s="5" t="str">
        <f>IFERROR(IF(Portafolio_Proyectos!$AP136="","",Portafolio_Proyectos!$B136),"")</f>
        <v/>
      </c>
      <c r="F407" s="5" t="str">
        <f>IFERROR(IF(Portafolio_Proyectos!$AP136="","",Portafolio_Proyectos!$D136),"")</f>
        <v/>
      </c>
      <c r="G407" s="5" t="str">
        <f>IFERROR(IF(Portafolio_Proyectos!$AP136="","",Portafolio_Proyectos!$A136),"")</f>
        <v/>
      </c>
      <c r="H407" s="5" t="str">
        <f>IFERROR(IF(Portafolio_Proyectos!$AP136="","",Portafolio_Proyectos!$E136),"")</f>
        <v/>
      </c>
    </row>
    <row r="408" spans="1:8" x14ac:dyDescent="0.35">
      <c r="A408" s="5" t="str">
        <f>IFERROR(IF(Portafolio_Proyectos!$AQ136="","","CAP-"&amp;ROW()-1),"")</f>
        <v/>
      </c>
      <c r="B408" s="5" t="str">
        <f>IFERROR(IF(Portafolio_Proyectos!$AQ136="","",Portafolio_Proyectos!$AQ136),"")</f>
        <v/>
      </c>
      <c r="C408" s="5" t="str">
        <f>IFERROR(IF(Portafolio_Proyectos!$AQ136="","","Consolidada"),"")</f>
        <v/>
      </c>
      <c r="D408" s="5" t="str">
        <f>IFERROR(IF(Portafolio_Proyectos!$AQ136="","",Portafolio_Proyectos!$C136),"")</f>
        <v/>
      </c>
      <c r="E408" s="5" t="str">
        <f>IFERROR(IF(Portafolio_Proyectos!$AQ136="","",Portafolio_Proyectos!$B136),"")</f>
        <v/>
      </c>
      <c r="F408" s="5" t="str">
        <f>IFERROR(IF(Portafolio_Proyectos!$AQ136="","",Portafolio_Proyectos!$D136),"")</f>
        <v/>
      </c>
      <c r="G408" s="5" t="str">
        <f>IFERROR(IF(Portafolio_Proyectos!$AQ136="","",Portafolio_Proyectos!$A136),"")</f>
        <v/>
      </c>
      <c r="H408" s="5" t="str">
        <f>IFERROR(IF(Portafolio_Proyectos!$AQ136="","",Portafolio_Proyectos!$E136),"")</f>
        <v/>
      </c>
    </row>
    <row r="409" spans="1:8" x14ac:dyDescent="0.35">
      <c r="A409" s="5" t="str">
        <f>IFERROR(IF(Portafolio_Proyectos!$AR136="","","CAP-"&amp;ROW()-1),"")</f>
        <v/>
      </c>
      <c r="B409" s="5" t="str">
        <f>IFERROR(IF(Portafolio_Proyectos!$AR136="","",Portafolio_Proyectos!$AR136),"")</f>
        <v/>
      </c>
      <c r="C409" s="5" t="str">
        <f>IFERROR(IF(Portafolio_Proyectos!$AR136="","","Distintiva"),"")</f>
        <v/>
      </c>
      <c r="D409" s="5" t="str">
        <f>IFERROR(IF(Portafolio_Proyectos!$AR136="","",Portafolio_Proyectos!$C136),"")</f>
        <v/>
      </c>
      <c r="E409" s="5" t="str">
        <f>IFERROR(IF(Portafolio_Proyectos!$AR136="","",Portafolio_Proyectos!$B136),"")</f>
        <v/>
      </c>
      <c r="F409" s="5" t="str">
        <f>IFERROR(IF(Portafolio_Proyectos!$AR136="","",Portafolio_Proyectos!$D136),"")</f>
        <v/>
      </c>
      <c r="G409" s="5" t="str">
        <f>IFERROR(IF(Portafolio_Proyectos!$AR136="","",Portafolio_Proyectos!$A136),"")</f>
        <v/>
      </c>
      <c r="H409" s="5" t="str">
        <f>IFERROR(IF(Portafolio_Proyectos!$AR136="","",Portafolio_Proyectos!$E136),"")</f>
        <v/>
      </c>
    </row>
    <row r="410" spans="1:8" x14ac:dyDescent="0.35">
      <c r="A410" s="5" t="str">
        <f>IFERROR(IF(Portafolio_Proyectos!$AP137="","","CAP-"&amp;ROW()-1),"")</f>
        <v/>
      </c>
      <c r="B410" s="5" t="str">
        <f>IFERROR(IF(Portafolio_Proyectos!$AP137="","",Portafolio_Proyectos!$AP137),"")</f>
        <v/>
      </c>
      <c r="C410" s="5" t="str">
        <f>IFERROR(IF(Portafolio_Proyectos!$AP137="","","Emergente"),"")</f>
        <v/>
      </c>
      <c r="D410" s="5" t="str">
        <f>IFERROR(IF(Portafolio_Proyectos!$AP137="","",Portafolio_Proyectos!$C137),"")</f>
        <v/>
      </c>
      <c r="E410" s="5" t="str">
        <f>IFERROR(IF(Portafolio_Proyectos!$AP137="","",Portafolio_Proyectos!$B137),"")</f>
        <v/>
      </c>
      <c r="F410" s="5" t="str">
        <f>IFERROR(IF(Portafolio_Proyectos!$AP137="","",Portafolio_Proyectos!$D137),"")</f>
        <v/>
      </c>
      <c r="G410" s="5" t="str">
        <f>IFERROR(IF(Portafolio_Proyectos!$AP137="","",Portafolio_Proyectos!$A137),"")</f>
        <v/>
      </c>
      <c r="H410" s="5" t="str">
        <f>IFERROR(IF(Portafolio_Proyectos!$AP137="","",Portafolio_Proyectos!$E137),"")</f>
        <v/>
      </c>
    </row>
    <row r="411" spans="1:8" x14ac:dyDescent="0.35">
      <c r="A411" s="5" t="str">
        <f>IFERROR(IF(Portafolio_Proyectos!$AQ137="","","CAP-"&amp;ROW()-1),"")</f>
        <v/>
      </c>
      <c r="B411" s="5" t="str">
        <f>IFERROR(IF(Portafolio_Proyectos!$AQ137="","",Portafolio_Proyectos!$AQ137),"")</f>
        <v/>
      </c>
      <c r="C411" s="5" t="str">
        <f>IFERROR(IF(Portafolio_Proyectos!$AQ137="","","Consolidada"),"")</f>
        <v/>
      </c>
      <c r="D411" s="5" t="str">
        <f>IFERROR(IF(Portafolio_Proyectos!$AQ137="","",Portafolio_Proyectos!$C137),"")</f>
        <v/>
      </c>
      <c r="E411" s="5" t="str">
        <f>IFERROR(IF(Portafolio_Proyectos!$AQ137="","",Portafolio_Proyectos!$B137),"")</f>
        <v/>
      </c>
      <c r="F411" s="5" t="str">
        <f>IFERROR(IF(Portafolio_Proyectos!$AQ137="","",Portafolio_Proyectos!$D137),"")</f>
        <v/>
      </c>
      <c r="G411" s="5" t="str">
        <f>IFERROR(IF(Portafolio_Proyectos!$AQ137="","",Portafolio_Proyectos!$A137),"")</f>
        <v/>
      </c>
      <c r="H411" s="5" t="str">
        <f>IFERROR(IF(Portafolio_Proyectos!$AQ137="","",Portafolio_Proyectos!$E137),"")</f>
        <v/>
      </c>
    </row>
    <row r="412" spans="1:8" x14ac:dyDescent="0.35">
      <c r="A412" s="5" t="str">
        <f>IFERROR(IF(Portafolio_Proyectos!$AR137="","","CAP-"&amp;ROW()-1),"")</f>
        <v/>
      </c>
      <c r="B412" s="5" t="str">
        <f>IFERROR(IF(Portafolio_Proyectos!$AR137="","",Portafolio_Proyectos!$AR137),"")</f>
        <v/>
      </c>
      <c r="C412" s="5" t="str">
        <f>IFERROR(IF(Portafolio_Proyectos!$AR137="","","Distintiva"),"")</f>
        <v/>
      </c>
      <c r="D412" s="5" t="str">
        <f>IFERROR(IF(Portafolio_Proyectos!$AR137="","",Portafolio_Proyectos!$C137),"")</f>
        <v/>
      </c>
      <c r="E412" s="5" t="str">
        <f>IFERROR(IF(Portafolio_Proyectos!$AR137="","",Portafolio_Proyectos!$B137),"")</f>
        <v/>
      </c>
      <c r="F412" s="5" t="str">
        <f>IFERROR(IF(Portafolio_Proyectos!$AR137="","",Portafolio_Proyectos!$D137),"")</f>
        <v/>
      </c>
      <c r="G412" s="5" t="str">
        <f>IFERROR(IF(Portafolio_Proyectos!$AR137="","",Portafolio_Proyectos!$A137),"")</f>
        <v/>
      </c>
      <c r="H412" s="5" t="str">
        <f>IFERROR(IF(Portafolio_Proyectos!$AR137="","",Portafolio_Proyectos!$E137),"")</f>
        <v/>
      </c>
    </row>
    <row r="413" spans="1:8" x14ac:dyDescent="0.35">
      <c r="A413" s="5" t="str">
        <f>IFERROR(IF(Portafolio_Proyectos!$AP138="","","CAP-"&amp;ROW()-1),"")</f>
        <v/>
      </c>
      <c r="B413" s="5" t="str">
        <f>IFERROR(IF(Portafolio_Proyectos!$AP138="","",Portafolio_Proyectos!$AP138),"")</f>
        <v/>
      </c>
      <c r="C413" s="5" t="str">
        <f>IFERROR(IF(Portafolio_Proyectos!$AP138="","","Emergente"),"")</f>
        <v/>
      </c>
      <c r="D413" s="5" t="str">
        <f>IFERROR(IF(Portafolio_Proyectos!$AP138="","",Portafolio_Proyectos!$C138),"")</f>
        <v/>
      </c>
      <c r="E413" s="5" t="str">
        <f>IFERROR(IF(Portafolio_Proyectos!$AP138="","",Portafolio_Proyectos!$B138),"")</f>
        <v/>
      </c>
      <c r="F413" s="5" t="str">
        <f>IFERROR(IF(Portafolio_Proyectos!$AP138="","",Portafolio_Proyectos!$D138),"")</f>
        <v/>
      </c>
      <c r="G413" s="5" t="str">
        <f>IFERROR(IF(Portafolio_Proyectos!$AP138="","",Portafolio_Proyectos!$A138),"")</f>
        <v/>
      </c>
      <c r="H413" s="5" t="str">
        <f>IFERROR(IF(Portafolio_Proyectos!$AP138="","",Portafolio_Proyectos!$E138),"")</f>
        <v/>
      </c>
    </row>
    <row r="414" spans="1:8" x14ac:dyDescent="0.35">
      <c r="A414" s="5" t="str">
        <f>IFERROR(IF(Portafolio_Proyectos!$AQ138="","","CAP-"&amp;ROW()-1),"")</f>
        <v/>
      </c>
      <c r="B414" s="5" t="str">
        <f>IFERROR(IF(Portafolio_Proyectos!$AQ138="","",Portafolio_Proyectos!$AQ138),"")</f>
        <v/>
      </c>
      <c r="C414" s="5" t="str">
        <f>IFERROR(IF(Portafolio_Proyectos!$AQ138="","","Consolidada"),"")</f>
        <v/>
      </c>
      <c r="D414" s="5" t="str">
        <f>IFERROR(IF(Portafolio_Proyectos!$AQ138="","",Portafolio_Proyectos!$C138),"")</f>
        <v/>
      </c>
      <c r="E414" s="5" t="str">
        <f>IFERROR(IF(Portafolio_Proyectos!$AQ138="","",Portafolio_Proyectos!$B138),"")</f>
        <v/>
      </c>
      <c r="F414" s="5" t="str">
        <f>IFERROR(IF(Portafolio_Proyectos!$AQ138="","",Portafolio_Proyectos!$D138),"")</f>
        <v/>
      </c>
      <c r="G414" s="5" t="str">
        <f>IFERROR(IF(Portafolio_Proyectos!$AQ138="","",Portafolio_Proyectos!$A138),"")</f>
        <v/>
      </c>
      <c r="H414" s="5" t="str">
        <f>IFERROR(IF(Portafolio_Proyectos!$AQ138="","",Portafolio_Proyectos!$E138),"")</f>
        <v/>
      </c>
    </row>
    <row r="415" spans="1:8" x14ac:dyDescent="0.35">
      <c r="A415" s="5" t="str">
        <f>IFERROR(IF(Portafolio_Proyectos!$AR138="","","CAP-"&amp;ROW()-1),"")</f>
        <v/>
      </c>
      <c r="B415" s="5" t="str">
        <f>IFERROR(IF(Portafolio_Proyectos!$AR138="","",Portafolio_Proyectos!$AR138),"")</f>
        <v/>
      </c>
      <c r="C415" s="5" t="str">
        <f>IFERROR(IF(Portafolio_Proyectos!$AR138="","","Distintiva"),"")</f>
        <v/>
      </c>
      <c r="D415" s="5" t="str">
        <f>IFERROR(IF(Portafolio_Proyectos!$AR138="","",Portafolio_Proyectos!$C138),"")</f>
        <v/>
      </c>
      <c r="E415" s="5" t="str">
        <f>IFERROR(IF(Portafolio_Proyectos!$AR138="","",Portafolio_Proyectos!$B138),"")</f>
        <v/>
      </c>
      <c r="F415" s="5" t="str">
        <f>IFERROR(IF(Portafolio_Proyectos!$AR138="","",Portafolio_Proyectos!$D138),"")</f>
        <v/>
      </c>
      <c r="G415" s="5" t="str">
        <f>IFERROR(IF(Portafolio_Proyectos!$AR138="","",Portafolio_Proyectos!$A138),"")</f>
        <v/>
      </c>
      <c r="H415" s="5" t="str">
        <f>IFERROR(IF(Portafolio_Proyectos!$AR138="","",Portafolio_Proyectos!$E138),"")</f>
        <v/>
      </c>
    </row>
    <row r="416" spans="1:8" x14ac:dyDescent="0.35">
      <c r="A416" s="5" t="str">
        <f>IFERROR(IF(Portafolio_Proyectos!$AP139="","","CAP-"&amp;ROW()-1),"")</f>
        <v/>
      </c>
      <c r="B416" s="5" t="str">
        <f>IFERROR(IF(Portafolio_Proyectos!$AP139="","",Portafolio_Proyectos!$AP139),"")</f>
        <v/>
      </c>
      <c r="C416" s="5" t="str">
        <f>IFERROR(IF(Portafolio_Proyectos!$AP139="","","Emergente"),"")</f>
        <v/>
      </c>
      <c r="D416" s="5" t="str">
        <f>IFERROR(IF(Portafolio_Proyectos!$AP139="","",Portafolio_Proyectos!$C139),"")</f>
        <v/>
      </c>
      <c r="E416" s="5" t="str">
        <f>IFERROR(IF(Portafolio_Proyectos!$AP139="","",Portafolio_Proyectos!$B139),"")</f>
        <v/>
      </c>
      <c r="F416" s="5" t="str">
        <f>IFERROR(IF(Portafolio_Proyectos!$AP139="","",Portafolio_Proyectos!$D139),"")</f>
        <v/>
      </c>
      <c r="G416" s="5" t="str">
        <f>IFERROR(IF(Portafolio_Proyectos!$AP139="","",Portafolio_Proyectos!$A139),"")</f>
        <v/>
      </c>
      <c r="H416" s="5" t="str">
        <f>IFERROR(IF(Portafolio_Proyectos!$AP139="","",Portafolio_Proyectos!$E139),"")</f>
        <v/>
      </c>
    </row>
    <row r="417" spans="1:8" x14ac:dyDescent="0.35">
      <c r="A417" s="5" t="str">
        <f>IFERROR(IF(Portafolio_Proyectos!$AQ139="","","CAP-"&amp;ROW()-1),"")</f>
        <v/>
      </c>
      <c r="B417" s="5" t="str">
        <f>IFERROR(IF(Portafolio_Proyectos!$AQ139="","",Portafolio_Proyectos!$AQ139),"")</f>
        <v/>
      </c>
      <c r="C417" s="5" t="str">
        <f>IFERROR(IF(Portafolio_Proyectos!$AQ139="","","Consolidada"),"")</f>
        <v/>
      </c>
      <c r="D417" s="5" t="str">
        <f>IFERROR(IF(Portafolio_Proyectos!$AQ139="","",Portafolio_Proyectos!$C139),"")</f>
        <v/>
      </c>
      <c r="E417" s="5" t="str">
        <f>IFERROR(IF(Portafolio_Proyectos!$AQ139="","",Portafolio_Proyectos!$B139),"")</f>
        <v/>
      </c>
      <c r="F417" s="5" t="str">
        <f>IFERROR(IF(Portafolio_Proyectos!$AQ139="","",Portafolio_Proyectos!$D139),"")</f>
        <v/>
      </c>
      <c r="G417" s="5" t="str">
        <f>IFERROR(IF(Portafolio_Proyectos!$AQ139="","",Portafolio_Proyectos!$A139),"")</f>
        <v/>
      </c>
      <c r="H417" s="5" t="str">
        <f>IFERROR(IF(Portafolio_Proyectos!$AQ139="","",Portafolio_Proyectos!$E139),"")</f>
        <v/>
      </c>
    </row>
    <row r="418" spans="1:8" x14ac:dyDescent="0.35">
      <c r="A418" s="5" t="str">
        <f>IFERROR(IF(Portafolio_Proyectos!$AR139="","","CAP-"&amp;ROW()-1),"")</f>
        <v/>
      </c>
      <c r="B418" s="5" t="str">
        <f>IFERROR(IF(Portafolio_Proyectos!$AR139="","",Portafolio_Proyectos!$AR139),"")</f>
        <v/>
      </c>
      <c r="C418" s="5" t="str">
        <f>IFERROR(IF(Portafolio_Proyectos!$AR139="","","Distintiva"),"")</f>
        <v/>
      </c>
      <c r="D418" s="5" t="str">
        <f>IFERROR(IF(Portafolio_Proyectos!$AR139="","",Portafolio_Proyectos!$C139),"")</f>
        <v/>
      </c>
      <c r="E418" s="5" t="str">
        <f>IFERROR(IF(Portafolio_Proyectos!$AR139="","",Portafolio_Proyectos!$B139),"")</f>
        <v/>
      </c>
      <c r="F418" s="5" t="str">
        <f>IFERROR(IF(Portafolio_Proyectos!$AR139="","",Portafolio_Proyectos!$D139),"")</f>
        <v/>
      </c>
      <c r="G418" s="5" t="str">
        <f>IFERROR(IF(Portafolio_Proyectos!$AR139="","",Portafolio_Proyectos!$A139),"")</f>
        <v/>
      </c>
      <c r="H418" s="5" t="str">
        <f>IFERROR(IF(Portafolio_Proyectos!$AR139="","",Portafolio_Proyectos!$E139),"")</f>
        <v/>
      </c>
    </row>
    <row r="419" spans="1:8" x14ac:dyDescent="0.35">
      <c r="A419" s="5" t="str">
        <f>IFERROR(IF(Portafolio_Proyectos!$AP140="","","CAP-"&amp;ROW()-1),"")</f>
        <v/>
      </c>
      <c r="B419" s="5" t="str">
        <f>IFERROR(IF(Portafolio_Proyectos!$AP140="","",Portafolio_Proyectos!$AP140),"")</f>
        <v/>
      </c>
      <c r="C419" s="5" t="str">
        <f>IFERROR(IF(Portafolio_Proyectos!$AP140="","","Emergente"),"")</f>
        <v/>
      </c>
      <c r="D419" s="5" t="str">
        <f>IFERROR(IF(Portafolio_Proyectos!$AP140="","",Portafolio_Proyectos!$C140),"")</f>
        <v/>
      </c>
      <c r="E419" s="5" t="str">
        <f>IFERROR(IF(Portafolio_Proyectos!$AP140="","",Portafolio_Proyectos!$B140),"")</f>
        <v/>
      </c>
      <c r="F419" s="5" t="str">
        <f>IFERROR(IF(Portafolio_Proyectos!$AP140="","",Portafolio_Proyectos!$D140),"")</f>
        <v/>
      </c>
      <c r="G419" s="5" t="str">
        <f>IFERROR(IF(Portafolio_Proyectos!$AP140="","",Portafolio_Proyectos!$A140),"")</f>
        <v/>
      </c>
      <c r="H419" s="5" t="str">
        <f>IFERROR(IF(Portafolio_Proyectos!$AP140="","",Portafolio_Proyectos!$E140),"")</f>
        <v/>
      </c>
    </row>
    <row r="420" spans="1:8" x14ac:dyDescent="0.35">
      <c r="A420" s="5" t="str">
        <f>IFERROR(IF(Portafolio_Proyectos!$AQ140="","","CAP-"&amp;ROW()-1),"")</f>
        <v/>
      </c>
      <c r="B420" s="5" t="str">
        <f>IFERROR(IF(Portafolio_Proyectos!$AQ140="","",Portafolio_Proyectos!$AQ140),"")</f>
        <v/>
      </c>
      <c r="C420" s="5" t="str">
        <f>IFERROR(IF(Portafolio_Proyectos!$AQ140="","","Consolidada"),"")</f>
        <v/>
      </c>
      <c r="D420" s="5" t="str">
        <f>IFERROR(IF(Portafolio_Proyectos!$AQ140="","",Portafolio_Proyectos!$C140),"")</f>
        <v/>
      </c>
      <c r="E420" s="5" t="str">
        <f>IFERROR(IF(Portafolio_Proyectos!$AQ140="","",Portafolio_Proyectos!$B140),"")</f>
        <v/>
      </c>
      <c r="F420" s="5" t="str">
        <f>IFERROR(IF(Portafolio_Proyectos!$AQ140="","",Portafolio_Proyectos!$D140),"")</f>
        <v/>
      </c>
      <c r="G420" s="5" t="str">
        <f>IFERROR(IF(Portafolio_Proyectos!$AQ140="","",Portafolio_Proyectos!$A140),"")</f>
        <v/>
      </c>
      <c r="H420" s="5" t="str">
        <f>IFERROR(IF(Portafolio_Proyectos!$AQ140="","",Portafolio_Proyectos!$E140),"")</f>
        <v/>
      </c>
    </row>
    <row r="421" spans="1:8" x14ac:dyDescent="0.35">
      <c r="A421" s="5" t="str">
        <f>IFERROR(IF(Portafolio_Proyectos!$AR140="","","CAP-"&amp;ROW()-1),"")</f>
        <v/>
      </c>
      <c r="B421" s="5" t="str">
        <f>IFERROR(IF(Portafolio_Proyectos!$AR140="","",Portafolio_Proyectos!$AR140),"")</f>
        <v/>
      </c>
      <c r="C421" s="5" t="str">
        <f>IFERROR(IF(Portafolio_Proyectos!$AR140="","","Distintiva"),"")</f>
        <v/>
      </c>
      <c r="D421" s="5" t="str">
        <f>IFERROR(IF(Portafolio_Proyectos!$AR140="","",Portafolio_Proyectos!$C140),"")</f>
        <v/>
      </c>
      <c r="E421" s="5" t="str">
        <f>IFERROR(IF(Portafolio_Proyectos!$AR140="","",Portafolio_Proyectos!$B140),"")</f>
        <v/>
      </c>
      <c r="F421" s="5" t="str">
        <f>IFERROR(IF(Portafolio_Proyectos!$AR140="","",Portafolio_Proyectos!$D140),"")</f>
        <v/>
      </c>
      <c r="G421" s="5" t="str">
        <f>IFERROR(IF(Portafolio_Proyectos!$AR140="","",Portafolio_Proyectos!$A140),"")</f>
        <v/>
      </c>
      <c r="H421" s="5" t="str">
        <f>IFERROR(IF(Portafolio_Proyectos!$AR140="","",Portafolio_Proyectos!$E140),"")</f>
        <v/>
      </c>
    </row>
    <row r="422" spans="1:8" x14ac:dyDescent="0.35">
      <c r="A422" s="5" t="str">
        <f>IFERROR(IF(Portafolio_Proyectos!$AP141="","","CAP-"&amp;ROW()-1),"")</f>
        <v/>
      </c>
      <c r="B422" s="5" t="str">
        <f>IFERROR(IF(Portafolio_Proyectos!$AP141="","",Portafolio_Proyectos!$AP141),"")</f>
        <v/>
      </c>
      <c r="C422" s="5" t="str">
        <f>IFERROR(IF(Portafolio_Proyectos!$AP141="","","Emergente"),"")</f>
        <v/>
      </c>
      <c r="D422" s="5" t="str">
        <f>IFERROR(IF(Portafolio_Proyectos!$AP141="","",Portafolio_Proyectos!$C141),"")</f>
        <v/>
      </c>
      <c r="E422" s="5" t="str">
        <f>IFERROR(IF(Portafolio_Proyectos!$AP141="","",Portafolio_Proyectos!$B141),"")</f>
        <v/>
      </c>
      <c r="F422" s="5" t="str">
        <f>IFERROR(IF(Portafolio_Proyectos!$AP141="","",Portafolio_Proyectos!$D141),"")</f>
        <v/>
      </c>
      <c r="G422" s="5" t="str">
        <f>IFERROR(IF(Portafolio_Proyectos!$AP141="","",Portafolio_Proyectos!$A141),"")</f>
        <v/>
      </c>
      <c r="H422" s="5" t="str">
        <f>IFERROR(IF(Portafolio_Proyectos!$AP141="","",Portafolio_Proyectos!$E141),"")</f>
        <v/>
      </c>
    </row>
    <row r="423" spans="1:8" x14ac:dyDescent="0.35">
      <c r="A423" s="5" t="str">
        <f>IFERROR(IF(Portafolio_Proyectos!$AQ141="","","CAP-"&amp;ROW()-1),"")</f>
        <v/>
      </c>
      <c r="B423" s="5" t="str">
        <f>IFERROR(IF(Portafolio_Proyectos!$AQ141="","",Portafolio_Proyectos!$AQ141),"")</f>
        <v/>
      </c>
      <c r="C423" s="5" t="str">
        <f>IFERROR(IF(Portafolio_Proyectos!$AQ141="","","Consolidada"),"")</f>
        <v/>
      </c>
      <c r="D423" s="5" t="str">
        <f>IFERROR(IF(Portafolio_Proyectos!$AQ141="","",Portafolio_Proyectos!$C141),"")</f>
        <v/>
      </c>
      <c r="E423" s="5" t="str">
        <f>IFERROR(IF(Portafolio_Proyectos!$AQ141="","",Portafolio_Proyectos!$B141),"")</f>
        <v/>
      </c>
      <c r="F423" s="5" t="str">
        <f>IFERROR(IF(Portafolio_Proyectos!$AQ141="","",Portafolio_Proyectos!$D141),"")</f>
        <v/>
      </c>
      <c r="G423" s="5" t="str">
        <f>IFERROR(IF(Portafolio_Proyectos!$AQ141="","",Portafolio_Proyectos!$A141),"")</f>
        <v/>
      </c>
      <c r="H423" s="5" t="str">
        <f>IFERROR(IF(Portafolio_Proyectos!$AQ141="","",Portafolio_Proyectos!$E141),"")</f>
        <v/>
      </c>
    </row>
    <row r="424" spans="1:8" x14ac:dyDescent="0.35">
      <c r="A424" s="5" t="str">
        <f>IFERROR(IF(Portafolio_Proyectos!$AR141="","","CAP-"&amp;ROW()-1),"")</f>
        <v/>
      </c>
      <c r="B424" s="5" t="str">
        <f>IFERROR(IF(Portafolio_Proyectos!$AR141="","",Portafolio_Proyectos!$AR141),"")</f>
        <v/>
      </c>
      <c r="C424" s="5" t="str">
        <f>IFERROR(IF(Portafolio_Proyectos!$AR141="","","Distintiva"),"")</f>
        <v/>
      </c>
      <c r="D424" s="5" t="str">
        <f>IFERROR(IF(Portafolio_Proyectos!$AR141="","",Portafolio_Proyectos!$C141),"")</f>
        <v/>
      </c>
      <c r="E424" s="5" t="str">
        <f>IFERROR(IF(Portafolio_Proyectos!$AR141="","",Portafolio_Proyectos!$B141),"")</f>
        <v/>
      </c>
      <c r="F424" s="5" t="str">
        <f>IFERROR(IF(Portafolio_Proyectos!$AR141="","",Portafolio_Proyectos!$D141),"")</f>
        <v/>
      </c>
      <c r="G424" s="5" t="str">
        <f>IFERROR(IF(Portafolio_Proyectos!$AR141="","",Portafolio_Proyectos!$A141),"")</f>
        <v/>
      </c>
      <c r="H424" s="5" t="str">
        <f>IFERROR(IF(Portafolio_Proyectos!$AR141="","",Portafolio_Proyectos!$E141),"")</f>
        <v/>
      </c>
    </row>
    <row r="425" spans="1:8" x14ac:dyDescent="0.35">
      <c r="A425" s="5" t="str">
        <f>IFERROR(IF(Portafolio_Proyectos!$AP142="","","CAP-"&amp;ROW()-1),"")</f>
        <v/>
      </c>
      <c r="B425" s="5" t="str">
        <f>IFERROR(IF(Portafolio_Proyectos!$AP142="","",Portafolio_Proyectos!$AP142),"")</f>
        <v/>
      </c>
      <c r="C425" s="5" t="str">
        <f>IFERROR(IF(Portafolio_Proyectos!$AP142="","","Emergente"),"")</f>
        <v/>
      </c>
      <c r="D425" s="5" t="str">
        <f>IFERROR(IF(Portafolio_Proyectos!$AP142="","",Portafolio_Proyectos!$C142),"")</f>
        <v/>
      </c>
      <c r="E425" s="5" t="str">
        <f>IFERROR(IF(Portafolio_Proyectos!$AP142="","",Portafolio_Proyectos!$B142),"")</f>
        <v/>
      </c>
      <c r="F425" s="5" t="str">
        <f>IFERROR(IF(Portafolio_Proyectos!$AP142="","",Portafolio_Proyectos!$D142),"")</f>
        <v/>
      </c>
      <c r="G425" s="5" t="str">
        <f>IFERROR(IF(Portafolio_Proyectos!$AP142="","",Portafolio_Proyectos!$A142),"")</f>
        <v/>
      </c>
      <c r="H425" s="5" t="str">
        <f>IFERROR(IF(Portafolio_Proyectos!$AP142="","",Portafolio_Proyectos!$E142),"")</f>
        <v/>
      </c>
    </row>
    <row r="426" spans="1:8" x14ac:dyDescent="0.35">
      <c r="A426" s="5" t="str">
        <f>IFERROR(IF(Portafolio_Proyectos!$AQ142="","","CAP-"&amp;ROW()-1),"")</f>
        <v/>
      </c>
      <c r="B426" s="5" t="str">
        <f>IFERROR(IF(Portafolio_Proyectos!$AQ142="","",Portafolio_Proyectos!$AQ142),"")</f>
        <v/>
      </c>
      <c r="C426" s="5" t="str">
        <f>IFERROR(IF(Portafolio_Proyectos!$AQ142="","","Consolidada"),"")</f>
        <v/>
      </c>
      <c r="D426" s="5" t="str">
        <f>IFERROR(IF(Portafolio_Proyectos!$AQ142="","",Portafolio_Proyectos!$C142),"")</f>
        <v/>
      </c>
      <c r="E426" s="5" t="str">
        <f>IFERROR(IF(Portafolio_Proyectos!$AQ142="","",Portafolio_Proyectos!$B142),"")</f>
        <v/>
      </c>
      <c r="F426" s="5" t="str">
        <f>IFERROR(IF(Portafolio_Proyectos!$AQ142="","",Portafolio_Proyectos!$D142),"")</f>
        <v/>
      </c>
      <c r="G426" s="5" t="str">
        <f>IFERROR(IF(Portafolio_Proyectos!$AQ142="","",Portafolio_Proyectos!$A142),"")</f>
        <v/>
      </c>
      <c r="H426" s="5" t="str">
        <f>IFERROR(IF(Portafolio_Proyectos!$AQ142="","",Portafolio_Proyectos!$E142),"")</f>
        <v/>
      </c>
    </row>
    <row r="427" spans="1:8" x14ac:dyDescent="0.35">
      <c r="A427" s="5" t="str">
        <f>IFERROR(IF(Portafolio_Proyectos!$AR142="","","CAP-"&amp;ROW()-1),"")</f>
        <v/>
      </c>
      <c r="B427" s="5" t="str">
        <f>IFERROR(IF(Portafolio_Proyectos!$AR142="","",Portafolio_Proyectos!$AR142),"")</f>
        <v/>
      </c>
      <c r="C427" s="5" t="str">
        <f>IFERROR(IF(Portafolio_Proyectos!$AR142="","","Distintiva"),"")</f>
        <v/>
      </c>
      <c r="D427" s="5" t="str">
        <f>IFERROR(IF(Portafolio_Proyectos!$AR142="","",Portafolio_Proyectos!$C142),"")</f>
        <v/>
      </c>
      <c r="E427" s="5" t="str">
        <f>IFERROR(IF(Portafolio_Proyectos!$AR142="","",Portafolio_Proyectos!$B142),"")</f>
        <v/>
      </c>
      <c r="F427" s="5" t="str">
        <f>IFERROR(IF(Portafolio_Proyectos!$AR142="","",Portafolio_Proyectos!$D142),"")</f>
        <v/>
      </c>
      <c r="G427" s="5" t="str">
        <f>IFERROR(IF(Portafolio_Proyectos!$AR142="","",Portafolio_Proyectos!$A142),"")</f>
        <v/>
      </c>
      <c r="H427" s="5" t="str">
        <f>IFERROR(IF(Portafolio_Proyectos!$AR142="","",Portafolio_Proyectos!$E142),"")</f>
        <v/>
      </c>
    </row>
    <row r="428" spans="1:8" x14ac:dyDescent="0.35">
      <c r="A428" s="5" t="str">
        <f>IFERROR(IF(Portafolio_Proyectos!$AP143="","","CAP-"&amp;ROW()-1),"")</f>
        <v/>
      </c>
      <c r="B428" s="5" t="str">
        <f>IFERROR(IF(Portafolio_Proyectos!$AP143="","",Portafolio_Proyectos!$AP143),"")</f>
        <v/>
      </c>
      <c r="C428" s="5" t="str">
        <f>IFERROR(IF(Portafolio_Proyectos!$AP143="","","Emergente"),"")</f>
        <v/>
      </c>
      <c r="D428" s="5" t="str">
        <f>IFERROR(IF(Portafolio_Proyectos!$AP143="","",Portafolio_Proyectos!$C143),"")</f>
        <v/>
      </c>
      <c r="E428" s="5" t="str">
        <f>IFERROR(IF(Portafolio_Proyectos!$AP143="","",Portafolio_Proyectos!$B143),"")</f>
        <v/>
      </c>
      <c r="F428" s="5" t="str">
        <f>IFERROR(IF(Portafolio_Proyectos!$AP143="","",Portafolio_Proyectos!$D143),"")</f>
        <v/>
      </c>
      <c r="G428" s="5" t="str">
        <f>IFERROR(IF(Portafolio_Proyectos!$AP143="","",Portafolio_Proyectos!$A143),"")</f>
        <v/>
      </c>
      <c r="H428" s="5" t="str">
        <f>IFERROR(IF(Portafolio_Proyectos!$AP143="","",Portafolio_Proyectos!$E143),"")</f>
        <v/>
      </c>
    </row>
    <row r="429" spans="1:8" x14ac:dyDescent="0.35">
      <c r="A429" s="5" t="str">
        <f>IFERROR(IF(Portafolio_Proyectos!$AQ143="","","CAP-"&amp;ROW()-1),"")</f>
        <v/>
      </c>
      <c r="B429" s="5" t="str">
        <f>IFERROR(IF(Portafolio_Proyectos!$AQ143="","",Portafolio_Proyectos!$AQ143),"")</f>
        <v/>
      </c>
      <c r="C429" s="5" t="str">
        <f>IFERROR(IF(Portafolio_Proyectos!$AQ143="","","Consolidada"),"")</f>
        <v/>
      </c>
      <c r="D429" s="5" t="str">
        <f>IFERROR(IF(Portafolio_Proyectos!$AQ143="","",Portafolio_Proyectos!$C143),"")</f>
        <v/>
      </c>
      <c r="E429" s="5" t="str">
        <f>IFERROR(IF(Portafolio_Proyectos!$AQ143="","",Portafolio_Proyectos!$B143),"")</f>
        <v/>
      </c>
      <c r="F429" s="5" t="str">
        <f>IFERROR(IF(Portafolio_Proyectos!$AQ143="","",Portafolio_Proyectos!$D143),"")</f>
        <v/>
      </c>
      <c r="G429" s="5" t="str">
        <f>IFERROR(IF(Portafolio_Proyectos!$AQ143="","",Portafolio_Proyectos!$A143),"")</f>
        <v/>
      </c>
      <c r="H429" s="5" t="str">
        <f>IFERROR(IF(Portafolio_Proyectos!$AQ143="","",Portafolio_Proyectos!$E143),"")</f>
        <v/>
      </c>
    </row>
    <row r="430" spans="1:8" x14ac:dyDescent="0.35">
      <c r="A430" s="5" t="str">
        <f>IFERROR(IF(Portafolio_Proyectos!$AR143="","","CAP-"&amp;ROW()-1),"")</f>
        <v/>
      </c>
      <c r="B430" s="5" t="str">
        <f>IFERROR(IF(Portafolio_Proyectos!$AR143="","",Portafolio_Proyectos!$AR143),"")</f>
        <v/>
      </c>
      <c r="C430" s="5" t="str">
        <f>IFERROR(IF(Portafolio_Proyectos!$AR143="","","Distintiva"),"")</f>
        <v/>
      </c>
      <c r="D430" s="5" t="str">
        <f>IFERROR(IF(Portafolio_Proyectos!$AR143="","",Portafolio_Proyectos!$C143),"")</f>
        <v/>
      </c>
      <c r="E430" s="5" t="str">
        <f>IFERROR(IF(Portafolio_Proyectos!$AR143="","",Portafolio_Proyectos!$B143),"")</f>
        <v/>
      </c>
      <c r="F430" s="5" t="str">
        <f>IFERROR(IF(Portafolio_Proyectos!$AR143="","",Portafolio_Proyectos!$D143),"")</f>
        <v/>
      </c>
      <c r="G430" s="5" t="str">
        <f>IFERROR(IF(Portafolio_Proyectos!$AR143="","",Portafolio_Proyectos!$A143),"")</f>
        <v/>
      </c>
      <c r="H430" s="5" t="str">
        <f>IFERROR(IF(Portafolio_Proyectos!$AR143="","",Portafolio_Proyectos!$E143),"")</f>
        <v/>
      </c>
    </row>
    <row r="431" spans="1:8" x14ac:dyDescent="0.35">
      <c r="A431" s="5" t="str">
        <f>IFERROR(IF(Portafolio_Proyectos!$AP144="","","CAP-"&amp;ROW()-1),"")</f>
        <v/>
      </c>
      <c r="B431" s="5" t="str">
        <f>IFERROR(IF(Portafolio_Proyectos!$AP144="","",Portafolio_Proyectos!$AP144),"")</f>
        <v/>
      </c>
      <c r="C431" s="5" t="str">
        <f>IFERROR(IF(Portafolio_Proyectos!$AP144="","","Emergente"),"")</f>
        <v/>
      </c>
      <c r="D431" s="5" t="str">
        <f>IFERROR(IF(Portafolio_Proyectos!$AP144="","",Portafolio_Proyectos!$C144),"")</f>
        <v/>
      </c>
      <c r="E431" s="5" t="str">
        <f>IFERROR(IF(Portafolio_Proyectos!$AP144="","",Portafolio_Proyectos!$B144),"")</f>
        <v/>
      </c>
      <c r="F431" s="5" t="str">
        <f>IFERROR(IF(Portafolio_Proyectos!$AP144="","",Portafolio_Proyectos!$D144),"")</f>
        <v/>
      </c>
      <c r="G431" s="5" t="str">
        <f>IFERROR(IF(Portafolio_Proyectos!$AP144="","",Portafolio_Proyectos!$A144),"")</f>
        <v/>
      </c>
      <c r="H431" s="5" t="str">
        <f>IFERROR(IF(Portafolio_Proyectos!$AP144="","",Portafolio_Proyectos!$E144),"")</f>
        <v/>
      </c>
    </row>
    <row r="432" spans="1:8" x14ac:dyDescent="0.35">
      <c r="A432" s="5" t="str">
        <f>IFERROR(IF(Portafolio_Proyectos!$AQ144="","","CAP-"&amp;ROW()-1),"")</f>
        <v/>
      </c>
      <c r="B432" s="5" t="str">
        <f>IFERROR(IF(Portafolio_Proyectos!$AQ144="","",Portafolio_Proyectos!$AQ144),"")</f>
        <v/>
      </c>
      <c r="C432" s="5" t="str">
        <f>IFERROR(IF(Portafolio_Proyectos!$AQ144="","","Consolidada"),"")</f>
        <v/>
      </c>
      <c r="D432" s="5" t="str">
        <f>IFERROR(IF(Portafolio_Proyectos!$AQ144="","",Portafolio_Proyectos!$C144),"")</f>
        <v/>
      </c>
      <c r="E432" s="5" t="str">
        <f>IFERROR(IF(Portafolio_Proyectos!$AQ144="","",Portafolio_Proyectos!$B144),"")</f>
        <v/>
      </c>
      <c r="F432" s="5" t="str">
        <f>IFERROR(IF(Portafolio_Proyectos!$AQ144="","",Portafolio_Proyectos!$D144),"")</f>
        <v/>
      </c>
      <c r="G432" s="5" t="str">
        <f>IFERROR(IF(Portafolio_Proyectos!$AQ144="","",Portafolio_Proyectos!$A144),"")</f>
        <v/>
      </c>
      <c r="H432" s="5" t="str">
        <f>IFERROR(IF(Portafolio_Proyectos!$AQ144="","",Portafolio_Proyectos!$E144),"")</f>
        <v/>
      </c>
    </row>
    <row r="433" spans="1:8" x14ac:dyDescent="0.35">
      <c r="A433" s="5" t="str">
        <f>IFERROR(IF(Portafolio_Proyectos!$AR144="","","CAP-"&amp;ROW()-1),"")</f>
        <v/>
      </c>
      <c r="B433" s="5" t="str">
        <f>IFERROR(IF(Portafolio_Proyectos!$AR144="","",Portafolio_Proyectos!$AR144),"")</f>
        <v/>
      </c>
      <c r="C433" s="5" t="str">
        <f>IFERROR(IF(Portafolio_Proyectos!$AR144="","","Distintiva"),"")</f>
        <v/>
      </c>
      <c r="D433" s="5" t="str">
        <f>IFERROR(IF(Portafolio_Proyectos!$AR144="","",Portafolio_Proyectos!$C144),"")</f>
        <v/>
      </c>
      <c r="E433" s="5" t="str">
        <f>IFERROR(IF(Portafolio_Proyectos!$AR144="","",Portafolio_Proyectos!$B144),"")</f>
        <v/>
      </c>
      <c r="F433" s="5" t="str">
        <f>IFERROR(IF(Portafolio_Proyectos!$AR144="","",Portafolio_Proyectos!$D144),"")</f>
        <v/>
      </c>
      <c r="G433" s="5" t="str">
        <f>IFERROR(IF(Portafolio_Proyectos!$AR144="","",Portafolio_Proyectos!$A144),"")</f>
        <v/>
      </c>
      <c r="H433" s="5" t="str">
        <f>IFERROR(IF(Portafolio_Proyectos!$AR144="","",Portafolio_Proyectos!$E144),"")</f>
        <v/>
      </c>
    </row>
    <row r="434" spans="1:8" x14ac:dyDescent="0.35">
      <c r="A434" s="5" t="str">
        <f>IFERROR(IF(Portafolio_Proyectos!$AP145="","","CAP-"&amp;ROW()-1),"")</f>
        <v/>
      </c>
      <c r="B434" s="5" t="str">
        <f>IFERROR(IF(Portafolio_Proyectos!$AP145="","",Portafolio_Proyectos!$AP145),"")</f>
        <v/>
      </c>
      <c r="C434" s="5" t="str">
        <f>IFERROR(IF(Portafolio_Proyectos!$AP145="","","Emergente"),"")</f>
        <v/>
      </c>
      <c r="D434" s="5" t="str">
        <f>IFERROR(IF(Portafolio_Proyectos!$AP145="","",Portafolio_Proyectos!$C145),"")</f>
        <v/>
      </c>
      <c r="E434" s="5" t="str">
        <f>IFERROR(IF(Portafolio_Proyectos!$AP145="","",Portafolio_Proyectos!$B145),"")</f>
        <v/>
      </c>
      <c r="F434" s="5" t="str">
        <f>IFERROR(IF(Portafolio_Proyectos!$AP145="","",Portafolio_Proyectos!$D145),"")</f>
        <v/>
      </c>
      <c r="G434" s="5" t="str">
        <f>IFERROR(IF(Portafolio_Proyectos!$AP145="","",Portafolio_Proyectos!$A145),"")</f>
        <v/>
      </c>
      <c r="H434" s="5" t="str">
        <f>IFERROR(IF(Portafolio_Proyectos!$AP145="","",Portafolio_Proyectos!$E145),"")</f>
        <v/>
      </c>
    </row>
    <row r="435" spans="1:8" x14ac:dyDescent="0.35">
      <c r="A435" s="5" t="str">
        <f>IFERROR(IF(Portafolio_Proyectos!$AQ145="","","CAP-"&amp;ROW()-1),"")</f>
        <v/>
      </c>
      <c r="B435" s="5" t="str">
        <f>IFERROR(IF(Portafolio_Proyectos!$AQ145="","",Portafolio_Proyectos!$AQ145),"")</f>
        <v/>
      </c>
      <c r="C435" s="5" t="str">
        <f>IFERROR(IF(Portafolio_Proyectos!$AQ145="","","Consolidada"),"")</f>
        <v/>
      </c>
      <c r="D435" s="5" t="str">
        <f>IFERROR(IF(Portafolio_Proyectos!$AQ145="","",Portafolio_Proyectos!$C145),"")</f>
        <v/>
      </c>
      <c r="E435" s="5" t="str">
        <f>IFERROR(IF(Portafolio_Proyectos!$AQ145="","",Portafolio_Proyectos!$B145),"")</f>
        <v/>
      </c>
      <c r="F435" s="5" t="str">
        <f>IFERROR(IF(Portafolio_Proyectos!$AQ145="","",Portafolio_Proyectos!$D145),"")</f>
        <v/>
      </c>
      <c r="G435" s="5" t="str">
        <f>IFERROR(IF(Portafolio_Proyectos!$AQ145="","",Portafolio_Proyectos!$A145),"")</f>
        <v/>
      </c>
      <c r="H435" s="5" t="str">
        <f>IFERROR(IF(Portafolio_Proyectos!$AQ145="","",Portafolio_Proyectos!$E145),"")</f>
        <v/>
      </c>
    </row>
    <row r="436" spans="1:8" x14ac:dyDescent="0.35">
      <c r="A436" s="5" t="str">
        <f>IFERROR(IF(Portafolio_Proyectos!$AR145="","","CAP-"&amp;ROW()-1),"")</f>
        <v/>
      </c>
      <c r="B436" s="5" t="str">
        <f>IFERROR(IF(Portafolio_Proyectos!$AR145="","",Portafolio_Proyectos!$AR145),"")</f>
        <v/>
      </c>
      <c r="C436" s="5" t="str">
        <f>IFERROR(IF(Portafolio_Proyectos!$AR145="","","Distintiva"),"")</f>
        <v/>
      </c>
      <c r="D436" s="5" t="str">
        <f>IFERROR(IF(Portafolio_Proyectos!$AR145="","",Portafolio_Proyectos!$C145),"")</f>
        <v/>
      </c>
      <c r="E436" s="5" t="str">
        <f>IFERROR(IF(Portafolio_Proyectos!$AR145="","",Portafolio_Proyectos!$B145),"")</f>
        <v/>
      </c>
      <c r="F436" s="5" t="str">
        <f>IFERROR(IF(Portafolio_Proyectos!$AR145="","",Portafolio_Proyectos!$D145),"")</f>
        <v/>
      </c>
      <c r="G436" s="5" t="str">
        <f>IFERROR(IF(Portafolio_Proyectos!$AR145="","",Portafolio_Proyectos!$A145),"")</f>
        <v/>
      </c>
      <c r="H436" s="5" t="str">
        <f>IFERROR(IF(Portafolio_Proyectos!$AR145="","",Portafolio_Proyectos!$E145),"")</f>
        <v/>
      </c>
    </row>
    <row r="437" spans="1:8" x14ac:dyDescent="0.35">
      <c r="A437" s="5" t="str">
        <f>IFERROR(IF(Portafolio_Proyectos!$AP146="","","CAP-"&amp;ROW()-1),"")</f>
        <v/>
      </c>
      <c r="B437" s="5" t="str">
        <f>IFERROR(IF(Portafolio_Proyectos!$AP146="","",Portafolio_Proyectos!$AP146),"")</f>
        <v/>
      </c>
      <c r="C437" s="5" t="str">
        <f>IFERROR(IF(Portafolio_Proyectos!$AP146="","","Emergente"),"")</f>
        <v/>
      </c>
      <c r="D437" s="5" t="str">
        <f>IFERROR(IF(Portafolio_Proyectos!$AP146="","",Portafolio_Proyectos!$C146),"")</f>
        <v/>
      </c>
      <c r="E437" s="5" t="str">
        <f>IFERROR(IF(Portafolio_Proyectos!$AP146="","",Portafolio_Proyectos!$B146),"")</f>
        <v/>
      </c>
      <c r="F437" s="5" t="str">
        <f>IFERROR(IF(Portafolio_Proyectos!$AP146="","",Portafolio_Proyectos!$D146),"")</f>
        <v/>
      </c>
      <c r="G437" s="5" t="str">
        <f>IFERROR(IF(Portafolio_Proyectos!$AP146="","",Portafolio_Proyectos!$A146),"")</f>
        <v/>
      </c>
      <c r="H437" s="5" t="str">
        <f>IFERROR(IF(Portafolio_Proyectos!$AP146="","",Portafolio_Proyectos!$E146),"")</f>
        <v/>
      </c>
    </row>
    <row r="438" spans="1:8" x14ac:dyDescent="0.35">
      <c r="A438" s="5" t="str">
        <f>IFERROR(IF(Portafolio_Proyectos!$AQ146="","","CAP-"&amp;ROW()-1),"")</f>
        <v/>
      </c>
      <c r="B438" s="5" t="str">
        <f>IFERROR(IF(Portafolio_Proyectos!$AQ146="","",Portafolio_Proyectos!$AQ146),"")</f>
        <v/>
      </c>
      <c r="C438" s="5" t="str">
        <f>IFERROR(IF(Portafolio_Proyectos!$AQ146="","","Consolidada"),"")</f>
        <v/>
      </c>
      <c r="D438" s="5" t="str">
        <f>IFERROR(IF(Portafolio_Proyectos!$AQ146="","",Portafolio_Proyectos!$C146),"")</f>
        <v/>
      </c>
      <c r="E438" s="5" t="str">
        <f>IFERROR(IF(Portafolio_Proyectos!$AQ146="","",Portafolio_Proyectos!$B146),"")</f>
        <v/>
      </c>
      <c r="F438" s="5" t="str">
        <f>IFERROR(IF(Portafolio_Proyectos!$AQ146="","",Portafolio_Proyectos!$D146),"")</f>
        <v/>
      </c>
      <c r="G438" s="5" t="str">
        <f>IFERROR(IF(Portafolio_Proyectos!$AQ146="","",Portafolio_Proyectos!$A146),"")</f>
        <v/>
      </c>
      <c r="H438" s="5" t="str">
        <f>IFERROR(IF(Portafolio_Proyectos!$AQ146="","",Portafolio_Proyectos!$E146),"")</f>
        <v/>
      </c>
    </row>
    <row r="439" spans="1:8" x14ac:dyDescent="0.35">
      <c r="A439" s="5" t="str">
        <f>IFERROR(IF(Portafolio_Proyectos!$AR146="","","CAP-"&amp;ROW()-1),"")</f>
        <v/>
      </c>
      <c r="B439" s="5" t="str">
        <f>IFERROR(IF(Portafolio_Proyectos!$AR146="","",Portafolio_Proyectos!$AR146),"")</f>
        <v/>
      </c>
      <c r="C439" s="5" t="str">
        <f>IFERROR(IF(Portafolio_Proyectos!$AR146="","","Distintiva"),"")</f>
        <v/>
      </c>
      <c r="D439" s="5" t="str">
        <f>IFERROR(IF(Portafolio_Proyectos!$AR146="","",Portafolio_Proyectos!$C146),"")</f>
        <v/>
      </c>
      <c r="E439" s="5" t="str">
        <f>IFERROR(IF(Portafolio_Proyectos!$AR146="","",Portafolio_Proyectos!$B146),"")</f>
        <v/>
      </c>
      <c r="F439" s="5" t="str">
        <f>IFERROR(IF(Portafolio_Proyectos!$AR146="","",Portafolio_Proyectos!$D146),"")</f>
        <v/>
      </c>
      <c r="G439" s="5" t="str">
        <f>IFERROR(IF(Portafolio_Proyectos!$AR146="","",Portafolio_Proyectos!$A146),"")</f>
        <v/>
      </c>
      <c r="H439" s="5" t="str">
        <f>IFERROR(IF(Portafolio_Proyectos!$AR146="","",Portafolio_Proyectos!$E146),"")</f>
        <v/>
      </c>
    </row>
    <row r="440" spans="1:8" x14ac:dyDescent="0.35">
      <c r="A440" s="5" t="str">
        <f>IFERROR(IF(Portafolio_Proyectos!$AP147="","","CAP-"&amp;ROW()-1),"")</f>
        <v/>
      </c>
      <c r="B440" s="5" t="str">
        <f>IFERROR(IF(Portafolio_Proyectos!$AP147="","",Portafolio_Proyectos!$AP147),"")</f>
        <v/>
      </c>
      <c r="C440" s="5" t="str">
        <f>IFERROR(IF(Portafolio_Proyectos!$AP147="","","Emergente"),"")</f>
        <v/>
      </c>
      <c r="D440" s="5" t="str">
        <f>IFERROR(IF(Portafolio_Proyectos!$AP147="","",Portafolio_Proyectos!$C147),"")</f>
        <v/>
      </c>
      <c r="E440" s="5" t="str">
        <f>IFERROR(IF(Portafolio_Proyectos!$AP147="","",Portafolio_Proyectos!$B147),"")</f>
        <v/>
      </c>
      <c r="F440" s="5" t="str">
        <f>IFERROR(IF(Portafolio_Proyectos!$AP147="","",Portafolio_Proyectos!$D147),"")</f>
        <v/>
      </c>
      <c r="G440" s="5" t="str">
        <f>IFERROR(IF(Portafolio_Proyectos!$AP147="","",Portafolio_Proyectos!$A147),"")</f>
        <v/>
      </c>
      <c r="H440" s="5" t="str">
        <f>IFERROR(IF(Portafolio_Proyectos!$AP147="","",Portafolio_Proyectos!$E147),"")</f>
        <v/>
      </c>
    </row>
    <row r="441" spans="1:8" x14ac:dyDescent="0.35">
      <c r="A441" s="5" t="str">
        <f>IFERROR(IF(Portafolio_Proyectos!$AQ147="","","CAP-"&amp;ROW()-1),"")</f>
        <v/>
      </c>
      <c r="B441" s="5" t="str">
        <f>IFERROR(IF(Portafolio_Proyectos!$AQ147="","",Portafolio_Proyectos!$AQ147),"")</f>
        <v/>
      </c>
      <c r="C441" s="5" t="str">
        <f>IFERROR(IF(Portafolio_Proyectos!$AQ147="","","Consolidada"),"")</f>
        <v/>
      </c>
      <c r="D441" s="5" t="str">
        <f>IFERROR(IF(Portafolio_Proyectos!$AQ147="","",Portafolio_Proyectos!$C147),"")</f>
        <v/>
      </c>
      <c r="E441" s="5" t="str">
        <f>IFERROR(IF(Portafolio_Proyectos!$AQ147="","",Portafolio_Proyectos!$B147),"")</f>
        <v/>
      </c>
      <c r="F441" s="5" t="str">
        <f>IFERROR(IF(Portafolio_Proyectos!$AQ147="","",Portafolio_Proyectos!$D147),"")</f>
        <v/>
      </c>
      <c r="G441" s="5" t="str">
        <f>IFERROR(IF(Portafolio_Proyectos!$AQ147="","",Portafolio_Proyectos!$A147),"")</f>
        <v/>
      </c>
      <c r="H441" s="5" t="str">
        <f>IFERROR(IF(Portafolio_Proyectos!$AQ147="","",Portafolio_Proyectos!$E147),"")</f>
        <v/>
      </c>
    </row>
    <row r="442" spans="1:8" x14ac:dyDescent="0.35">
      <c r="A442" s="5" t="str">
        <f>IFERROR(IF(Portafolio_Proyectos!$AR147="","","CAP-"&amp;ROW()-1),"")</f>
        <v/>
      </c>
      <c r="B442" s="5" t="str">
        <f>IFERROR(IF(Portafolio_Proyectos!$AR147="","",Portafolio_Proyectos!$AR147),"")</f>
        <v/>
      </c>
      <c r="C442" s="5" t="str">
        <f>IFERROR(IF(Portafolio_Proyectos!$AR147="","","Distintiva"),"")</f>
        <v/>
      </c>
      <c r="D442" s="5" t="str">
        <f>IFERROR(IF(Portafolio_Proyectos!$AR147="","",Portafolio_Proyectos!$C147),"")</f>
        <v/>
      </c>
      <c r="E442" s="5" t="str">
        <f>IFERROR(IF(Portafolio_Proyectos!$AR147="","",Portafolio_Proyectos!$B147),"")</f>
        <v/>
      </c>
      <c r="F442" s="5" t="str">
        <f>IFERROR(IF(Portafolio_Proyectos!$AR147="","",Portafolio_Proyectos!$D147),"")</f>
        <v/>
      </c>
      <c r="G442" s="5" t="str">
        <f>IFERROR(IF(Portafolio_Proyectos!$AR147="","",Portafolio_Proyectos!$A147),"")</f>
        <v/>
      </c>
      <c r="H442" s="5" t="str">
        <f>IFERROR(IF(Portafolio_Proyectos!$AR147="","",Portafolio_Proyectos!$E147),"")</f>
        <v/>
      </c>
    </row>
    <row r="443" spans="1:8" x14ac:dyDescent="0.35">
      <c r="A443" s="5" t="str">
        <f>IFERROR(IF(Portafolio_Proyectos!$AP148="","","CAP-"&amp;ROW()-1),"")</f>
        <v/>
      </c>
      <c r="B443" s="5" t="str">
        <f>IFERROR(IF(Portafolio_Proyectos!$AP148="","",Portafolio_Proyectos!$AP148),"")</f>
        <v/>
      </c>
      <c r="C443" s="5" t="str">
        <f>IFERROR(IF(Portafolio_Proyectos!$AP148="","","Emergente"),"")</f>
        <v/>
      </c>
      <c r="D443" s="5" t="str">
        <f>IFERROR(IF(Portafolio_Proyectos!$AP148="","",Portafolio_Proyectos!$C148),"")</f>
        <v/>
      </c>
      <c r="E443" s="5" t="str">
        <f>IFERROR(IF(Portafolio_Proyectos!$AP148="","",Portafolio_Proyectos!$B148),"")</f>
        <v/>
      </c>
      <c r="F443" s="5" t="str">
        <f>IFERROR(IF(Portafolio_Proyectos!$AP148="","",Portafolio_Proyectos!$D148),"")</f>
        <v/>
      </c>
      <c r="G443" s="5" t="str">
        <f>IFERROR(IF(Portafolio_Proyectos!$AP148="","",Portafolio_Proyectos!$A148),"")</f>
        <v/>
      </c>
      <c r="H443" s="5" t="str">
        <f>IFERROR(IF(Portafolio_Proyectos!$AP148="","",Portafolio_Proyectos!$E148),"")</f>
        <v/>
      </c>
    </row>
    <row r="444" spans="1:8" x14ac:dyDescent="0.35">
      <c r="A444" s="5" t="str">
        <f>IFERROR(IF(Portafolio_Proyectos!$AQ148="","","CAP-"&amp;ROW()-1),"")</f>
        <v/>
      </c>
      <c r="B444" s="5" t="str">
        <f>IFERROR(IF(Portafolio_Proyectos!$AQ148="","",Portafolio_Proyectos!$AQ148),"")</f>
        <v/>
      </c>
      <c r="C444" s="5" t="str">
        <f>IFERROR(IF(Portafolio_Proyectos!$AQ148="","","Consolidada"),"")</f>
        <v/>
      </c>
      <c r="D444" s="5" t="str">
        <f>IFERROR(IF(Portafolio_Proyectos!$AQ148="","",Portafolio_Proyectos!$C148),"")</f>
        <v/>
      </c>
      <c r="E444" s="5" t="str">
        <f>IFERROR(IF(Portafolio_Proyectos!$AQ148="","",Portafolio_Proyectos!$B148),"")</f>
        <v/>
      </c>
      <c r="F444" s="5" t="str">
        <f>IFERROR(IF(Portafolio_Proyectos!$AQ148="","",Portafolio_Proyectos!$D148),"")</f>
        <v/>
      </c>
      <c r="G444" s="5" t="str">
        <f>IFERROR(IF(Portafolio_Proyectos!$AQ148="","",Portafolio_Proyectos!$A148),"")</f>
        <v/>
      </c>
      <c r="H444" s="5" t="str">
        <f>IFERROR(IF(Portafolio_Proyectos!$AQ148="","",Portafolio_Proyectos!$E148),"")</f>
        <v/>
      </c>
    </row>
    <row r="445" spans="1:8" x14ac:dyDescent="0.35">
      <c r="A445" s="5" t="str">
        <f>IFERROR(IF(Portafolio_Proyectos!$AR148="","","CAP-"&amp;ROW()-1),"")</f>
        <v/>
      </c>
      <c r="B445" s="5" t="str">
        <f>IFERROR(IF(Portafolio_Proyectos!$AR148="","",Portafolio_Proyectos!$AR148),"")</f>
        <v/>
      </c>
      <c r="C445" s="5" t="str">
        <f>IFERROR(IF(Portafolio_Proyectos!$AR148="","","Distintiva"),"")</f>
        <v/>
      </c>
      <c r="D445" s="5" t="str">
        <f>IFERROR(IF(Portafolio_Proyectos!$AR148="","",Portafolio_Proyectos!$C148),"")</f>
        <v/>
      </c>
      <c r="E445" s="5" t="str">
        <f>IFERROR(IF(Portafolio_Proyectos!$AR148="","",Portafolio_Proyectos!$B148),"")</f>
        <v/>
      </c>
      <c r="F445" s="5" t="str">
        <f>IFERROR(IF(Portafolio_Proyectos!$AR148="","",Portafolio_Proyectos!$D148),"")</f>
        <v/>
      </c>
      <c r="G445" s="5" t="str">
        <f>IFERROR(IF(Portafolio_Proyectos!$AR148="","",Portafolio_Proyectos!$A148),"")</f>
        <v/>
      </c>
      <c r="H445" s="5" t="str">
        <f>IFERROR(IF(Portafolio_Proyectos!$AR148="","",Portafolio_Proyectos!$E148),"")</f>
        <v/>
      </c>
    </row>
    <row r="446" spans="1:8" x14ac:dyDescent="0.35">
      <c r="A446" s="5" t="str">
        <f>IFERROR(IF(Portafolio_Proyectos!$AP149="","","CAP-"&amp;ROW()-1),"")</f>
        <v/>
      </c>
      <c r="B446" s="5" t="str">
        <f>IFERROR(IF(Portafolio_Proyectos!$AP149="","",Portafolio_Proyectos!$AP149),"")</f>
        <v/>
      </c>
      <c r="C446" s="5" t="str">
        <f>IFERROR(IF(Portafolio_Proyectos!$AP149="","","Emergente"),"")</f>
        <v/>
      </c>
      <c r="D446" s="5" t="str">
        <f>IFERROR(IF(Portafolio_Proyectos!$AP149="","",Portafolio_Proyectos!$C149),"")</f>
        <v/>
      </c>
      <c r="E446" s="5" t="str">
        <f>IFERROR(IF(Portafolio_Proyectos!$AP149="","",Portafolio_Proyectos!$B149),"")</f>
        <v/>
      </c>
      <c r="F446" s="5" t="str">
        <f>IFERROR(IF(Portafolio_Proyectos!$AP149="","",Portafolio_Proyectos!$D149),"")</f>
        <v/>
      </c>
      <c r="G446" s="5" t="str">
        <f>IFERROR(IF(Portafolio_Proyectos!$AP149="","",Portafolio_Proyectos!$A149),"")</f>
        <v/>
      </c>
      <c r="H446" s="5" t="str">
        <f>IFERROR(IF(Portafolio_Proyectos!$AP149="","",Portafolio_Proyectos!$E149),"")</f>
        <v/>
      </c>
    </row>
    <row r="447" spans="1:8" x14ac:dyDescent="0.35">
      <c r="A447" s="5" t="str">
        <f>IFERROR(IF(Portafolio_Proyectos!$AQ149="","","CAP-"&amp;ROW()-1),"")</f>
        <v/>
      </c>
      <c r="B447" s="5" t="str">
        <f>IFERROR(IF(Portafolio_Proyectos!$AQ149="","",Portafolio_Proyectos!$AQ149),"")</f>
        <v/>
      </c>
      <c r="C447" s="5" t="str">
        <f>IFERROR(IF(Portafolio_Proyectos!$AQ149="","","Consolidada"),"")</f>
        <v/>
      </c>
      <c r="D447" s="5" t="str">
        <f>IFERROR(IF(Portafolio_Proyectos!$AQ149="","",Portafolio_Proyectos!$C149),"")</f>
        <v/>
      </c>
      <c r="E447" s="5" t="str">
        <f>IFERROR(IF(Portafolio_Proyectos!$AQ149="","",Portafolio_Proyectos!$B149),"")</f>
        <v/>
      </c>
      <c r="F447" s="5" t="str">
        <f>IFERROR(IF(Portafolio_Proyectos!$AQ149="","",Portafolio_Proyectos!$D149),"")</f>
        <v/>
      </c>
      <c r="G447" s="5" t="str">
        <f>IFERROR(IF(Portafolio_Proyectos!$AQ149="","",Portafolio_Proyectos!$A149),"")</f>
        <v/>
      </c>
      <c r="H447" s="5" t="str">
        <f>IFERROR(IF(Portafolio_Proyectos!$AQ149="","",Portafolio_Proyectos!$E149),"")</f>
        <v/>
      </c>
    </row>
    <row r="448" spans="1:8" x14ac:dyDescent="0.35">
      <c r="A448" s="5" t="str">
        <f>IFERROR(IF(Portafolio_Proyectos!$AR149="","","CAP-"&amp;ROW()-1),"")</f>
        <v/>
      </c>
      <c r="B448" s="5" t="str">
        <f>IFERROR(IF(Portafolio_Proyectos!$AR149="","",Portafolio_Proyectos!$AR149),"")</f>
        <v/>
      </c>
      <c r="C448" s="5" t="str">
        <f>IFERROR(IF(Portafolio_Proyectos!$AR149="","","Distintiva"),"")</f>
        <v/>
      </c>
      <c r="D448" s="5" t="str">
        <f>IFERROR(IF(Portafolio_Proyectos!$AR149="","",Portafolio_Proyectos!$C149),"")</f>
        <v/>
      </c>
      <c r="E448" s="5" t="str">
        <f>IFERROR(IF(Portafolio_Proyectos!$AR149="","",Portafolio_Proyectos!$B149),"")</f>
        <v/>
      </c>
      <c r="F448" s="5" t="str">
        <f>IFERROR(IF(Portafolio_Proyectos!$AR149="","",Portafolio_Proyectos!$D149),"")</f>
        <v/>
      </c>
      <c r="G448" s="5" t="str">
        <f>IFERROR(IF(Portafolio_Proyectos!$AR149="","",Portafolio_Proyectos!$A149),"")</f>
        <v/>
      </c>
      <c r="H448" s="5" t="str">
        <f>IFERROR(IF(Portafolio_Proyectos!$AR149="","",Portafolio_Proyectos!$E149),"")</f>
        <v/>
      </c>
    </row>
    <row r="449" spans="1:8" x14ac:dyDescent="0.35">
      <c r="A449" s="5" t="str">
        <f>IFERROR(IF(Portafolio_Proyectos!$AP150="","","CAP-"&amp;ROW()-1),"")</f>
        <v/>
      </c>
      <c r="B449" s="5" t="str">
        <f>IFERROR(IF(Portafolio_Proyectos!$AP150="","",Portafolio_Proyectos!$AP150),"")</f>
        <v/>
      </c>
      <c r="C449" s="5" t="str">
        <f>IFERROR(IF(Portafolio_Proyectos!$AP150="","","Emergente"),"")</f>
        <v/>
      </c>
      <c r="D449" s="5" t="str">
        <f>IFERROR(IF(Portafolio_Proyectos!$AP150="","",Portafolio_Proyectos!$C150),"")</f>
        <v/>
      </c>
      <c r="E449" s="5" t="str">
        <f>IFERROR(IF(Portafolio_Proyectos!$AP150="","",Portafolio_Proyectos!$B150),"")</f>
        <v/>
      </c>
      <c r="F449" s="5" t="str">
        <f>IFERROR(IF(Portafolio_Proyectos!$AP150="","",Portafolio_Proyectos!$D150),"")</f>
        <v/>
      </c>
      <c r="G449" s="5" t="str">
        <f>IFERROR(IF(Portafolio_Proyectos!$AP150="","",Portafolio_Proyectos!$A150),"")</f>
        <v/>
      </c>
      <c r="H449" s="5" t="str">
        <f>IFERROR(IF(Portafolio_Proyectos!$AP150="","",Portafolio_Proyectos!$E150),"")</f>
        <v/>
      </c>
    </row>
    <row r="450" spans="1:8" x14ac:dyDescent="0.35">
      <c r="A450" s="5" t="str">
        <f>IFERROR(IF(Portafolio_Proyectos!$AQ150="","","CAP-"&amp;ROW()-1),"")</f>
        <v/>
      </c>
      <c r="B450" s="5" t="str">
        <f>IFERROR(IF(Portafolio_Proyectos!$AQ150="","",Portafolio_Proyectos!$AQ150),"")</f>
        <v/>
      </c>
      <c r="C450" s="5" t="str">
        <f>IFERROR(IF(Portafolio_Proyectos!$AQ150="","","Consolidada"),"")</f>
        <v/>
      </c>
      <c r="D450" s="5" t="str">
        <f>IFERROR(IF(Portafolio_Proyectos!$AQ150="","",Portafolio_Proyectos!$C150),"")</f>
        <v/>
      </c>
      <c r="E450" s="5" t="str">
        <f>IFERROR(IF(Portafolio_Proyectos!$AQ150="","",Portafolio_Proyectos!$B150),"")</f>
        <v/>
      </c>
      <c r="F450" s="5" t="str">
        <f>IFERROR(IF(Portafolio_Proyectos!$AQ150="","",Portafolio_Proyectos!$D150),"")</f>
        <v/>
      </c>
      <c r="G450" s="5" t="str">
        <f>IFERROR(IF(Portafolio_Proyectos!$AQ150="","",Portafolio_Proyectos!$A150),"")</f>
        <v/>
      </c>
      <c r="H450" s="5" t="str">
        <f>IFERROR(IF(Portafolio_Proyectos!$AQ150="","",Portafolio_Proyectos!$E150),"")</f>
        <v/>
      </c>
    </row>
    <row r="451" spans="1:8" x14ac:dyDescent="0.35">
      <c r="A451" s="5" t="str">
        <f>IFERROR(IF(Portafolio_Proyectos!$AR150="","","CAP-"&amp;ROW()-1),"")</f>
        <v/>
      </c>
      <c r="B451" s="5" t="str">
        <f>IFERROR(IF(Portafolio_Proyectos!$AR150="","",Portafolio_Proyectos!$AR150),"")</f>
        <v/>
      </c>
      <c r="C451" s="5" t="str">
        <f>IFERROR(IF(Portafolio_Proyectos!$AR150="","","Distintiva"),"")</f>
        <v/>
      </c>
      <c r="D451" s="5" t="str">
        <f>IFERROR(IF(Portafolio_Proyectos!$AR150="","",Portafolio_Proyectos!$C150),"")</f>
        <v/>
      </c>
      <c r="E451" s="5" t="str">
        <f>IFERROR(IF(Portafolio_Proyectos!$AR150="","",Portafolio_Proyectos!$B150),"")</f>
        <v/>
      </c>
      <c r="F451" s="5" t="str">
        <f>IFERROR(IF(Portafolio_Proyectos!$AR150="","",Portafolio_Proyectos!$D150),"")</f>
        <v/>
      </c>
      <c r="G451" s="5" t="str">
        <f>IFERROR(IF(Portafolio_Proyectos!$AR150="","",Portafolio_Proyectos!$A150),"")</f>
        <v/>
      </c>
      <c r="H451" s="5" t="str">
        <f>IFERROR(IF(Portafolio_Proyectos!$AR150="","",Portafolio_Proyectos!$E150),"")</f>
        <v/>
      </c>
    </row>
    <row r="452" spans="1:8" x14ac:dyDescent="0.35">
      <c r="A452" s="5" t="str">
        <f>IFERROR(IF(Portafolio_Proyectos!$AP151="","","CAP-"&amp;ROW()-1),"")</f>
        <v/>
      </c>
      <c r="B452" s="5" t="str">
        <f>IFERROR(IF(Portafolio_Proyectos!$AP151="","",Portafolio_Proyectos!$AP151),"")</f>
        <v/>
      </c>
      <c r="C452" s="5" t="str">
        <f>IFERROR(IF(Portafolio_Proyectos!$AP151="","","Emergente"),"")</f>
        <v/>
      </c>
      <c r="D452" s="5" t="str">
        <f>IFERROR(IF(Portafolio_Proyectos!$AP151="","",Portafolio_Proyectos!$C151),"")</f>
        <v/>
      </c>
      <c r="E452" s="5" t="str">
        <f>IFERROR(IF(Portafolio_Proyectos!$AP151="","",Portafolio_Proyectos!$B151),"")</f>
        <v/>
      </c>
      <c r="F452" s="5" t="str">
        <f>IFERROR(IF(Portafolio_Proyectos!$AP151="","",Portafolio_Proyectos!$D151),"")</f>
        <v/>
      </c>
      <c r="G452" s="5" t="str">
        <f>IFERROR(IF(Portafolio_Proyectos!$AP151="","",Portafolio_Proyectos!$A151),"")</f>
        <v/>
      </c>
      <c r="H452" s="5" t="str">
        <f>IFERROR(IF(Portafolio_Proyectos!$AP151="","",Portafolio_Proyectos!$E151),"")</f>
        <v/>
      </c>
    </row>
    <row r="453" spans="1:8" x14ac:dyDescent="0.35">
      <c r="A453" s="5" t="str">
        <f>IFERROR(IF(Portafolio_Proyectos!$AQ151="","","CAP-"&amp;ROW()-1),"")</f>
        <v/>
      </c>
      <c r="B453" s="5" t="str">
        <f>IFERROR(IF(Portafolio_Proyectos!$AQ151="","",Portafolio_Proyectos!$AQ151),"")</f>
        <v/>
      </c>
      <c r="C453" s="5" t="str">
        <f>IFERROR(IF(Portafolio_Proyectos!$AQ151="","","Consolidada"),"")</f>
        <v/>
      </c>
      <c r="D453" s="5" t="str">
        <f>IFERROR(IF(Portafolio_Proyectos!$AQ151="","",Portafolio_Proyectos!$C151),"")</f>
        <v/>
      </c>
      <c r="E453" s="5" t="str">
        <f>IFERROR(IF(Portafolio_Proyectos!$AQ151="","",Portafolio_Proyectos!$B151),"")</f>
        <v/>
      </c>
      <c r="F453" s="5" t="str">
        <f>IFERROR(IF(Portafolio_Proyectos!$AQ151="","",Portafolio_Proyectos!$D151),"")</f>
        <v/>
      </c>
      <c r="G453" s="5" t="str">
        <f>IFERROR(IF(Portafolio_Proyectos!$AQ151="","",Portafolio_Proyectos!$A151),"")</f>
        <v/>
      </c>
      <c r="H453" s="5" t="str">
        <f>IFERROR(IF(Portafolio_Proyectos!$AQ151="","",Portafolio_Proyectos!$E151),"")</f>
        <v/>
      </c>
    </row>
    <row r="454" spans="1:8" x14ac:dyDescent="0.35">
      <c r="A454" s="5" t="str">
        <f>IFERROR(IF(Portafolio_Proyectos!$AR151="","","CAP-"&amp;ROW()-1),"")</f>
        <v/>
      </c>
      <c r="B454" s="5" t="str">
        <f>IFERROR(IF(Portafolio_Proyectos!$AR151="","",Portafolio_Proyectos!$AR151),"")</f>
        <v/>
      </c>
      <c r="C454" s="5" t="str">
        <f>IFERROR(IF(Portafolio_Proyectos!$AR151="","","Distintiva"),"")</f>
        <v/>
      </c>
      <c r="D454" s="5" t="str">
        <f>IFERROR(IF(Portafolio_Proyectos!$AR151="","",Portafolio_Proyectos!$C151),"")</f>
        <v/>
      </c>
      <c r="E454" s="5" t="str">
        <f>IFERROR(IF(Portafolio_Proyectos!$AR151="","",Portafolio_Proyectos!$B151),"")</f>
        <v/>
      </c>
      <c r="F454" s="5" t="str">
        <f>IFERROR(IF(Portafolio_Proyectos!$AR151="","",Portafolio_Proyectos!$D151),"")</f>
        <v/>
      </c>
      <c r="G454" s="5" t="str">
        <f>IFERROR(IF(Portafolio_Proyectos!$AR151="","",Portafolio_Proyectos!$A151),"")</f>
        <v/>
      </c>
      <c r="H454" s="5" t="str">
        <f>IFERROR(IF(Portafolio_Proyectos!$AR151="","",Portafolio_Proyectos!$E151),"")</f>
        <v/>
      </c>
    </row>
    <row r="455" spans="1:8" x14ac:dyDescent="0.35">
      <c r="A455" s="5" t="str">
        <f>IFERROR(IF(Portafolio_Proyectos!$AP152="","","CAP-"&amp;ROW()-1),"")</f>
        <v/>
      </c>
      <c r="B455" s="5" t="str">
        <f>IFERROR(IF(Portafolio_Proyectos!$AP152="","",Portafolio_Proyectos!$AP152),"")</f>
        <v/>
      </c>
      <c r="C455" s="5" t="str">
        <f>IFERROR(IF(Portafolio_Proyectos!$AP152="","","Emergente"),"")</f>
        <v/>
      </c>
      <c r="D455" s="5" t="str">
        <f>IFERROR(IF(Portafolio_Proyectos!$AP152="","",Portafolio_Proyectos!$C152),"")</f>
        <v/>
      </c>
      <c r="E455" s="5" t="str">
        <f>IFERROR(IF(Portafolio_Proyectos!$AP152="","",Portafolio_Proyectos!$B152),"")</f>
        <v/>
      </c>
      <c r="F455" s="5" t="str">
        <f>IFERROR(IF(Portafolio_Proyectos!$AP152="","",Portafolio_Proyectos!$D152),"")</f>
        <v/>
      </c>
      <c r="G455" s="5" t="str">
        <f>IFERROR(IF(Portafolio_Proyectos!$AP152="","",Portafolio_Proyectos!$A152),"")</f>
        <v/>
      </c>
      <c r="H455" s="5" t="str">
        <f>IFERROR(IF(Portafolio_Proyectos!$AP152="","",Portafolio_Proyectos!$E152),"")</f>
        <v/>
      </c>
    </row>
    <row r="456" spans="1:8" x14ac:dyDescent="0.35">
      <c r="A456" s="5" t="str">
        <f>IFERROR(IF(Portafolio_Proyectos!$AQ152="","","CAP-"&amp;ROW()-1),"")</f>
        <v/>
      </c>
      <c r="B456" s="5" t="str">
        <f>IFERROR(IF(Portafolio_Proyectos!$AQ152="","",Portafolio_Proyectos!$AQ152),"")</f>
        <v/>
      </c>
      <c r="C456" s="5" t="str">
        <f>IFERROR(IF(Portafolio_Proyectos!$AQ152="","","Consolidada"),"")</f>
        <v/>
      </c>
      <c r="D456" s="5" t="str">
        <f>IFERROR(IF(Portafolio_Proyectos!$AQ152="","",Portafolio_Proyectos!$C152),"")</f>
        <v/>
      </c>
      <c r="E456" s="5" t="str">
        <f>IFERROR(IF(Portafolio_Proyectos!$AQ152="","",Portafolio_Proyectos!$B152),"")</f>
        <v/>
      </c>
      <c r="F456" s="5" t="str">
        <f>IFERROR(IF(Portafolio_Proyectos!$AQ152="","",Portafolio_Proyectos!$D152),"")</f>
        <v/>
      </c>
      <c r="G456" s="5" t="str">
        <f>IFERROR(IF(Portafolio_Proyectos!$AQ152="","",Portafolio_Proyectos!$A152),"")</f>
        <v/>
      </c>
      <c r="H456" s="5" t="str">
        <f>IFERROR(IF(Portafolio_Proyectos!$AQ152="","",Portafolio_Proyectos!$E152),"")</f>
        <v/>
      </c>
    </row>
    <row r="457" spans="1:8" x14ac:dyDescent="0.35">
      <c r="A457" s="5" t="str">
        <f>IFERROR(IF(Portafolio_Proyectos!$AR152="","","CAP-"&amp;ROW()-1),"")</f>
        <v/>
      </c>
      <c r="B457" s="5" t="str">
        <f>IFERROR(IF(Portafolio_Proyectos!$AR152="","",Portafolio_Proyectos!$AR152),"")</f>
        <v/>
      </c>
      <c r="C457" s="5" t="str">
        <f>IFERROR(IF(Portafolio_Proyectos!$AR152="","","Distintiva"),"")</f>
        <v/>
      </c>
      <c r="D457" s="5" t="str">
        <f>IFERROR(IF(Portafolio_Proyectos!$AR152="","",Portafolio_Proyectos!$C152),"")</f>
        <v/>
      </c>
      <c r="E457" s="5" t="str">
        <f>IFERROR(IF(Portafolio_Proyectos!$AR152="","",Portafolio_Proyectos!$B152),"")</f>
        <v/>
      </c>
      <c r="F457" s="5" t="str">
        <f>IFERROR(IF(Portafolio_Proyectos!$AR152="","",Portafolio_Proyectos!$D152),"")</f>
        <v/>
      </c>
      <c r="G457" s="5" t="str">
        <f>IFERROR(IF(Portafolio_Proyectos!$AR152="","",Portafolio_Proyectos!$A152),"")</f>
        <v/>
      </c>
      <c r="H457" s="5" t="str">
        <f>IFERROR(IF(Portafolio_Proyectos!$AR152="","",Portafolio_Proyectos!$E152),"")</f>
        <v/>
      </c>
    </row>
    <row r="458" spans="1:8" x14ac:dyDescent="0.35">
      <c r="A458" s="5" t="str">
        <f>IFERROR(IF(Portafolio_Proyectos!$AP153="","","CAP-"&amp;ROW()-1),"")</f>
        <v/>
      </c>
      <c r="B458" s="5" t="str">
        <f>IFERROR(IF(Portafolio_Proyectos!$AP153="","",Portafolio_Proyectos!$AP153),"")</f>
        <v/>
      </c>
      <c r="C458" s="5" t="str">
        <f>IFERROR(IF(Portafolio_Proyectos!$AP153="","","Emergente"),"")</f>
        <v/>
      </c>
      <c r="D458" s="5" t="str">
        <f>IFERROR(IF(Portafolio_Proyectos!$AP153="","",Portafolio_Proyectos!$C153),"")</f>
        <v/>
      </c>
      <c r="E458" s="5" t="str">
        <f>IFERROR(IF(Portafolio_Proyectos!$AP153="","",Portafolio_Proyectos!$B153),"")</f>
        <v/>
      </c>
      <c r="F458" s="5" t="str">
        <f>IFERROR(IF(Portafolio_Proyectos!$AP153="","",Portafolio_Proyectos!$D153),"")</f>
        <v/>
      </c>
      <c r="G458" s="5" t="str">
        <f>IFERROR(IF(Portafolio_Proyectos!$AP153="","",Portafolio_Proyectos!$A153),"")</f>
        <v/>
      </c>
      <c r="H458" s="5" t="str">
        <f>IFERROR(IF(Portafolio_Proyectos!$AP153="","",Portafolio_Proyectos!$E153),"")</f>
        <v/>
      </c>
    </row>
    <row r="459" spans="1:8" x14ac:dyDescent="0.35">
      <c r="A459" s="5" t="str">
        <f>IFERROR(IF(Portafolio_Proyectos!$AQ153="","","CAP-"&amp;ROW()-1),"")</f>
        <v/>
      </c>
      <c r="B459" s="5" t="str">
        <f>IFERROR(IF(Portafolio_Proyectos!$AQ153="","",Portafolio_Proyectos!$AQ153),"")</f>
        <v/>
      </c>
      <c r="C459" s="5" t="str">
        <f>IFERROR(IF(Portafolio_Proyectos!$AQ153="","","Consolidada"),"")</f>
        <v/>
      </c>
      <c r="D459" s="5" t="str">
        <f>IFERROR(IF(Portafolio_Proyectos!$AQ153="","",Portafolio_Proyectos!$C153),"")</f>
        <v/>
      </c>
      <c r="E459" s="5" t="str">
        <f>IFERROR(IF(Portafolio_Proyectos!$AQ153="","",Portafolio_Proyectos!$B153),"")</f>
        <v/>
      </c>
      <c r="F459" s="5" t="str">
        <f>IFERROR(IF(Portafolio_Proyectos!$AQ153="","",Portafolio_Proyectos!$D153),"")</f>
        <v/>
      </c>
      <c r="G459" s="5" t="str">
        <f>IFERROR(IF(Portafolio_Proyectos!$AQ153="","",Portafolio_Proyectos!$A153),"")</f>
        <v/>
      </c>
      <c r="H459" s="5" t="str">
        <f>IFERROR(IF(Portafolio_Proyectos!$AQ153="","",Portafolio_Proyectos!$E153),"")</f>
        <v/>
      </c>
    </row>
    <row r="460" spans="1:8" x14ac:dyDescent="0.35">
      <c r="A460" s="5" t="str">
        <f>IFERROR(IF(Portafolio_Proyectos!$AR153="","","CAP-"&amp;ROW()-1),"")</f>
        <v/>
      </c>
      <c r="B460" s="5" t="str">
        <f>IFERROR(IF(Portafolio_Proyectos!$AR153="","",Portafolio_Proyectos!$AR153),"")</f>
        <v/>
      </c>
      <c r="C460" s="5" t="str">
        <f>IFERROR(IF(Portafolio_Proyectos!$AR153="","","Distintiva"),"")</f>
        <v/>
      </c>
      <c r="D460" s="5" t="str">
        <f>IFERROR(IF(Portafolio_Proyectos!$AR153="","",Portafolio_Proyectos!$C153),"")</f>
        <v/>
      </c>
      <c r="E460" s="5" t="str">
        <f>IFERROR(IF(Portafolio_Proyectos!$AR153="","",Portafolio_Proyectos!$B153),"")</f>
        <v/>
      </c>
      <c r="F460" s="5" t="str">
        <f>IFERROR(IF(Portafolio_Proyectos!$AR153="","",Portafolio_Proyectos!$D153),"")</f>
        <v/>
      </c>
      <c r="G460" s="5" t="str">
        <f>IFERROR(IF(Portafolio_Proyectos!$AR153="","",Portafolio_Proyectos!$A153),"")</f>
        <v/>
      </c>
      <c r="H460" s="5" t="str">
        <f>IFERROR(IF(Portafolio_Proyectos!$AR153="","",Portafolio_Proyectos!$E153),"")</f>
        <v/>
      </c>
    </row>
    <row r="461" spans="1:8" x14ac:dyDescent="0.35">
      <c r="A461" s="5" t="str">
        <f>IFERROR(IF(Portafolio_Proyectos!$AP154="","","CAP-"&amp;ROW()-1),"")</f>
        <v/>
      </c>
      <c r="B461" s="5" t="str">
        <f>IFERROR(IF(Portafolio_Proyectos!$AP154="","",Portafolio_Proyectos!$AP154),"")</f>
        <v/>
      </c>
      <c r="C461" s="5" t="str">
        <f>IFERROR(IF(Portafolio_Proyectos!$AP154="","","Emergente"),"")</f>
        <v/>
      </c>
      <c r="D461" s="5" t="str">
        <f>IFERROR(IF(Portafolio_Proyectos!$AP154="","",Portafolio_Proyectos!$C154),"")</f>
        <v/>
      </c>
      <c r="E461" s="5" t="str">
        <f>IFERROR(IF(Portafolio_Proyectos!$AP154="","",Portafolio_Proyectos!$B154),"")</f>
        <v/>
      </c>
      <c r="F461" s="5" t="str">
        <f>IFERROR(IF(Portafolio_Proyectos!$AP154="","",Portafolio_Proyectos!$D154),"")</f>
        <v/>
      </c>
      <c r="G461" s="5" t="str">
        <f>IFERROR(IF(Portafolio_Proyectos!$AP154="","",Portafolio_Proyectos!$A154),"")</f>
        <v/>
      </c>
      <c r="H461" s="5" t="str">
        <f>IFERROR(IF(Portafolio_Proyectos!$AP154="","",Portafolio_Proyectos!$E154),"")</f>
        <v/>
      </c>
    </row>
    <row r="462" spans="1:8" x14ac:dyDescent="0.35">
      <c r="A462" s="5" t="str">
        <f>IFERROR(IF(Portafolio_Proyectos!$AQ154="","","CAP-"&amp;ROW()-1),"")</f>
        <v/>
      </c>
      <c r="B462" s="5" t="str">
        <f>IFERROR(IF(Portafolio_Proyectos!$AQ154="","",Portafolio_Proyectos!$AQ154),"")</f>
        <v/>
      </c>
      <c r="C462" s="5" t="str">
        <f>IFERROR(IF(Portafolio_Proyectos!$AQ154="","","Consolidada"),"")</f>
        <v/>
      </c>
      <c r="D462" s="5" t="str">
        <f>IFERROR(IF(Portafolio_Proyectos!$AQ154="","",Portafolio_Proyectos!$C154),"")</f>
        <v/>
      </c>
      <c r="E462" s="5" t="str">
        <f>IFERROR(IF(Portafolio_Proyectos!$AQ154="","",Portafolio_Proyectos!$B154),"")</f>
        <v/>
      </c>
      <c r="F462" s="5" t="str">
        <f>IFERROR(IF(Portafolio_Proyectos!$AQ154="","",Portafolio_Proyectos!$D154),"")</f>
        <v/>
      </c>
      <c r="G462" s="5" t="str">
        <f>IFERROR(IF(Portafolio_Proyectos!$AQ154="","",Portafolio_Proyectos!$A154),"")</f>
        <v/>
      </c>
      <c r="H462" s="5" t="str">
        <f>IFERROR(IF(Portafolio_Proyectos!$AQ154="","",Portafolio_Proyectos!$E154),"")</f>
        <v/>
      </c>
    </row>
    <row r="463" spans="1:8" x14ac:dyDescent="0.35">
      <c r="A463" s="5" t="str">
        <f>IFERROR(IF(Portafolio_Proyectos!$AR154="","","CAP-"&amp;ROW()-1),"")</f>
        <v/>
      </c>
      <c r="B463" s="5" t="str">
        <f>IFERROR(IF(Portafolio_Proyectos!$AR154="","",Portafolio_Proyectos!$AR154),"")</f>
        <v/>
      </c>
      <c r="C463" s="5" t="str">
        <f>IFERROR(IF(Portafolio_Proyectos!$AR154="","","Distintiva"),"")</f>
        <v/>
      </c>
      <c r="D463" s="5" t="str">
        <f>IFERROR(IF(Portafolio_Proyectos!$AR154="","",Portafolio_Proyectos!$C154),"")</f>
        <v/>
      </c>
      <c r="E463" s="5" t="str">
        <f>IFERROR(IF(Portafolio_Proyectos!$AR154="","",Portafolio_Proyectos!$B154),"")</f>
        <v/>
      </c>
      <c r="F463" s="5" t="str">
        <f>IFERROR(IF(Portafolio_Proyectos!$AR154="","",Portafolio_Proyectos!$D154),"")</f>
        <v/>
      </c>
      <c r="G463" s="5" t="str">
        <f>IFERROR(IF(Portafolio_Proyectos!$AR154="","",Portafolio_Proyectos!$A154),"")</f>
        <v/>
      </c>
      <c r="H463" s="5" t="str">
        <f>IFERROR(IF(Portafolio_Proyectos!$AR154="","",Portafolio_Proyectos!$E154),"")</f>
        <v/>
      </c>
    </row>
    <row r="464" spans="1:8" x14ac:dyDescent="0.35">
      <c r="A464" s="5" t="str">
        <f>IFERROR(IF(Portafolio_Proyectos!$AP155="","","CAP-"&amp;ROW()-1),"")</f>
        <v/>
      </c>
      <c r="B464" s="5" t="str">
        <f>IFERROR(IF(Portafolio_Proyectos!$AP155="","",Portafolio_Proyectos!$AP155),"")</f>
        <v/>
      </c>
      <c r="C464" s="5" t="str">
        <f>IFERROR(IF(Portafolio_Proyectos!$AP155="","","Emergente"),"")</f>
        <v/>
      </c>
      <c r="D464" s="5" t="str">
        <f>IFERROR(IF(Portafolio_Proyectos!$AP155="","",Portafolio_Proyectos!$C155),"")</f>
        <v/>
      </c>
      <c r="E464" s="5" t="str">
        <f>IFERROR(IF(Portafolio_Proyectos!$AP155="","",Portafolio_Proyectos!$B155),"")</f>
        <v/>
      </c>
      <c r="F464" s="5" t="str">
        <f>IFERROR(IF(Portafolio_Proyectos!$AP155="","",Portafolio_Proyectos!$D155),"")</f>
        <v/>
      </c>
      <c r="G464" s="5" t="str">
        <f>IFERROR(IF(Portafolio_Proyectos!$AP155="","",Portafolio_Proyectos!$A155),"")</f>
        <v/>
      </c>
      <c r="H464" s="5" t="str">
        <f>IFERROR(IF(Portafolio_Proyectos!$AP155="","",Portafolio_Proyectos!$E155),"")</f>
        <v/>
      </c>
    </row>
    <row r="465" spans="1:8" x14ac:dyDescent="0.35">
      <c r="A465" s="5" t="str">
        <f>IFERROR(IF(Portafolio_Proyectos!$AQ155="","","CAP-"&amp;ROW()-1),"")</f>
        <v/>
      </c>
      <c r="B465" s="5" t="str">
        <f>IFERROR(IF(Portafolio_Proyectos!$AQ155="","",Portafolio_Proyectos!$AQ155),"")</f>
        <v/>
      </c>
      <c r="C465" s="5" t="str">
        <f>IFERROR(IF(Portafolio_Proyectos!$AQ155="","","Consolidada"),"")</f>
        <v/>
      </c>
      <c r="D465" s="5" t="str">
        <f>IFERROR(IF(Portafolio_Proyectos!$AQ155="","",Portafolio_Proyectos!$C155),"")</f>
        <v/>
      </c>
      <c r="E465" s="5" t="str">
        <f>IFERROR(IF(Portafolio_Proyectos!$AQ155="","",Portafolio_Proyectos!$B155),"")</f>
        <v/>
      </c>
      <c r="F465" s="5" t="str">
        <f>IFERROR(IF(Portafolio_Proyectos!$AQ155="","",Portafolio_Proyectos!$D155),"")</f>
        <v/>
      </c>
      <c r="G465" s="5" t="str">
        <f>IFERROR(IF(Portafolio_Proyectos!$AQ155="","",Portafolio_Proyectos!$A155),"")</f>
        <v/>
      </c>
      <c r="H465" s="5" t="str">
        <f>IFERROR(IF(Portafolio_Proyectos!$AQ155="","",Portafolio_Proyectos!$E155),"")</f>
        <v/>
      </c>
    </row>
    <row r="466" spans="1:8" x14ac:dyDescent="0.35">
      <c r="A466" s="5" t="str">
        <f>IFERROR(IF(Portafolio_Proyectos!$AR155="","","CAP-"&amp;ROW()-1),"")</f>
        <v/>
      </c>
      <c r="B466" s="5" t="str">
        <f>IFERROR(IF(Portafolio_Proyectos!$AR155="","",Portafolio_Proyectos!$AR155),"")</f>
        <v/>
      </c>
      <c r="C466" s="5" t="str">
        <f>IFERROR(IF(Portafolio_Proyectos!$AR155="","","Distintiva"),"")</f>
        <v/>
      </c>
      <c r="D466" s="5" t="str">
        <f>IFERROR(IF(Portafolio_Proyectos!$AR155="","",Portafolio_Proyectos!$C155),"")</f>
        <v/>
      </c>
      <c r="E466" s="5" t="str">
        <f>IFERROR(IF(Portafolio_Proyectos!$AR155="","",Portafolio_Proyectos!$B155),"")</f>
        <v/>
      </c>
      <c r="F466" s="5" t="str">
        <f>IFERROR(IF(Portafolio_Proyectos!$AR155="","",Portafolio_Proyectos!$D155),"")</f>
        <v/>
      </c>
      <c r="G466" s="5" t="str">
        <f>IFERROR(IF(Portafolio_Proyectos!$AR155="","",Portafolio_Proyectos!$A155),"")</f>
        <v/>
      </c>
      <c r="H466" s="5" t="str">
        <f>IFERROR(IF(Portafolio_Proyectos!$AR155="","",Portafolio_Proyectos!$E155),"")</f>
        <v/>
      </c>
    </row>
    <row r="467" spans="1:8" x14ac:dyDescent="0.35">
      <c r="A467" s="5" t="str">
        <f>IFERROR(IF(Portafolio_Proyectos!$AP156="","","CAP-"&amp;ROW()-1),"")</f>
        <v/>
      </c>
      <c r="B467" s="5" t="str">
        <f>IFERROR(IF(Portafolio_Proyectos!$AP156="","",Portafolio_Proyectos!$AP156),"")</f>
        <v/>
      </c>
      <c r="C467" s="5" t="str">
        <f>IFERROR(IF(Portafolio_Proyectos!$AP156="","","Emergente"),"")</f>
        <v/>
      </c>
      <c r="D467" s="5" t="str">
        <f>IFERROR(IF(Portafolio_Proyectos!$AP156="","",Portafolio_Proyectos!$C156),"")</f>
        <v/>
      </c>
      <c r="E467" s="5" t="str">
        <f>IFERROR(IF(Portafolio_Proyectos!$AP156="","",Portafolio_Proyectos!$B156),"")</f>
        <v/>
      </c>
      <c r="F467" s="5" t="str">
        <f>IFERROR(IF(Portafolio_Proyectos!$AP156="","",Portafolio_Proyectos!$D156),"")</f>
        <v/>
      </c>
      <c r="G467" s="5" t="str">
        <f>IFERROR(IF(Portafolio_Proyectos!$AP156="","",Portafolio_Proyectos!$A156),"")</f>
        <v/>
      </c>
      <c r="H467" s="5" t="str">
        <f>IFERROR(IF(Portafolio_Proyectos!$AP156="","",Portafolio_Proyectos!$E156),"")</f>
        <v/>
      </c>
    </row>
    <row r="468" spans="1:8" x14ac:dyDescent="0.35">
      <c r="A468" s="5" t="str">
        <f>IFERROR(IF(Portafolio_Proyectos!$AQ156="","","CAP-"&amp;ROW()-1),"")</f>
        <v/>
      </c>
      <c r="B468" s="5" t="str">
        <f>IFERROR(IF(Portafolio_Proyectos!$AQ156="","",Portafolio_Proyectos!$AQ156),"")</f>
        <v/>
      </c>
      <c r="C468" s="5" t="str">
        <f>IFERROR(IF(Portafolio_Proyectos!$AQ156="","","Consolidada"),"")</f>
        <v/>
      </c>
      <c r="D468" s="5" t="str">
        <f>IFERROR(IF(Portafolio_Proyectos!$AQ156="","",Portafolio_Proyectos!$C156),"")</f>
        <v/>
      </c>
      <c r="E468" s="5" t="str">
        <f>IFERROR(IF(Portafolio_Proyectos!$AQ156="","",Portafolio_Proyectos!$B156),"")</f>
        <v/>
      </c>
      <c r="F468" s="5" t="str">
        <f>IFERROR(IF(Portafolio_Proyectos!$AQ156="","",Portafolio_Proyectos!$D156),"")</f>
        <v/>
      </c>
      <c r="G468" s="5" t="str">
        <f>IFERROR(IF(Portafolio_Proyectos!$AQ156="","",Portafolio_Proyectos!$A156),"")</f>
        <v/>
      </c>
      <c r="H468" s="5" t="str">
        <f>IFERROR(IF(Portafolio_Proyectos!$AQ156="","",Portafolio_Proyectos!$E156),"")</f>
        <v/>
      </c>
    </row>
    <row r="469" spans="1:8" x14ac:dyDescent="0.35">
      <c r="A469" s="5" t="str">
        <f>IFERROR(IF(Portafolio_Proyectos!$AR156="","","CAP-"&amp;ROW()-1),"")</f>
        <v/>
      </c>
      <c r="B469" s="5" t="str">
        <f>IFERROR(IF(Portafolio_Proyectos!$AR156="","",Portafolio_Proyectos!$AR156),"")</f>
        <v/>
      </c>
      <c r="C469" s="5" t="str">
        <f>IFERROR(IF(Portafolio_Proyectos!$AR156="","","Distintiva"),"")</f>
        <v/>
      </c>
      <c r="D469" s="5" t="str">
        <f>IFERROR(IF(Portafolio_Proyectos!$AR156="","",Portafolio_Proyectos!$C156),"")</f>
        <v/>
      </c>
      <c r="E469" s="5" t="str">
        <f>IFERROR(IF(Portafolio_Proyectos!$AR156="","",Portafolio_Proyectos!$B156),"")</f>
        <v/>
      </c>
      <c r="F469" s="5" t="str">
        <f>IFERROR(IF(Portafolio_Proyectos!$AR156="","",Portafolio_Proyectos!$D156),"")</f>
        <v/>
      </c>
      <c r="G469" s="5" t="str">
        <f>IFERROR(IF(Portafolio_Proyectos!$AR156="","",Portafolio_Proyectos!$A156),"")</f>
        <v/>
      </c>
      <c r="H469" s="5" t="str">
        <f>IFERROR(IF(Portafolio_Proyectos!$AR156="","",Portafolio_Proyectos!$E156),"")</f>
        <v/>
      </c>
    </row>
    <row r="470" spans="1:8" x14ac:dyDescent="0.35">
      <c r="A470" s="5" t="str">
        <f>IFERROR(IF(Portafolio_Proyectos!$AP157="","","CAP-"&amp;ROW()-1),"")</f>
        <v/>
      </c>
      <c r="B470" s="5" t="str">
        <f>IFERROR(IF(Portafolio_Proyectos!$AP157="","",Portafolio_Proyectos!$AP157),"")</f>
        <v/>
      </c>
      <c r="C470" s="5" t="str">
        <f>IFERROR(IF(Portafolio_Proyectos!$AP157="","","Emergente"),"")</f>
        <v/>
      </c>
      <c r="D470" s="5" t="str">
        <f>IFERROR(IF(Portafolio_Proyectos!$AP157="","",Portafolio_Proyectos!$C157),"")</f>
        <v/>
      </c>
      <c r="E470" s="5" t="str">
        <f>IFERROR(IF(Portafolio_Proyectos!$AP157="","",Portafolio_Proyectos!$B157),"")</f>
        <v/>
      </c>
      <c r="F470" s="5" t="str">
        <f>IFERROR(IF(Portafolio_Proyectos!$AP157="","",Portafolio_Proyectos!$D157),"")</f>
        <v/>
      </c>
      <c r="G470" s="5" t="str">
        <f>IFERROR(IF(Portafolio_Proyectos!$AP157="","",Portafolio_Proyectos!$A157),"")</f>
        <v/>
      </c>
      <c r="H470" s="5" t="str">
        <f>IFERROR(IF(Portafolio_Proyectos!$AP157="","",Portafolio_Proyectos!$E157),"")</f>
        <v/>
      </c>
    </row>
    <row r="471" spans="1:8" x14ac:dyDescent="0.35">
      <c r="A471" s="5" t="str">
        <f>IFERROR(IF(Portafolio_Proyectos!$AQ157="","","CAP-"&amp;ROW()-1),"")</f>
        <v/>
      </c>
      <c r="B471" s="5" t="str">
        <f>IFERROR(IF(Portafolio_Proyectos!$AQ157="","",Portafolio_Proyectos!$AQ157),"")</f>
        <v/>
      </c>
      <c r="C471" s="5" t="str">
        <f>IFERROR(IF(Portafolio_Proyectos!$AQ157="","","Consolidada"),"")</f>
        <v/>
      </c>
      <c r="D471" s="5" t="str">
        <f>IFERROR(IF(Portafolio_Proyectos!$AQ157="","",Portafolio_Proyectos!$C157),"")</f>
        <v/>
      </c>
      <c r="E471" s="5" t="str">
        <f>IFERROR(IF(Portafolio_Proyectos!$AQ157="","",Portafolio_Proyectos!$B157),"")</f>
        <v/>
      </c>
      <c r="F471" s="5" t="str">
        <f>IFERROR(IF(Portafolio_Proyectos!$AQ157="","",Portafolio_Proyectos!$D157),"")</f>
        <v/>
      </c>
      <c r="G471" s="5" t="str">
        <f>IFERROR(IF(Portafolio_Proyectos!$AQ157="","",Portafolio_Proyectos!$A157),"")</f>
        <v/>
      </c>
      <c r="H471" s="5" t="str">
        <f>IFERROR(IF(Portafolio_Proyectos!$AQ157="","",Portafolio_Proyectos!$E157),"")</f>
        <v/>
      </c>
    </row>
    <row r="472" spans="1:8" x14ac:dyDescent="0.35">
      <c r="A472" s="5" t="str">
        <f>IFERROR(IF(Portafolio_Proyectos!$AR157="","","CAP-"&amp;ROW()-1),"")</f>
        <v/>
      </c>
      <c r="B472" s="5" t="str">
        <f>IFERROR(IF(Portafolio_Proyectos!$AR157="","",Portafolio_Proyectos!$AR157),"")</f>
        <v/>
      </c>
      <c r="C472" s="5" t="str">
        <f>IFERROR(IF(Portafolio_Proyectos!$AR157="","","Distintiva"),"")</f>
        <v/>
      </c>
      <c r="D472" s="5" t="str">
        <f>IFERROR(IF(Portafolio_Proyectos!$AR157="","",Portafolio_Proyectos!$C157),"")</f>
        <v/>
      </c>
      <c r="E472" s="5" t="str">
        <f>IFERROR(IF(Portafolio_Proyectos!$AR157="","",Portafolio_Proyectos!$B157),"")</f>
        <v/>
      </c>
      <c r="F472" s="5" t="str">
        <f>IFERROR(IF(Portafolio_Proyectos!$AR157="","",Portafolio_Proyectos!$D157),"")</f>
        <v/>
      </c>
      <c r="G472" s="5" t="str">
        <f>IFERROR(IF(Portafolio_Proyectos!$AR157="","",Portafolio_Proyectos!$A157),"")</f>
        <v/>
      </c>
      <c r="H472" s="5" t="str">
        <f>IFERROR(IF(Portafolio_Proyectos!$AR157="","",Portafolio_Proyectos!$E157),"")</f>
        <v/>
      </c>
    </row>
    <row r="473" spans="1:8" x14ac:dyDescent="0.35">
      <c r="A473" s="5" t="str">
        <f>IFERROR(IF(Portafolio_Proyectos!$AP158="","","CAP-"&amp;ROW()-1),"")</f>
        <v/>
      </c>
      <c r="B473" s="5" t="str">
        <f>IFERROR(IF(Portafolio_Proyectos!$AP158="","",Portafolio_Proyectos!$AP158),"")</f>
        <v/>
      </c>
      <c r="C473" s="5" t="str">
        <f>IFERROR(IF(Portafolio_Proyectos!$AP158="","","Emergente"),"")</f>
        <v/>
      </c>
      <c r="D473" s="5" t="str">
        <f>IFERROR(IF(Portafolio_Proyectos!$AP158="","",Portafolio_Proyectos!$C158),"")</f>
        <v/>
      </c>
      <c r="E473" s="5" t="str">
        <f>IFERROR(IF(Portafolio_Proyectos!$AP158="","",Portafolio_Proyectos!$B158),"")</f>
        <v/>
      </c>
      <c r="F473" s="5" t="str">
        <f>IFERROR(IF(Portafolio_Proyectos!$AP158="","",Portafolio_Proyectos!$D158),"")</f>
        <v/>
      </c>
      <c r="G473" s="5" t="str">
        <f>IFERROR(IF(Portafolio_Proyectos!$AP158="","",Portafolio_Proyectos!$A158),"")</f>
        <v/>
      </c>
      <c r="H473" s="5" t="str">
        <f>IFERROR(IF(Portafolio_Proyectos!$AP158="","",Portafolio_Proyectos!$E158),"")</f>
        <v/>
      </c>
    </row>
    <row r="474" spans="1:8" x14ac:dyDescent="0.35">
      <c r="A474" s="5" t="str">
        <f>IFERROR(IF(Portafolio_Proyectos!$AQ158="","","CAP-"&amp;ROW()-1),"")</f>
        <v/>
      </c>
      <c r="B474" s="5" t="str">
        <f>IFERROR(IF(Portafolio_Proyectos!$AQ158="","",Portafolio_Proyectos!$AQ158),"")</f>
        <v/>
      </c>
      <c r="C474" s="5" t="str">
        <f>IFERROR(IF(Portafolio_Proyectos!$AQ158="","","Consolidada"),"")</f>
        <v/>
      </c>
      <c r="D474" s="5" t="str">
        <f>IFERROR(IF(Portafolio_Proyectos!$AQ158="","",Portafolio_Proyectos!$C158),"")</f>
        <v/>
      </c>
      <c r="E474" s="5" t="str">
        <f>IFERROR(IF(Portafolio_Proyectos!$AQ158="","",Portafolio_Proyectos!$B158),"")</f>
        <v/>
      </c>
      <c r="F474" s="5" t="str">
        <f>IFERROR(IF(Portafolio_Proyectos!$AQ158="","",Portafolio_Proyectos!$D158),"")</f>
        <v/>
      </c>
      <c r="G474" s="5" t="str">
        <f>IFERROR(IF(Portafolio_Proyectos!$AQ158="","",Portafolio_Proyectos!$A158),"")</f>
        <v/>
      </c>
      <c r="H474" s="5" t="str">
        <f>IFERROR(IF(Portafolio_Proyectos!$AQ158="","",Portafolio_Proyectos!$E158),"")</f>
        <v/>
      </c>
    </row>
    <row r="475" spans="1:8" x14ac:dyDescent="0.35">
      <c r="A475" s="5" t="str">
        <f>IFERROR(IF(Portafolio_Proyectos!$AR158="","","CAP-"&amp;ROW()-1),"")</f>
        <v/>
      </c>
      <c r="B475" s="5" t="str">
        <f>IFERROR(IF(Portafolio_Proyectos!$AR158="","",Portafolio_Proyectos!$AR158),"")</f>
        <v/>
      </c>
      <c r="C475" s="5" t="str">
        <f>IFERROR(IF(Portafolio_Proyectos!$AR158="","","Distintiva"),"")</f>
        <v/>
      </c>
      <c r="D475" s="5" t="str">
        <f>IFERROR(IF(Portafolio_Proyectos!$AR158="","",Portafolio_Proyectos!$C158),"")</f>
        <v/>
      </c>
      <c r="E475" s="5" t="str">
        <f>IFERROR(IF(Portafolio_Proyectos!$AR158="","",Portafolio_Proyectos!$B158),"")</f>
        <v/>
      </c>
      <c r="F475" s="5" t="str">
        <f>IFERROR(IF(Portafolio_Proyectos!$AR158="","",Portafolio_Proyectos!$D158),"")</f>
        <v/>
      </c>
      <c r="G475" s="5" t="str">
        <f>IFERROR(IF(Portafolio_Proyectos!$AR158="","",Portafolio_Proyectos!$A158),"")</f>
        <v/>
      </c>
      <c r="H475" s="5" t="str">
        <f>IFERROR(IF(Portafolio_Proyectos!$AR158="","",Portafolio_Proyectos!$E158),"")</f>
        <v/>
      </c>
    </row>
    <row r="476" spans="1:8" x14ac:dyDescent="0.35">
      <c r="A476" s="5" t="str">
        <f>IFERROR(IF(Portafolio_Proyectos!$AP159="","","CAP-"&amp;ROW()-1),"")</f>
        <v/>
      </c>
      <c r="B476" s="5" t="str">
        <f>IFERROR(IF(Portafolio_Proyectos!$AP159="","",Portafolio_Proyectos!$AP159),"")</f>
        <v/>
      </c>
      <c r="C476" s="5" t="str">
        <f>IFERROR(IF(Portafolio_Proyectos!$AP159="","","Emergente"),"")</f>
        <v/>
      </c>
      <c r="D476" s="5" t="str">
        <f>IFERROR(IF(Portafolio_Proyectos!$AP159="","",Portafolio_Proyectos!$C159),"")</f>
        <v/>
      </c>
      <c r="E476" s="5" t="str">
        <f>IFERROR(IF(Portafolio_Proyectos!$AP159="","",Portafolio_Proyectos!$B159),"")</f>
        <v/>
      </c>
      <c r="F476" s="5" t="str">
        <f>IFERROR(IF(Portafolio_Proyectos!$AP159="","",Portafolio_Proyectos!$D159),"")</f>
        <v/>
      </c>
      <c r="G476" s="5" t="str">
        <f>IFERROR(IF(Portafolio_Proyectos!$AP159="","",Portafolio_Proyectos!$A159),"")</f>
        <v/>
      </c>
      <c r="H476" s="5" t="str">
        <f>IFERROR(IF(Portafolio_Proyectos!$AP159="","",Portafolio_Proyectos!$E159),"")</f>
        <v/>
      </c>
    </row>
    <row r="477" spans="1:8" x14ac:dyDescent="0.35">
      <c r="A477" s="5" t="str">
        <f>IFERROR(IF(Portafolio_Proyectos!$AQ159="","","CAP-"&amp;ROW()-1),"")</f>
        <v/>
      </c>
      <c r="B477" s="5" t="str">
        <f>IFERROR(IF(Portafolio_Proyectos!$AQ159="","",Portafolio_Proyectos!$AQ159),"")</f>
        <v/>
      </c>
      <c r="C477" s="5" t="str">
        <f>IFERROR(IF(Portafolio_Proyectos!$AQ159="","","Consolidada"),"")</f>
        <v/>
      </c>
      <c r="D477" s="5" t="str">
        <f>IFERROR(IF(Portafolio_Proyectos!$AQ159="","",Portafolio_Proyectos!$C159),"")</f>
        <v/>
      </c>
      <c r="E477" s="5" t="str">
        <f>IFERROR(IF(Portafolio_Proyectos!$AQ159="","",Portafolio_Proyectos!$B159),"")</f>
        <v/>
      </c>
      <c r="F477" s="5" t="str">
        <f>IFERROR(IF(Portafolio_Proyectos!$AQ159="","",Portafolio_Proyectos!$D159),"")</f>
        <v/>
      </c>
      <c r="G477" s="5" t="str">
        <f>IFERROR(IF(Portafolio_Proyectos!$AQ159="","",Portafolio_Proyectos!$A159),"")</f>
        <v/>
      </c>
      <c r="H477" s="5" t="str">
        <f>IFERROR(IF(Portafolio_Proyectos!$AQ159="","",Portafolio_Proyectos!$E159),"")</f>
        <v/>
      </c>
    </row>
    <row r="478" spans="1:8" x14ac:dyDescent="0.35">
      <c r="A478" s="5" t="str">
        <f>IFERROR(IF(Portafolio_Proyectos!$AR159="","","CAP-"&amp;ROW()-1),"")</f>
        <v/>
      </c>
      <c r="B478" s="5" t="str">
        <f>IFERROR(IF(Portafolio_Proyectos!$AR159="","",Portafolio_Proyectos!$AR159),"")</f>
        <v/>
      </c>
      <c r="C478" s="5" t="str">
        <f>IFERROR(IF(Portafolio_Proyectos!$AR159="","","Distintiva"),"")</f>
        <v/>
      </c>
      <c r="D478" s="5" t="str">
        <f>IFERROR(IF(Portafolio_Proyectos!$AR159="","",Portafolio_Proyectos!$C159),"")</f>
        <v/>
      </c>
      <c r="E478" s="5" t="str">
        <f>IFERROR(IF(Portafolio_Proyectos!$AR159="","",Portafolio_Proyectos!$B159),"")</f>
        <v/>
      </c>
      <c r="F478" s="5" t="str">
        <f>IFERROR(IF(Portafolio_Proyectos!$AR159="","",Portafolio_Proyectos!$D159),"")</f>
        <v/>
      </c>
      <c r="G478" s="5" t="str">
        <f>IFERROR(IF(Portafolio_Proyectos!$AR159="","",Portafolio_Proyectos!$A159),"")</f>
        <v/>
      </c>
      <c r="H478" s="5" t="str">
        <f>IFERROR(IF(Portafolio_Proyectos!$AR159="","",Portafolio_Proyectos!$E159),"")</f>
        <v/>
      </c>
    </row>
    <row r="479" spans="1:8" x14ac:dyDescent="0.35">
      <c r="A479" s="5" t="str">
        <f>IFERROR(IF(Portafolio_Proyectos!$AP160="","","CAP-"&amp;ROW()-1),"")</f>
        <v/>
      </c>
      <c r="B479" s="5" t="str">
        <f>IFERROR(IF(Portafolio_Proyectos!$AP160="","",Portafolio_Proyectos!$AP160),"")</f>
        <v/>
      </c>
      <c r="C479" s="5" t="str">
        <f>IFERROR(IF(Portafolio_Proyectos!$AP160="","","Emergente"),"")</f>
        <v/>
      </c>
      <c r="D479" s="5" t="str">
        <f>IFERROR(IF(Portafolio_Proyectos!$AP160="","",Portafolio_Proyectos!$C160),"")</f>
        <v/>
      </c>
      <c r="E479" s="5" t="str">
        <f>IFERROR(IF(Portafolio_Proyectos!$AP160="","",Portafolio_Proyectos!$B160),"")</f>
        <v/>
      </c>
      <c r="F479" s="5" t="str">
        <f>IFERROR(IF(Portafolio_Proyectos!$AP160="","",Portafolio_Proyectos!$D160),"")</f>
        <v/>
      </c>
      <c r="G479" s="5" t="str">
        <f>IFERROR(IF(Portafolio_Proyectos!$AP160="","",Portafolio_Proyectos!$A160),"")</f>
        <v/>
      </c>
      <c r="H479" s="5" t="str">
        <f>IFERROR(IF(Portafolio_Proyectos!$AP160="","",Portafolio_Proyectos!$E160),"")</f>
        <v/>
      </c>
    </row>
    <row r="480" spans="1:8" x14ac:dyDescent="0.35">
      <c r="A480" s="5" t="str">
        <f>IFERROR(IF(Portafolio_Proyectos!$AQ160="","","CAP-"&amp;ROW()-1),"")</f>
        <v/>
      </c>
      <c r="B480" s="5" t="str">
        <f>IFERROR(IF(Portafolio_Proyectos!$AQ160="","",Portafolio_Proyectos!$AQ160),"")</f>
        <v/>
      </c>
      <c r="C480" s="5" t="str">
        <f>IFERROR(IF(Portafolio_Proyectos!$AQ160="","","Consolidada"),"")</f>
        <v/>
      </c>
      <c r="D480" s="5" t="str">
        <f>IFERROR(IF(Portafolio_Proyectos!$AQ160="","",Portafolio_Proyectos!$C160),"")</f>
        <v/>
      </c>
      <c r="E480" s="5" t="str">
        <f>IFERROR(IF(Portafolio_Proyectos!$AQ160="","",Portafolio_Proyectos!$B160),"")</f>
        <v/>
      </c>
      <c r="F480" s="5" t="str">
        <f>IFERROR(IF(Portafolio_Proyectos!$AQ160="","",Portafolio_Proyectos!$D160),"")</f>
        <v/>
      </c>
      <c r="G480" s="5" t="str">
        <f>IFERROR(IF(Portafolio_Proyectos!$AQ160="","",Portafolio_Proyectos!$A160),"")</f>
        <v/>
      </c>
      <c r="H480" s="5" t="str">
        <f>IFERROR(IF(Portafolio_Proyectos!$AQ160="","",Portafolio_Proyectos!$E160),"")</f>
        <v/>
      </c>
    </row>
    <row r="481" spans="1:8" x14ac:dyDescent="0.35">
      <c r="A481" s="5" t="str">
        <f>IFERROR(IF(Portafolio_Proyectos!$AR160="","","CAP-"&amp;ROW()-1),"")</f>
        <v/>
      </c>
      <c r="B481" s="5" t="str">
        <f>IFERROR(IF(Portafolio_Proyectos!$AR160="","",Portafolio_Proyectos!$AR160),"")</f>
        <v/>
      </c>
      <c r="C481" s="5" t="str">
        <f>IFERROR(IF(Portafolio_Proyectos!$AR160="","","Distintiva"),"")</f>
        <v/>
      </c>
      <c r="D481" s="5" t="str">
        <f>IFERROR(IF(Portafolio_Proyectos!$AR160="","",Portafolio_Proyectos!$C160),"")</f>
        <v/>
      </c>
      <c r="E481" s="5" t="str">
        <f>IFERROR(IF(Portafolio_Proyectos!$AR160="","",Portafolio_Proyectos!$B160),"")</f>
        <v/>
      </c>
      <c r="F481" s="5" t="str">
        <f>IFERROR(IF(Portafolio_Proyectos!$AR160="","",Portafolio_Proyectos!$D160),"")</f>
        <v/>
      </c>
      <c r="G481" s="5" t="str">
        <f>IFERROR(IF(Portafolio_Proyectos!$AR160="","",Portafolio_Proyectos!$A160),"")</f>
        <v/>
      </c>
      <c r="H481" s="5" t="str">
        <f>IFERROR(IF(Portafolio_Proyectos!$AR160="","",Portafolio_Proyectos!$E160),"")</f>
        <v/>
      </c>
    </row>
    <row r="482" spans="1:8" x14ac:dyDescent="0.35">
      <c r="A482" s="5" t="str">
        <f>IFERROR(IF(Portafolio_Proyectos!$AP161="","","CAP-"&amp;ROW()-1),"")</f>
        <v/>
      </c>
      <c r="B482" s="5" t="str">
        <f>IFERROR(IF(Portafolio_Proyectos!$AP161="","",Portafolio_Proyectos!$AP161),"")</f>
        <v/>
      </c>
      <c r="C482" s="5" t="str">
        <f>IFERROR(IF(Portafolio_Proyectos!$AP161="","","Emergente"),"")</f>
        <v/>
      </c>
      <c r="D482" s="5" t="str">
        <f>IFERROR(IF(Portafolio_Proyectos!$AP161="","",Portafolio_Proyectos!$C161),"")</f>
        <v/>
      </c>
      <c r="E482" s="5" t="str">
        <f>IFERROR(IF(Portafolio_Proyectos!$AP161="","",Portafolio_Proyectos!$B161),"")</f>
        <v/>
      </c>
      <c r="F482" s="5" t="str">
        <f>IFERROR(IF(Portafolio_Proyectos!$AP161="","",Portafolio_Proyectos!$D161),"")</f>
        <v/>
      </c>
      <c r="G482" s="5" t="str">
        <f>IFERROR(IF(Portafolio_Proyectos!$AP161="","",Portafolio_Proyectos!$A161),"")</f>
        <v/>
      </c>
      <c r="H482" s="5" t="str">
        <f>IFERROR(IF(Portafolio_Proyectos!$AP161="","",Portafolio_Proyectos!$E161),"")</f>
        <v/>
      </c>
    </row>
    <row r="483" spans="1:8" x14ac:dyDescent="0.35">
      <c r="A483" s="5" t="str">
        <f>IFERROR(IF(Portafolio_Proyectos!$AQ161="","","CAP-"&amp;ROW()-1),"")</f>
        <v/>
      </c>
      <c r="B483" s="5" t="str">
        <f>IFERROR(IF(Portafolio_Proyectos!$AQ161="","",Portafolio_Proyectos!$AQ161),"")</f>
        <v/>
      </c>
      <c r="C483" s="5" t="str">
        <f>IFERROR(IF(Portafolio_Proyectos!$AQ161="","","Consolidada"),"")</f>
        <v/>
      </c>
      <c r="D483" s="5" t="str">
        <f>IFERROR(IF(Portafolio_Proyectos!$AQ161="","",Portafolio_Proyectos!$C161),"")</f>
        <v/>
      </c>
      <c r="E483" s="5" t="str">
        <f>IFERROR(IF(Portafolio_Proyectos!$AQ161="","",Portafolio_Proyectos!$B161),"")</f>
        <v/>
      </c>
      <c r="F483" s="5" t="str">
        <f>IFERROR(IF(Portafolio_Proyectos!$AQ161="","",Portafolio_Proyectos!$D161),"")</f>
        <v/>
      </c>
      <c r="G483" s="5" t="str">
        <f>IFERROR(IF(Portafolio_Proyectos!$AQ161="","",Portafolio_Proyectos!$A161),"")</f>
        <v/>
      </c>
      <c r="H483" s="5" t="str">
        <f>IFERROR(IF(Portafolio_Proyectos!$AQ161="","",Portafolio_Proyectos!$E161),"")</f>
        <v/>
      </c>
    </row>
    <row r="484" spans="1:8" x14ac:dyDescent="0.35">
      <c r="A484" s="5" t="str">
        <f>IFERROR(IF(Portafolio_Proyectos!$AR161="","","CAP-"&amp;ROW()-1),"")</f>
        <v/>
      </c>
      <c r="B484" s="5" t="str">
        <f>IFERROR(IF(Portafolio_Proyectos!$AR161="","",Portafolio_Proyectos!$AR161),"")</f>
        <v/>
      </c>
      <c r="C484" s="5" t="str">
        <f>IFERROR(IF(Portafolio_Proyectos!$AR161="","","Distintiva"),"")</f>
        <v/>
      </c>
      <c r="D484" s="5" t="str">
        <f>IFERROR(IF(Portafolio_Proyectos!$AR161="","",Portafolio_Proyectos!$C161),"")</f>
        <v/>
      </c>
      <c r="E484" s="5" t="str">
        <f>IFERROR(IF(Portafolio_Proyectos!$AR161="","",Portafolio_Proyectos!$B161),"")</f>
        <v/>
      </c>
      <c r="F484" s="5" t="str">
        <f>IFERROR(IF(Portafolio_Proyectos!$AR161="","",Portafolio_Proyectos!$D161),"")</f>
        <v/>
      </c>
      <c r="G484" s="5" t="str">
        <f>IFERROR(IF(Portafolio_Proyectos!$AR161="","",Portafolio_Proyectos!$A161),"")</f>
        <v/>
      </c>
      <c r="H484" s="5" t="str">
        <f>IFERROR(IF(Portafolio_Proyectos!$AR161="","",Portafolio_Proyectos!$E161),"")</f>
        <v/>
      </c>
    </row>
    <row r="485" spans="1:8" x14ac:dyDescent="0.35">
      <c r="A485" s="5" t="str">
        <f>IFERROR(IF(Portafolio_Proyectos!$AP162="","","CAP-"&amp;ROW()-1),"")</f>
        <v/>
      </c>
      <c r="B485" s="5" t="str">
        <f>IFERROR(IF(Portafolio_Proyectos!$AP162="","",Portafolio_Proyectos!$AP162),"")</f>
        <v/>
      </c>
      <c r="C485" s="5" t="str">
        <f>IFERROR(IF(Portafolio_Proyectos!$AP162="","","Emergente"),"")</f>
        <v/>
      </c>
      <c r="D485" s="5" t="str">
        <f>IFERROR(IF(Portafolio_Proyectos!$AP162="","",Portafolio_Proyectos!$C162),"")</f>
        <v/>
      </c>
      <c r="E485" s="5" t="str">
        <f>IFERROR(IF(Portafolio_Proyectos!$AP162="","",Portafolio_Proyectos!$B162),"")</f>
        <v/>
      </c>
      <c r="F485" s="5" t="str">
        <f>IFERROR(IF(Portafolio_Proyectos!$AP162="","",Portafolio_Proyectos!$D162),"")</f>
        <v/>
      </c>
      <c r="G485" s="5" t="str">
        <f>IFERROR(IF(Portafolio_Proyectos!$AP162="","",Portafolio_Proyectos!$A162),"")</f>
        <v/>
      </c>
      <c r="H485" s="5" t="str">
        <f>IFERROR(IF(Portafolio_Proyectos!$AP162="","",Portafolio_Proyectos!$E162),"")</f>
        <v/>
      </c>
    </row>
    <row r="486" spans="1:8" x14ac:dyDescent="0.35">
      <c r="A486" s="5" t="str">
        <f>IFERROR(IF(Portafolio_Proyectos!$AQ162="","","CAP-"&amp;ROW()-1),"")</f>
        <v/>
      </c>
      <c r="B486" s="5" t="str">
        <f>IFERROR(IF(Portafolio_Proyectos!$AQ162="","",Portafolio_Proyectos!$AQ162),"")</f>
        <v/>
      </c>
      <c r="C486" s="5" t="str">
        <f>IFERROR(IF(Portafolio_Proyectos!$AQ162="","","Consolidada"),"")</f>
        <v/>
      </c>
      <c r="D486" s="5" t="str">
        <f>IFERROR(IF(Portafolio_Proyectos!$AQ162="","",Portafolio_Proyectos!$C162),"")</f>
        <v/>
      </c>
      <c r="E486" s="5" t="str">
        <f>IFERROR(IF(Portafolio_Proyectos!$AQ162="","",Portafolio_Proyectos!$B162),"")</f>
        <v/>
      </c>
      <c r="F486" s="5" t="str">
        <f>IFERROR(IF(Portafolio_Proyectos!$AQ162="","",Portafolio_Proyectos!$D162),"")</f>
        <v/>
      </c>
      <c r="G486" s="5" t="str">
        <f>IFERROR(IF(Portafolio_Proyectos!$AQ162="","",Portafolio_Proyectos!$A162),"")</f>
        <v/>
      </c>
      <c r="H486" s="5" t="str">
        <f>IFERROR(IF(Portafolio_Proyectos!$AQ162="","",Portafolio_Proyectos!$E162),"")</f>
        <v/>
      </c>
    </row>
    <row r="487" spans="1:8" x14ac:dyDescent="0.35">
      <c r="A487" s="5" t="str">
        <f>IFERROR(IF(Portafolio_Proyectos!$AR162="","","CAP-"&amp;ROW()-1),"")</f>
        <v/>
      </c>
      <c r="B487" s="5" t="str">
        <f>IFERROR(IF(Portafolio_Proyectos!$AR162="","",Portafolio_Proyectos!$AR162),"")</f>
        <v/>
      </c>
      <c r="C487" s="5" t="str">
        <f>IFERROR(IF(Portafolio_Proyectos!$AR162="","","Distintiva"),"")</f>
        <v/>
      </c>
      <c r="D487" s="5" t="str">
        <f>IFERROR(IF(Portafolio_Proyectos!$AR162="","",Portafolio_Proyectos!$C162),"")</f>
        <v/>
      </c>
      <c r="E487" s="5" t="str">
        <f>IFERROR(IF(Portafolio_Proyectos!$AR162="","",Portafolio_Proyectos!$B162),"")</f>
        <v/>
      </c>
      <c r="F487" s="5" t="str">
        <f>IFERROR(IF(Portafolio_Proyectos!$AR162="","",Portafolio_Proyectos!$D162),"")</f>
        <v/>
      </c>
      <c r="G487" s="5" t="str">
        <f>IFERROR(IF(Portafolio_Proyectos!$AR162="","",Portafolio_Proyectos!$A162),"")</f>
        <v/>
      </c>
      <c r="H487" s="5" t="str">
        <f>IFERROR(IF(Portafolio_Proyectos!$AR162="","",Portafolio_Proyectos!$E162),"")</f>
        <v/>
      </c>
    </row>
    <row r="488" spans="1:8" x14ac:dyDescent="0.35">
      <c r="A488" s="5" t="str">
        <f>IFERROR(IF(Portafolio_Proyectos!$AP163="","","CAP-"&amp;ROW()-1),"")</f>
        <v/>
      </c>
      <c r="B488" s="5" t="str">
        <f>IFERROR(IF(Portafolio_Proyectos!$AP163="","",Portafolio_Proyectos!$AP163),"")</f>
        <v/>
      </c>
      <c r="C488" s="5" t="str">
        <f>IFERROR(IF(Portafolio_Proyectos!$AP163="","","Emergente"),"")</f>
        <v/>
      </c>
      <c r="D488" s="5" t="str">
        <f>IFERROR(IF(Portafolio_Proyectos!$AP163="","",Portafolio_Proyectos!$C163),"")</f>
        <v/>
      </c>
      <c r="E488" s="5" t="str">
        <f>IFERROR(IF(Portafolio_Proyectos!$AP163="","",Portafolio_Proyectos!$B163),"")</f>
        <v/>
      </c>
      <c r="F488" s="5" t="str">
        <f>IFERROR(IF(Portafolio_Proyectos!$AP163="","",Portafolio_Proyectos!$D163),"")</f>
        <v/>
      </c>
      <c r="G488" s="5" t="str">
        <f>IFERROR(IF(Portafolio_Proyectos!$AP163="","",Portafolio_Proyectos!$A163),"")</f>
        <v/>
      </c>
      <c r="H488" s="5" t="str">
        <f>IFERROR(IF(Portafolio_Proyectos!$AP163="","",Portafolio_Proyectos!$E163),"")</f>
        <v/>
      </c>
    </row>
    <row r="489" spans="1:8" x14ac:dyDescent="0.35">
      <c r="A489" s="5" t="str">
        <f>IFERROR(IF(Portafolio_Proyectos!$AQ163="","","CAP-"&amp;ROW()-1),"")</f>
        <v/>
      </c>
      <c r="B489" s="5" t="str">
        <f>IFERROR(IF(Portafolio_Proyectos!$AQ163="","",Portafolio_Proyectos!$AQ163),"")</f>
        <v/>
      </c>
      <c r="C489" s="5" t="str">
        <f>IFERROR(IF(Portafolio_Proyectos!$AQ163="","","Consolidada"),"")</f>
        <v/>
      </c>
      <c r="D489" s="5" t="str">
        <f>IFERROR(IF(Portafolio_Proyectos!$AQ163="","",Portafolio_Proyectos!$C163),"")</f>
        <v/>
      </c>
      <c r="E489" s="5" t="str">
        <f>IFERROR(IF(Portafolio_Proyectos!$AQ163="","",Portafolio_Proyectos!$B163),"")</f>
        <v/>
      </c>
      <c r="F489" s="5" t="str">
        <f>IFERROR(IF(Portafolio_Proyectos!$AQ163="","",Portafolio_Proyectos!$D163),"")</f>
        <v/>
      </c>
      <c r="G489" s="5" t="str">
        <f>IFERROR(IF(Portafolio_Proyectos!$AQ163="","",Portafolio_Proyectos!$A163),"")</f>
        <v/>
      </c>
      <c r="H489" s="5" t="str">
        <f>IFERROR(IF(Portafolio_Proyectos!$AQ163="","",Portafolio_Proyectos!$E163),"")</f>
        <v/>
      </c>
    </row>
    <row r="490" spans="1:8" x14ac:dyDescent="0.35">
      <c r="A490" s="5" t="str">
        <f>IFERROR(IF(Portafolio_Proyectos!$AR163="","","CAP-"&amp;ROW()-1),"")</f>
        <v/>
      </c>
      <c r="B490" s="5" t="str">
        <f>IFERROR(IF(Portafolio_Proyectos!$AR163="","",Portafolio_Proyectos!$AR163),"")</f>
        <v/>
      </c>
      <c r="C490" s="5" t="str">
        <f>IFERROR(IF(Portafolio_Proyectos!$AR163="","","Distintiva"),"")</f>
        <v/>
      </c>
      <c r="D490" s="5" t="str">
        <f>IFERROR(IF(Portafolio_Proyectos!$AR163="","",Portafolio_Proyectos!$C163),"")</f>
        <v/>
      </c>
      <c r="E490" s="5" t="str">
        <f>IFERROR(IF(Portafolio_Proyectos!$AR163="","",Portafolio_Proyectos!$B163),"")</f>
        <v/>
      </c>
      <c r="F490" s="5" t="str">
        <f>IFERROR(IF(Portafolio_Proyectos!$AR163="","",Portafolio_Proyectos!$D163),"")</f>
        <v/>
      </c>
      <c r="G490" s="5" t="str">
        <f>IFERROR(IF(Portafolio_Proyectos!$AR163="","",Portafolio_Proyectos!$A163),"")</f>
        <v/>
      </c>
      <c r="H490" s="5" t="str">
        <f>IFERROR(IF(Portafolio_Proyectos!$AR163="","",Portafolio_Proyectos!$E163),"")</f>
        <v/>
      </c>
    </row>
    <row r="491" spans="1:8" x14ac:dyDescent="0.35">
      <c r="A491" s="5" t="str">
        <f>IFERROR(IF(Portafolio_Proyectos!$AP164="","","CAP-"&amp;ROW()-1),"")</f>
        <v/>
      </c>
      <c r="B491" s="5" t="str">
        <f>IFERROR(IF(Portafolio_Proyectos!$AP164="","",Portafolio_Proyectos!$AP164),"")</f>
        <v/>
      </c>
      <c r="C491" s="5" t="str">
        <f>IFERROR(IF(Portafolio_Proyectos!$AP164="","","Emergente"),"")</f>
        <v/>
      </c>
      <c r="D491" s="5" t="str">
        <f>IFERROR(IF(Portafolio_Proyectos!$AP164="","",Portafolio_Proyectos!$C164),"")</f>
        <v/>
      </c>
      <c r="E491" s="5" t="str">
        <f>IFERROR(IF(Portafolio_Proyectos!$AP164="","",Portafolio_Proyectos!$B164),"")</f>
        <v/>
      </c>
      <c r="F491" s="5" t="str">
        <f>IFERROR(IF(Portafolio_Proyectos!$AP164="","",Portafolio_Proyectos!$D164),"")</f>
        <v/>
      </c>
      <c r="G491" s="5" t="str">
        <f>IFERROR(IF(Portafolio_Proyectos!$AP164="","",Portafolio_Proyectos!$A164),"")</f>
        <v/>
      </c>
      <c r="H491" s="5" t="str">
        <f>IFERROR(IF(Portafolio_Proyectos!$AP164="","",Portafolio_Proyectos!$E164),"")</f>
        <v/>
      </c>
    </row>
    <row r="492" spans="1:8" x14ac:dyDescent="0.35">
      <c r="A492" s="5" t="str">
        <f>IFERROR(IF(Portafolio_Proyectos!$AQ164="","","CAP-"&amp;ROW()-1),"")</f>
        <v/>
      </c>
      <c r="B492" s="5" t="str">
        <f>IFERROR(IF(Portafolio_Proyectos!$AQ164="","",Portafolio_Proyectos!$AQ164),"")</f>
        <v/>
      </c>
      <c r="C492" s="5" t="str">
        <f>IFERROR(IF(Portafolio_Proyectos!$AQ164="","","Consolidada"),"")</f>
        <v/>
      </c>
      <c r="D492" s="5" t="str">
        <f>IFERROR(IF(Portafolio_Proyectos!$AQ164="","",Portafolio_Proyectos!$C164),"")</f>
        <v/>
      </c>
      <c r="E492" s="5" t="str">
        <f>IFERROR(IF(Portafolio_Proyectos!$AQ164="","",Portafolio_Proyectos!$B164),"")</f>
        <v/>
      </c>
      <c r="F492" s="5" t="str">
        <f>IFERROR(IF(Portafolio_Proyectos!$AQ164="","",Portafolio_Proyectos!$D164),"")</f>
        <v/>
      </c>
      <c r="G492" s="5" t="str">
        <f>IFERROR(IF(Portafolio_Proyectos!$AQ164="","",Portafolio_Proyectos!$A164),"")</f>
        <v/>
      </c>
      <c r="H492" s="5" t="str">
        <f>IFERROR(IF(Portafolio_Proyectos!$AQ164="","",Portafolio_Proyectos!$E164),"")</f>
        <v/>
      </c>
    </row>
    <row r="493" spans="1:8" x14ac:dyDescent="0.35">
      <c r="A493" s="5" t="str">
        <f>IFERROR(IF(Portafolio_Proyectos!$AR164="","","CAP-"&amp;ROW()-1),"")</f>
        <v/>
      </c>
      <c r="B493" s="5" t="str">
        <f>IFERROR(IF(Portafolio_Proyectos!$AR164="","",Portafolio_Proyectos!$AR164),"")</f>
        <v/>
      </c>
      <c r="C493" s="5" t="str">
        <f>IFERROR(IF(Portafolio_Proyectos!$AR164="","","Distintiva"),"")</f>
        <v/>
      </c>
      <c r="D493" s="5" t="str">
        <f>IFERROR(IF(Portafolio_Proyectos!$AR164="","",Portafolio_Proyectos!$C164),"")</f>
        <v/>
      </c>
      <c r="E493" s="5" t="str">
        <f>IFERROR(IF(Portafolio_Proyectos!$AR164="","",Portafolio_Proyectos!$B164),"")</f>
        <v/>
      </c>
      <c r="F493" s="5" t="str">
        <f>IFERROR(IF(Portafolio_Proyectos!$AR164="","",Portafolio_Proyectos!$D164),"")</f>
        <v/>
      </c>
      <c r="G493" s="5" t="str">
        <f>IFERROR(IF(Portafolio_Proyectos!$AR164="","",Portafolio_Proyectos!$A164),"")</f>
        <v/>
      </c>
      <c r="H493" s="5" t="str">
        <f>IFERROR(IF(Portafolio_Proyectos!$AR164="","",Portafolio_Proyectos!$E164),"")</f>
        <v/>
      </c>
    </row>
    <row r="494" spans="1:8" x14ac:dyDescent="0.35">
      <c r="A494" s="5" t="str">
        <f>IFERROR(IF(Portafolio_Proyectos!$AP165="","","CAP-"&amp;ROW()-1),"")</f>
        <v/>
      </c>
      <c r="B494" s="5" t="str">
        <f>IFERROR(IF(Portafolio_Proyectos!$AP165="","",Portafolio_Proyectos!$AP165),"")</f>
        <v/>
      </c>
      <c r="C494" s="5" t="str">
        <f>IFERROR(IF(Portafolio_Proyectos!$AP165="","","Emergente"),"")</f>
        <v/>
      </c>
      <c r="D494" s="5" t="str">
        <f>IFERROR(IF(Portafolio_Proyectos!$AP165="","",Portafolio_Proyectos!$C165),"")</f>
        <v/>
      </c>
      <c r="E494" s="5" t="str">
        <f>IFERROR(IF(Portafolio_Proyectos!$AP165="","",Portafolio_Proyectos!$B165),"")</f>
        <v/>
      </c>
      <c r="F494" s="5" t="str">
        <f>IFERROR(IF(Portafolio_Proyectos!$AP165="","",Portafolio_Proyectos!$D165),"")</f>
        <v/>
      </c>
      <c r="G494" s="5" t="str">
        <f>IFERROR(IF(Portafolio_Proyectos!$AP165="","",Portafolio_Proyectos!$A165),"")</f>
        <v/>
      </c>
      <c r="H494" s="5" t="str">
        <f>IFERROR(IF(Portafolio_Proyectos!$AP165="","",Portafolio_Proyectos!$E165),"")</f>
        <v/>
      </c>
    </row>
    <row r="495" spans="1:8" x14ac:dyDescent="0.35">
      <c r="A495" s="5" t="str">
        <f>IFERROR(IF(Portafolio_Proyectos!$AQ165="","","CAP-"&amp;ROW()-1),"")</f>
        <v/>
      </c>
      <c r="B495" s="5" t="str">
        <f>IFERROR(IF(Portafolio_Proyectos!$AQ165="","",Portafolio_Proyectos!$AQ165),"")</f>
        <v/>
      </c>
      <c r="C495" s="5" t="str">
        <f>IFERROR(IF(Portafolio_Proyectos!$AQ165="","","Consolidada"),"")</f>
        <v/>
      </c>
      <c r="D495" s="5" t="str">
        <f>IFERROR(IF(Portafolio_Proyectos!$AQ165="","",Portafolio_Proyectos!$C165),"")</f>
        <v/>
      </c>
      <c r="E495" s="5" t="str">
        <f>IFERROR(IF(Portafolio_Proyectos!$AQ165="","",Portafolio_Proyectos!$B165),"")</f>
        <v/>
      </c>
      <c r="F495" s="5" t="str">
        <f>IFERROR(IF(Portafolio_Proyectos!$AQ165="","",Portafolio_Proyectos!$D165),"")</f>
        <v/>
      </c>
      <c r="G495" s="5" t="str">
        <f>IFERROR(IF(Portafolio_Proyectos!$AQ165="","",Portafolio_Proyectos!$A165),"")</f>
        <v/>
      </c>
      <c r="H495" s="5" t="str">
        <f>IFERROR(IF(Portafolio_Proyectos!$AQ165="","",Portafolio_Proyectos!$E165),"")</f>
        <v/>
      </c>
    </row>
    <row r="496" spans="1:8" x14ac:dyDescent="0.35">
      <c r="A496" s="5" t="str">
        <f>IFERROR(IF(Portafolio_Proyectos!$AR165="","","CAP-"&amp;ROW()-1),"")</f>
        <v/>
      </c>
      <c r="B496" s="5" t="str">
        <f>IFERROR(IF(Portafolio_Proyectos!$AR165="","",Portafolio_Proyectos!$AR165),"")</f>
        <v/>
      </c>
      <c r="C496" s="5" t="str">
        <f>IFERROR(IF(Portafolio_Proyectos!$AR165="","","Distintiva"),"")</f>
        <v/>
      </c>
      <c r="D496" s="5" t="str">
        <f>IFERROR(IF(Portafolio_Proyectos!$AR165="","",Portafolio_Proyectos!$C165),"")</f>
        <v/>
      </c>
      <c r="E496" s="5" t="str">
        <f>IFERROR(IF(Portafolio_Proyectos!$AR165="","",Portafolio_Proyectos!$B165),"")</f>
        <v/>
      </c>
      <c r="F496" s="5" t="str">
        <f>IFERROR(IF(Portafolio_Proyectos!$AR165="","",Portafolio_Proyectos!$D165),"")</f>
        <v/>
      </c>
      <c r="G496" s="5" t="str">
        <f>IFERROR(IF(Portafolio_Proyectos!$AR165="","",Portafolio_Proyectos!$A165),"")</f>
        <v/>
      </c>
      <c r="H496" s="5" t="str">
        <f>IFERROR(IF(Portafolio_Proyectos!$AR165="","",Portafolio_Proyectos!$E165),"")</f>
        <v/>
      </c>
    </row>
    <row r="497" spans="1:8" x14ac:dyDescent="0.35">
      <c r="A497" s="5" t="str">
        <f>IFERROR(IF(Portafolio_Proyectos!$AP166="","","CAP-"&amp;ROW()-1),"")</f>
        <v/>
      </c>
      <c r="B497" s="5" t="str">
        <f>IFERROR(IF(Portafolio_Proyectos!$AP166="","",Portafolio_Proyectos!$AP166),"")</f>
        <v/>
      </c>
      <c r="C497" s="5" t="str">
        <f>IFERROR(IF(Portafolio_Proyectos!$AP166="","","Emergente"),"")</f>
        <v/>
      </c>
      <c r="D497" s="5" t="str">
        <f>IFERROR(IF(Portafolio_Proyectos!$AP166="","",Portafolio_Proyectos!$C166),"")</f>
        <v/>
      </c>
      <c r="E497" s="5" t="str">
        <f>IFERROR(IF(Portafolio_Proyectos!$AP166="","",Portafolio_Proyectos!$B166),"")</f>
        <v/>
      </c>
      <c r="F497" s="5" t="str">
        <f>IFERROR(IF(Portafolio_Proyectos!$AP166="","",Portafolio_Proyectos!$D166),"")</f>
        <v/>
      </c>
      <c r="G497" s="5" t="str">
        <f>IFERROR(IF(Portafolio_Proyectos!$AP166="","",Portafolio_Proyectos!$A166),"")</f>
        <v/>
      </c>
      <c r="H497" s="5" t="str">
        <f>IFERROR(IF(Portafolio_Proyectos!$AP166="","",Portafolio_Proyectos!$E166),"")</f>
        <v/>
      </c>
    </row>
    <row r="498" spans="1:8" x14ac:dyDescent="0.35">
      <c r="A498" s="5" t="str">
        <f>IFERROR(IF(Portafolio_Proyectos!$AQ166="","","CAP-"&amp;ROW()-1),"")</f>
        <v/>
      </c>
      <c r="B498" s="5" t="str">
        <f>IFERROR(IF(Portafolio_Proyectos!$AQ166="","",Portafolio_Proyectos!$AQ166),"")</f>
        <v/>
      </c>
      <c r="C498" s="5" t="str">
        <f>IFERROR(IF(Portafolio_Proyectos!$AQ166="","","Consolidada"),"")</f>
        <v/>
      </c>
      <c r="D498" s="5" t="str">
        <f>IFERROR(IF(Portafolio_Proyectos!$AQ166="","",Portafolio_Proyectos!$C166),"")</f>
        <v/>
      </c>
      <c r="E498" s="5" t="str">
        <f>IFERROR(IF(Portafolio_Proyectos!$AQ166="","",Portafolio_Proyectos!$B166),"")</f>
        <v/>
      </c>
      <c r="F498" s="5" t="str">
        <f>IFERROR(IF(Portafolio_Proyectos!$AQ166="","",Portafolio_Proyectos!$D166),"")</f>
        <v/>
      </c>
      <c r="G498" s="5" t="str">
        <f>IFERROR(IF(Portafolio_Proyectos!$AQ166="","",Portafolio_Proyectos!$A166),"")</f>
        <v/>
      </c>
      <c r="H498" s="5" t="str">
        <f>IFERROR(IF(Portafolio_Proyectos!$AQ166="","",Portafolio_Proyectos!$E166),"")</f>
        <v/>
      </c>
    </row>
    <row r="499" spans="1:8" x14ac:dyDescent="0.35">
      <c r="A499" s="5" t="str">
        <f>IFERROR(IF(Portafolio_Proyectos!$AR166="","","CAP-"&amp;ROW()-1),"")</f>
        <v/>
      </c>
      <c r="B499" s="5" t="str">
        <f>IFERROR(IF(Portafolio_Proyectos!$AR166="","",Portafolio_Proyectos!$AR166),"")</f>
        <v/>
      </c>
      <c r="C499" s="5" t="str">
        <f>IFERROR(IF(Portafolio_Proyectos!$AR166="","","Distintiva"),"")</f>
        <v/>
      </c>
      <c r="D499" s="5" t="str">
        <f>IFERROR(IF(Portafolio_Proyectos!$AR166="","",Portafolio_Proyectos!$C166),"")</f>
        <v/>
      </c>
      <c r="E499" s="5" t="str">
        <f>IFERROR(IF(Portafolio_Proyectos!$AR166="","",Portafolio_Proyectos!$B166),"")</f>
        <v/>
      </c>
      <c r="F499" s="5" t="str">
        <f>IFERROR(IF(Portafolio_Proyectos!$AR166="","",Portafolio_Proyectos!$D166),"")</f>
        <v/>
      </c>
      <c r="G499" s="5" t="str">
        <f>IFERROR(IF(Portafolio_Proyectos!$AR166="","",Portafolio_Proyectos!$A166),"")</f>
        <v/>
      </c>
      <c r="H499" s="5" t="str">
        <f>IFERROR(IF(Portafolio_Proyectos!$AR166="","",Portafolio_Proyectos!$E166),"")</f>
        <v/>
      </c>
    </row>
    <row r="500" spans="1:8" x14ac:dyDescent="0.35">
      <c r="A500" s="5" t="str">
        <f>IFERROR(IF(Portafolio_Proyectos!$AP167="","","CAP-"&amp;ROW()-1),"")</f>
        <v/>
      </c>
      <c r="B500" s="5" t="str">
        <f>IFERROR(IF(Portafolio_Proyectos!$AP167="","",Portafolio_Proyectos!$AP167),"")</f>
        <v/>
      </c>
      <c r="C500" s="5" t="str">
        <f>IFERROR(IF(Portafolio_Proyectos!$AP167="","","Emergente"),"")</f>
        <v/>
      </c>
      <c r="D500" s="5" t="str">
        <f>IFERROR(IF(Portafolio_Proyectos!$AP167="","",Portafolio_Proyectos!$C167),"")</f>
        <v/>
      </c>
      <c r="E500" s="5" t="str">
        <f>IFERROR(IF(Portafolio_Proyectos!$AP167="","",Portafolio_Proyectos!$B167),"")</f>
        <v/>
      </c>
      <c r="F500" s="5" t="str">
        <f>IFERROR(IF(Portafolio_Proyectos!$AP167="","",Portafolio_Proyectos!$D167),"")</f>
        <v/>
      </c>
      <c r="G500" s="5" t="str">
        <f>IFERROR(IF(Portafolio_Proyectos!$AP167="","",Portafolio_Proyectos!$A167),"")</f>
        <v/>
      </c>
      <c r="H500" s="5" t="str">
        <f>IFERROR(IF(Portafolio_Proyectos!$AP167="","",Portafolio_Proyectos!$E167),"")</f>
        <v/>
      </c>
    </row>
    <row r="501" spans="1:8" x14ac:dyDescent="0.35">
      <c r="A501" s="5" t="str">
        <f>IFERROR(IF(Portafolio_Proyectos!$AQ167="","","CAP-"&amp;ROW()-1),"")</f>
        <v/>
      </c>
      <c r="B501" s="5" t="str">
        <f>IFERROR(IF(Portafolio_Proyectos!$AQ167="","",Portafolio_Proyectos!$AQ167),"")</f>
        <v/>
      </c>
      <c r="C501" s="5" t="str">
        <f>IFERROR(IF(Portafolio_Proyectos!$AQ167="","","Consolidada"),"")</f>
        <v/>
      </c>
      <c r="D501" s="5" t="str">
        <f>IFERROR(IF(Portafolio_Proyectos!$AQ167="","",Portafolio_Proyectos!$C167),"")</f>
        <v/>
      </c>
      <c r="E501" s="5" t="str">
        <f>IFERROR(IF(Portafolio_Proyectos!$AQ167="","",Portafolio_Proyectos!$B167),"")</f>
        <v/>
      </c>
      <c r="F501" s="5" t="str">
        <f>IFERROR(IF(Portafolio_Proyectos!$AQ167="","",Portafolio_Proyectos!$D167),"")</f>
        <v/>
      </c>
      <c r="G501" s="5" t="str">
        <f>IFERROR(IF(Portafolio_Proyectos!$AQ167="","",Portafolio_Proyectos!$A167),"")</f>
        <v/>
      </c>
      <c r="H501" s="5" t="str">
        <f>IFERROR(IF(Portafolio_Proyectos!$AQ167="","",Portafolio_Proyectos!$E167),"")</f>
        <v/>
      </c>
    </row>
    <row r="502" spans="1:8" x14ac:dyDescent="0.35">
      <c r="A502" s="5" t="str">
        <f>IFERROR(IF(Portafolio_Proyectos!$AR167="","","CAP-"&amp;ROW()-1),"")</f>
        <v/>
      </c>
      <c r="B502" s="5" t="str">
        <f>IFERROR(IF(Portafolio_Proyectos!$AR167="","",Portafolio_Proyectos!$AR167),"")</f>
        <v/>
      </c>
      <c r="C502" s="5" t="str">
        <f>IFERROR(IF(Portafolio_Proyectos!$AR167="","","Distintiva"),"")</f>
        <v/>
      </c>
      <c r="D502" s="5" t="str">
        <f>IFERROR(IF(Portafolio_Proyectos!$AR167="","",Portafolio_Proyectos!$C167),"")</f>
        <v/>
      </c>
      <c r="E502" s="5" t="str">
        <f>IFERROR(IF(Portafolio_Proyectos!$AR167="","",Portafolio_Proyectos!$B167),"")</f>
        <v/>
      </c>
      <c r="F502" s="5" t="str">
        <f>IFERROR(IF(Portafolio_Proyectos!$AR167="","",Portafolio_Proyectos!$D167),"")</f>
        <v/>
      </c>
      <c r="G502" s="5" t="str">
        <f>IFERROR(IF(Portafolio_Proyectos!$AR167="","",Portafolio_Proyectos!$A167),"")</f>
        <v/>
      </c>
      <c r="H502" s="5" t="str">
        <f>IFERROR(IF(Portafolio_Proyectos!$AR167="","",Portafolio_Proyectos!$E167),"")</f>
        <v/>
      </c>
    </row>
    <row r="503" spans="1:8" x14ac:dyDescent="0.35">
      <c r="A503" s="5" t="str">
        <f>IFERROR(IF(Portafolio_Proyectos!$AP168="","","CAP-"&amp;ROW()-1),"")</f>
        <v/>
      </c>
      <c r="B503" s="5" t="str">
        <f>IFERROR(IF(Portafolio_Proyectos!$AP168="","",Portafolio_Proyectos!$AP168),"")</f>
        <v/>
      </c>
      <c r="C503" s="5" t="str">
        <f>IFERROR(IF(Portafolio_Proyectos!$AP168="","","Emergente"),"")</f>
        <v/>
      </c>
      <c r="D503" s="5" t="str">
        <f>IFERROR(IF(Portafolio_Proyectos!$AP168="","",Portafolio_Proyectos!$C168),"")</f>
        <v/>
      </c>
      <c r="E503" s="5" t="str">
        <f>IFERROR(IF(Portafolio_Proyectos!$AP168="","",Portafolio_Proyectos!$B168),"")</f>
        <v/>
      </c>
      <c r="F503" s="5" t="str">
        <f>IFERROR(IF(Portafolio_Proyectos!$AP168="","",Portafolio_Proyectos!$D168),"")</f>
        <v/>
      </c>
      <c r="G503" s="5" t="str">
        <f>IFERROR(IF(Portafolio_Proyectos!$AP168="","",Portafolio_Proyectos!$A168),"")</f>
        <v/>
      </c>
      <c r="H503" s="5" t="str">
        <f>IFERROR(IF(Portafolio_Proyectos!$AP168="","",Portafolio_Proyectos!$E168),"")</f>
        <v/>
      </c>
    </row>
    <row r="504" spans="1:8" x14ac:dyDescent="0.35">
      <c r="A504" s="5" t="str">
        <f>IFERROR(IF(Portafolio_Proyectos!$AQ168="","","CAP-"&amp;ROW()-1),"")</f>
        <v/>
      </c>
      <c r="B504" s="5" t="str">
        <f>IFERROR(IF(Portafolio_Proyectos!$AQ168="","",Portafolio_Proyectos!$AQ168),"")</f>
        <v/>
      </c>
      <c r="C504" s="5" t="str">
        <f>IFERROR(IF(Portafolio_Proyectos!$AQ168="","","Consolidada"),"")</f>
        <v/>
      </c>
      <c r="D504" s="5" t="str">
        <f>IFERROR(IF(Portafolio_Proyectos!$AQ168="","",Portafolio_Proyectos!$C168),"")</f>
        <v/>
      </c>
      <c r="E504" s="5" t="str">
        <f>IFERROR(IF(Portafolio_Proyectos!$AQ168="","",Portafolio_Proyectos!$B168),"")</f>
        <v/>
      </c>
      <c r="F504" s="5" t="str">
        <f>IFERROR(IF(Portafolio_Proyectos!$AQ168="","",Portafolio_Proyectos!$D168),"")</f>
        <v/>
      </c>
      <c r="G504" s="5" t="str">
        <f>IFERROR(IF(Portafolio_Proyectos!$AQ168="","",Portafolio_Proyectos!$A168),"")</f>
        <v/>
      </c>
      <c r="H504" s="5" t="str">
        <f>IFERROR(IF(Portafolio_Proyectos!$AQ168="","",Portafolio_Proyectos!$E168),"")</f>
        <v/>
      </c>
    </row>
    <row r="505" spans="1:8" x14ac:dyDescent="0.35">
      <c r="A505" s="5" t="str">
        <f>IFERROR(IF(Portafolio_Proyectos!$AR168="","","CAP-"&amp;ROW()-1),"")</f>
        <v/>
      </c>
      <c r="B505" s="5" t="str">
        <f>IFERROR(IF(Portafolio_Proyectos!$AR168="","",Portafolio_Proyectos!$AR168),"")</f>
        <v/>
      </c>
      <c r="C505" s="5" t="str">
        <f>IFERROR(IF(Portafolio_Proyectos!$AR168="","","Distintiva"),"")</f>
        <v/>
      </c>
      <c r="D505" s="5" t="str">
        <f>IFERROR(IF(Portafolio_Proyectos!$AR168="","",Portafolio_Proyectos!$C168),"")</f>
        <v/>
      </c>
      <c r="E505" s="5" t="str">
        <f>IFERROR(IF(Portafolio_Proyectos!$AR168="","",Portafolio_Proyectos!$B168),"")</f>
        <v/>
      </c>
      <c r="F505" s="5" t="str">
        <f>IFERROR(IF(Portafolio_Proyectos!$AR168="","",Portafolio_Proyectos!$D168),"")</f>
        <v/>
      </c>
      <c r="G505" s="5" t="str">
        <f>IFERROR(IF(Portafolio_Proyectos!$AR168="","",Portafolio_Proyectos!$A168),"")</f>
        <v/>
      </c>
      <c r="H505" s="5" t="str">
        <f>IFERROR(IF(Portafolio_Proyectos!$AR168="","",Portafolio_Proyectos!$E168),"")</f>
        <v/>
      </c>
    </row>
    <row r="506" spans="1:8" x14ac:dyDescent="0.35">
      <c r="A506" s="5" t="str">
        <f>IFERROR(IF(Portafolio_Proyectos!$AP169="","","CAP-"&amp;ROW()-1),"")</f>
        <v/>
      </c>
      <c r="B506" s="5" t="str">
        <f>IFERROR(IF(Portafolio_Proyectos!$AP169="","",Portafolio_Proyectos!$AP169),"")</f>
        <v/>
      </c>
      <c r="C506" s="5" t="str">
        <f>IFERROR(IF(Portafolio_Proyectos!$AP169="","","Emergente"),"")</f>
        <v/>
      </c>
      <c r="D506" s="5" t="str">
        <f>IFERROR(IF(Portafolio_Proyectos!$AP169="","",Portafolio_Proyectos!$C169),"")</f>
        <v/>
      </c>
      <c r="E506" s="5" t="str">
        <f>IFERROR(IF(Portafolio_Proyectos!$AP169="","",Portafolio_Proyectos!$B169),"")</f>
        <v/>
      </c>
      <c r="F506" s="5" t="str">
        <f>IFERROR(IF(Portafolio_Proyectos!$AP169="","",Portafolio_Proyectos!$D169),"")</f>
        <v/>
      </c>
      <c r="G506" s="5" t="str">
        <f>IFERROR(IF(Portafolio_Proyectos!$AP169="","",Portafolio_Proyectos!$A169),"")</f>
        <v/>
      </c>
      <c r="H506" s="5" t="str">
        <f>IFERROR(IF(Portafolio_Proyectos!$AP169="","",Portafolio_Proyectos!$E169),"")</f>
        <v/>
      </c>
    </row>
    <row r="507" spans="1:8" x14ac:dyDescent="0.35">
      <c r="A507" s="5" t="str">
        <f>IFERROR(IF(Portafolio_Proyectos!$AQ169="","","CAP-"&amp;ROW()-1),"")</f>
        <v/>
      </c>
      <c r="B507" s="5" t="str">
        <f>IFERROR(IF(Portafolio_Proyectos!$AQ169="","",Portafolio_Proyectos!$AQ169),"")</f>
        <v/>
      </c>
      <c r="C507" s="5" t="str">
        <f>IFERROR(IF(Portafolio_Proyectos!$AQ169="","","Consolidada"),"")</f>
        <v/>
      </c>
      <c r="D507" s="5" t="str">
        <f>IFERROR(IF(Portafolio_Proyectos!$AQ169="","",Portafolio_Proyectos!$C169),"")</f>
        <v/>
      </c>
      <c r="E507" s="5" t="str">
        <f>IFERROR(IF(Portafolio_Proyectos!$AQ169="","",Portafolio_Proyectos!$B169),"")</f>
        <v/>
      </c>
      <c r="F507" s="5" t="str">
        <f>IFERROR(IF(Portafolio_Proyectos!$AQ169="","",Portafolio_Proyectos!$D169),"")</f>
        <v/>
      </c>
      <c r="G507" s="5" t="str">
        <f>IFERROR(IF(Portafolio_Proyectos!$AQ169="","",Portafolio_Proyectos!$A169),"")</f>
        <v/>
      </c>
      <c r="H507" s="5" t="str">
        <f>IFERROR(IF(Portafolio_Proyectos!$AQ169="","",Portafolio_Proyectos!$E169),"")</f>
        <v/>
      </c>
    </row>
    <row r="508" spans="1:8" x14ac:dyDescent="0.35">
      <c r="A508" s="5" t="str">
        <f>IFERROR(IF(Portafolio_Proyectos!$AR169="","","CAP-"&amp;ROW()-1),"")</f>
        <v/>
      </c>
      <c r="B508" s="5" t="str">
        <f>IFERROR(IF(Portafolio_Proyectos!$AR169="","",Portafolio_Proyectos!$AR169),"")</f>
        <v/>
      </c>
      <c r="C508" s="5" t="str">
        <f>IFERROR(IF(Portafolio_Proyectos!$AR169="","","Distintiva"),"")</f>
        <v/>
      </c>
      <c r="D508" s="5" t="str">
        <f>IFERROR(IF(Portafolio_Proyectos!$AR169="","",Portafolio_Proyectos!$C169),"")</f>
        <v/>
      </c>
      <c r="E508" s="5" t="str">
        <f>IFERROR(IF(Portafolio_Proyectos!$AR169="","",Portafolio_Proyectos!$B169),"")</f>
        <v/>
      </c>
      <c r="F508" s="5" t="str">
        <f>IFERROR(IF(Portafolio_Proyectos!$AR169="","",Portafolio_Proyectos!$D169),"")</f>
        <v/>
      </c>
      <c r="G508" s="5" t="str">
        <f>IFERROR(IF(Portafolio_Proyectos!$AR169="","",Portafolio_Proyectos!$A169),"")</f>
        <v/>
      </c>
      <c r="H508" s="5" t="str">
        <f>IFERROR(IF(Portafolio_Proyectos!$AR169="","",Portafolio_Proyectos!$E169),"")</f>
        <v/>
      </c>
    </row>
    <row r="509" spans="1:8" x14ac:dyDescent="0.35">
      <c r="A509" s="5" t="str">
        <f>IFERROR(IF(Portafolio_Proyectos!$AP170="","","CAP-"&amp;ROW()-1),"")</f>
        <v/>
      </c>
      <c r="B509" s="5" t="str">
        <f>IFERROR(IF(Portafolio_Proyectos!$AP170="","",Portafolio_Proyectos!$AP170),"")</f>
        <v/>
      </c>
      <c r="C509" s="5" t="str">
        <f>IFERROR(IF(Portafolio_Proyectos!$AP170="","","Emergente"),"")</f>
        <v/>
      </c>
      <c r="D509" s="5" t="str">
        <f>IFERROR(IF(Portafolio_Proyectos!$AP170="","",Portafolio_Proyectos!$C170),"")</f>
        <v/>
      </c>
      <c r="E509" s="5" t="str">
        <f>IFERROR(IF(Portafolio_Proyectos!$AP170="","",Portafolio_Proyectos!$B170),"")</f>
        <v/>
      </c>
      <c r="F509" s="5" t="str">
        <f>IFERROR(IF(Portafolio_Proyectos!$AP170="","",Portafolio_Proyectos!$D170),"")</f>
        <v/>
      </c>
      <c r="G509" s="5" t="str">
        <f>IFERROR(IF(Portafolio_Proyectos!$AP170="","",Portafolio_Proyectos!$A170),"")</f>
        <v/>
      </c>
      <c r="H509" s="5" t="str">
        <f>IFERROR(IF(Portafolio_Proyectos!$AP170="","",Portafolio_Proyectos!$E170),"")</f>
        <v/>
      </c>
    </row>
    <row r="510" spans="1:8" x14ac:dyDescent="0.35">
      <c r="A510" s="5" t="str">
        <f>IFERROR(IF(Portafolio_Proyectos!$AQ170="","","CAP-"&amp;ROW()-1),"")</f>
        <v/>
      </c>
      <c r="B510" s="5" t="str">
        <f>IFERROR(IF(Portafolio_Proyectos!$AQ170="","",Portafolio_Proyectos!$AQ170),"")</f>
        <v/>
      </c>
      <c r="C510" s="5" t="str">
        <f>IFERROR(IF(Portafolio_Proyectos!$AQ170="","","Consolidada"),"")</f>
        <v/>
      </c>
      <c r="D510" s="5" t="str">
        <f>IFERROR(IF(Portafolio_Proyectos!$AQ170="","",Portafolio_Proyectos!$C170),"")</f>
        <v/>
      </c>
      <c r="E510" s="5" t="str">
        <f>IFERROR(IF(Portafolio_Proyectos!$AQ170="","",Portafolio_Proyectos!$B170),"")</f>
        <v/>
      </c>
      <c r="F510" s="5" t="str">
        <f>IFERROR(IF(Portafolio_Proyectos!$AQ170="","",Portafolio_Proyectos!$D170),"")</f>
        <v/>
      </c>
      <c r="G510" s="5" t="str">
        <f>IFERROR(IF(Portafolio_Proyectos!$AQ170="","",Portafolio_Proyectos!$A170),"")</f>
        <v/>
      </c>
      <c r="H510" s="5" t="str">
        <f>IFERROR(IF(Portafolio_Proyectos!$AQ170="","",Portafolio_Proyectos!$E170),"")</f>
        <v/>
      </c>
    </row>
    <row r="511" spans="1:8" x14ac:dyDescent="0.35">
      <c r="A511" s="5" t="str">
        <f>IFERROR(IF(Portafolio_Proyectos!$AR170="","","CAP-"&amp;ROW()-1),"")</f>
        <v/>
      </c>
      <c r="B511" s="5" t="str">
        <f>IFERROR(IF(Portafolio_Proyectos!$AR170="","",Portafolio_Proyectos!$AR170),"")</f>
        <v/>
      </c>
      <c r="C511" s="5" t="str">
        <f>IFERROR(IF(Portafolio_Proyectos!$AR170="","","Distintiva"),"")</f>
        <v/>
      </c>
      <c r="D511" s="5" t="str">
        <f>IFERROR(IF(Portafolio_Proyectos!$AR170="","",Portafolio_Proyectos!$C170),"")</f>
        <v/>
      </c>
      <c r="E511" s="5" t="str">
        <f>IFERROR(IF(Portafolio_Proyectos!$AR170="","",Portafolio_Proyectos!$B170),"")</f>
        <v/>
      </c>
      <c r="F511" s="5" t="str">
        <f>IFERROR(IF(Portafolio_Proyectos!$AR170="","",Portafolio_Proyectos!$D170),"")</f>
        <v/>
      </c>
      <c r="G511" s="5" t="str">
        <f>IFERROR(IF(Portafolio_Proyectos!$AR170="","",Portafolio_Proyectos!$A170),"")</f>
        <v/>
      </c>
      <c r="H511" s="5" t="str">
        <f>IFERROR(IF(Portafolio_Proyectos!$AR170="","",Portafolio_Proyectos!$E170),"")</f>
        <v/>
      </c>
    </row>
    <row r="512" spans="1:8" x14ac:dyDescent="0.35">
      <c r="A512" s="5" t="str">
        <f>IFERROR(IF(Portafolio_Proyectos!$AP171="","","CAP-"&amp;ROW()-1),"")</f>
        <v/>
      </c>
      <c r="B512" s="5" t="str">
        <f>IFERROR(IF(Portafolio_Proyectos!$AP171="","",Portafolio_Proyectos!$AP171),"")</f>
        <v/>
      </c>
      <c r="C512" s="5" t="str">
        <f>IFERROR(IF(Portafolio_Proyectos!$AP171="","","Emergente"),"")</f>
        <v/>
      </c>
      <c r="D512" s="5" t="str">
        <f>IFERROR(IF(Portafolio_Proyectos!$AP171="","",Portafolio_Proyectos!$C171),"")</f>
        <v/>
      </c>
      <c r="E512" s="5" t="str">
        <f>IFERROR(IF(Portafolio_Proyectos!$AP171="","",Portafolio_Proyectos!$B171),"")</f>
        <v/>
      </c>
      <c r="F512" s="5" t="str">
        <f>IFERROR(IF(Portafolio_Proyectos!$AP171="","",Portafolio_Proyectos!$D171),"")</f>
        <v/>
      </c>
      <c r="G512" s="5" t="str">
        <f>IFERROR(IF(Portafolio_Proyectos!$AP171="","",Portafolio_Proyectos!$A171),"")</f>
        <v/>
      </c>
      <c r="H512" s="5" t="str">
        <f>IFERROR(IF(Portafolio_Proyectos!$AP171="","",Portafolio_Proyectos!$E171),"")</f>
        <v/>
      </c>
    </row>
    <row r="513" spans="1:8" x14ac:dyDescent="0.35">
      <c r="A513" s="5" t="str">
        <f>IFERROR(IF(Portafolio_Proyectos!$AQ171="","","CAP-"&amp;ROW()-1),"")</f>
        <v/>
      </c>
      <c r="B513" s="5" t="str">
        <f>IFERROR(IF(Portafolio_Proyectos!$AQ171="","",Portafolio_Proyectos!$AQ171),"")</f>
        <v/>
      </c>
      <c r="C513" s="5" t="str">
        <f>IFERROR(IF(Portafolio_Proyectos!$AQ171="","","Consolidada"),"")</f>
        <v/>
      </c>
      <c r="D513" s="5" t="str">
        <f>IFERROR(IF(Portafolio_Proyectos!$AQ171="","",Portafolio_Proyectos!$C171),"")</f>
        <v/>
      </c>
      <c r="E513" s="5" t="str">
        <f>IFERROR(IF(Portafolio_Proyectos!$AQ171="","",Portafolio_Proyectos!$B171),"")</f>
        <v/>
      </c>
      <c r="F513" s="5" t="str">
        <f>IFERROR(IF(Portafolio_Proyectos!$AQ171="","",Portafolio_Proyectos!$D171),"")</f>
        <v/>
      </c>
      <c r="G513" s="5" t="str">
        <f>IFERROR(IF(Portafolio_Proyectos!$AQ171="","",Portafolio_Proyectos!$A171),"")</f>
        <v/>
      </c>
      <c r="H513" s="5" t="str">
        <f>IFERROR(IF(Portafolio_Proyectos!$AQ171="","",Portafolio_Proyectos!$E171),"")</f>
        <v/>
      </c>
    </row>
    <row r="514" spans="1:8" x14ac:dyDescent="0.35">
      <c r="A514" s="5" t="str">
        <f>IFERROR(IF(Portafolio_Proyectos!$AR171="","","CAP-"&amp;ROW()-1),"")</f>
        <v/>
      </c>
      <c r="B514" s="5" t="str">
        <f>IFERROR(IF(Portafolio_Proyectos!$AR171="","",Portafolio_Proyectos!$AR171),"")</f>
        <v/>
      </c>
      <c r="C514" s="5" t="str">
        <f>IFERROR(IF(Portafolio_Proyectos!$AR171="","","Distintiva"),"")</f>
        <v/>
      </c>
      <c r="D514" s="5" t="str">
        <f>IFERROR(IF(Portafolio_Proyectos!$AR171="","",Portafolio_Proyectos!$C171),"")</f>
        <v/>
      </c>
      <c r="E514" s="5" t="str">
        <f>IFERROR(IF(Portafolio_Proyectos!$AR171="","",Portafolio_Proyectos!$B171),"")</f>
        <v/>
      </c>
      <c r="F514" s="5" t="str">
        <f>IFERROR(IF(Portafolio_Proyectos!$AR171="","",Portafolio_Proyectos!$D171),"")</f>
        <v/>
      </c>
      <c r="G514" s="5" t="str">
        <f>IFERROR(IF(Portafolio_Proyectos!$AR171="","",Portafolio_Proyectos!$A171),"")</f>
        <v/>
      </c>
      <c r="H514" s="5" t="str">
        <f>IFERROR(IF(Portafolio_Proyectos!$AR171="","",Portafolio_Proyectos!$E171),"")</f>
        <v/>
      </c>
    </row>
    <row r="515" spans="1:8" x14ac:dyDescent="0.35">
      <c r="A515" s="5" t="str">
        <f>IFERROR(IF(Portafolio_Proyectos!$AP172="","","CAP-"&amp;ROW()-1),"")</f>
        <v/>
      </c>
      <c r="B515" s="5" t="str">
        <f>IFERROR(IF(Portafolio_Proyectos!$AP172="","",Portafolio_Proyectos!$AP172),"")</f>
        <v/>
      </c>
      <c r="C515" s="5" t="str">
        <f>IFERROR(IF(Portafolio_Proyectos!$AP172="","","Emergente"),"")</f>
        <v/>
      </c>
      <c r="D515" s="5" t="str">
        <f>IFERROR(IF(Portafolio_Proyectos!$AP172="","",Portafolio_Proyectos!$C172),"")</f>
        <v/>
      </c>
      <c r="E515" s="5" t="str">
        <f>IFERROR(IF(Portafolio_Proyectos!$AP172="","",Portafolio_Proyectos!$B172),"")</f>
        <v/>
      </c>
      <c r="F515" s="5" t="str">
        <f>IFERROR(IF(Portafolio_Proyectos!$AP172="","",Portafolio_Proyectos!$D172),"")</f>
        <v/>
      </c>
      <c r="G515" s="5" t="str">
        <f>IFERROR(IF(Portafolio_Proyectos!$AP172="","",Portafolio_Proyectos!$A172),"")</f>
        <v/>
      </c>
      <c r="H515" s="5" t="str">
        <f>IFERROR(IF(Portafolio_Proyectos!$AP172="","",Portafolio_Proyectos!$E172),"")</f>
        <v/>
      </c>
    </row>
    <row r="516" spans="1:8" x14ac:dyDescent="0.35">
      <c r="A516" s="5" t="str">
        <f>IFERROR(IF(Portafolio_Proyectos!$AQ172="","","CAP-"&amp;ROW()-1),"")</f>
        <v/>
      </c>
      <c r="B516" s="5" t="str">
        <f>IFERROR(IF(Portafolio_Proyectos!$AQ172="","",Portafolio_Proyectos!$AQ172),"")</f>
        <v/>
      </c>
      <c r="C516" s="5" t="str">
        <f>IFERROR(IF(Portafolio_Proyectos!$AQ172="","","Consolidada"),"")</f>
        <v/>
      </c>
      <c r="D516" s="5" t="str">
        <f>IFERROR(IF(Portafolio_Proyectos!$AQ172="","",Portafolio_Proyectos!$C172),"")</f>
        <v/>
      </c>
      <c r="E516" s="5" t="str">
        <f>IFERROR(IF(Portafolio_Proyectos!$AQ172="","",Portafolio_Proyectos!$B172),"")</f>
        <v/>
      </c>
      <c r="F516" s="5" t="str">
        <f>IFERROR(IF(Portafolio_Proyectos!$AQ172="","",Portafolio_Proyectos!$D172),"")</f>
        <v/>
      </c>
      <c r="G516" s="5" t="str">
        <f>IFERROR(IF(Portafolio_Proyectos!$AQ172="","",Portafolio_Proyectos!$A172),"")</f>
        <v/>
      </c>
      <c r="H516" s="5" t="str">
        <f>IFERROR(IF(Portafolio_Proyectos!$AQ172="","",Portafolio_Proyectos!$E172),"")</f>
        <v/>
      </c>
    </row>
    <row r="517" spans="1:8" x14ac:dyDescent="0.35">
      <c r="A517" s="5" t="str">
        <f>IFERROR(IF(Portafolio_Proyectos!$AR172="","","CAP-"&amp;ROW()-1),"")</f>
        <v/>
      </c>
      <c r="B517" s="5" t="str">
        <f>IFERROR(IF(Portafolio_Proyectos!$AR172="","",Portafolio_Proyectos!$AR172),"")</f>
        <v/>
      </c>
      <c r="C517" s="5" t="str">
        <f>IFERROR(IF(Portafolio_Proyectos!$AR172="","","Distintiva"),"")</f>
        <v/>
      </c>
      <c r="D517" s="5" t="str">
        <f>IFERROR(IF(Portafolio_Proyectos!$AR172="","",Portafolio_Proyectos!$C172),"")</f>
        <v/>
      </c>
      <c r="E517" s="5" t="str">
        <f>IFERROR(IF(Portafolio_Proyectos!$AR172="","",Portafolio_Proyectos!$B172),"")</f>
        <v/>
      </c>
      <c r="F517" s="5" t="str">
        <f>IFERROR(IF(Portafolio_Proyectos!$AR172="","",Portafolio_Proyectos!$D172),"")</f>
        <v/>
      </c>
      <c r="G517" s="5" t="str">
        <f>IFERROR(IF(Portafolio_Proyectos!$AR172="","",Portafolio_Proyectos!$A172),"")</f>
        <v/>
      </c>
      <c r="H517" s="5" t="str">
        <f>IFERROR(IF(Portafolio_Proyectos!$AR172="","",Portafolio_Proyectos!$E172),"")</f>
        <v/>
      </c>
    </row>
    <row r="518" spans="1:8" x14ac:dyDescent="0.35">
      <c r="A518" s="5" t="str">
        <f>IFERROR(IF(Portafolio_Proyectos!$AP173="","","CAP-"&amp;ROW()-1),"")</f>
        <v/>
      </c>
      <c r="B518" s="5" t="str">
        <f>IFERROR(IF(Portafolio_Proyectos!$AP173="","",Portafolio_Proyectos!$AP173),"")</f>
        <v/>
      </c>
      <c r="C518" s="5" t="str">
        <f>IFERROR(IF(Portafolio_Proyectos!$AP173="","","Emergente"),"")</f>
        <v/>
      </c>
      <c r="D518" s="5" t="str">
        <f>IFERROR(IF(Portafolio_Proyectos!$AP173="","",Portafolio_Proyectos!$C173),"")</f>
        <v/>
      </c>
      <c r="E518" s="5" t="str">
        <f>IFERROR(IF(Portafolio_Proyectos!$AP173="","",Portafolio_Proyectos!$B173),"")</f>
        <v/>
      </c>
      <c r="F518" s="5" t="str">
        <f>IFERROR(IF(Portafolio_Proyectos!$AP173="","",Portafolio_Proyectos!$D173),"")</f>
        <v/>
      </c>
      <c r="G518" s="5" t="str">
        <f>IFERROR(IF(Portafolio_Proyectos!$AP173="","",Portafolio_Proyectos!$A173),"")</f>
        <v/>
      </c>
      <c r="H518" s="5" t="str">
        <f>IFERROR(IF(Portafolio_Proyectos!$AP173="","",Portafolio_Proyectos!$E173),"")</f>
        <v/>
      </c>
    </row>
    <row r="519" spans="1:8" x14ac:dyDescent="0.35">
      <c r="A519" s="5" t="str">
        <f>IFERROR(IF(Portafolio_Proyectos!$AQ173="","","CAP-"&amp;ROW()-1),"")</f>
        <v/>
      </c>
      <c r="B519" s="5" t="str">
        <f>IFERROR(IF(Portafolio_Proyectos!$AQ173="","",Portafolio_Proyectos!$AQ173),"")</f>
        <v/>
      </c>
      <c r="C519" s="5" t="str">
        <f>IFERROR(IF(Portafolio_Proyectos!$AQ173="","","Consolidada"),"")</f>
        <v/>
      </c>
      <c r="D519" s="5" t="str">
        <f>IFERROR(IF(Portafolio_Proyectos!$AQ173="","",Portafolio_Proyectos!$C173),"")</f>
        <v/>
      </c>
      <c r="E519" s="5" t="str">
        <f>IFERROR(IF(Portafolio_Proyectos!$AQ173="","",Portafolio_Proyectos!$B173),"")</f>
        <v/>
      </c>
      <c r="F519" s="5" t="str">
        <f>IFERROR(IF(Portafolio_Proyectos!$AQ173="","",Portafolio_Proyectos!$D173),"")</f>
        <v/>
      </c>
      <c r="G519" s="5" t="str">
        <f>IFERROR(IF(Portafolio_Proyectos!$AQ173="","",Portafolio_Proyectos!$A173),"")</f>
        <v/>
      </c>
      <c r="H519" s="5" t="str">
        <f>IFERROR(IF(Portafolio_Proyectos!$AQ173="","",Portafolio_Proyectos!$E173),"")</f>
        <v/>
      </c>
    </row>
    <row r="520" spans="1:8" x14ac:dyDescent="0.35">
      <c r="A520" s="5" t="str">
        <f>IFERROR(IF(Portafolio_Proyectos!$AR173="","","CAP-"&amp;ROW()-1),"")</f>
        <v/>
      </c>
      <c r="B520" s="5" t="str">
        <f>IFERROR(IF(Portafolio_Proyectos!$AR173="","",Portafolio_Proyectos!$AR173),"")</f>
        <v/>
      </c>
      <c r="C520" s="5" t="str">
        <f>IFERROR(IF(Portafolio_Proyectos!$AR173="","","Distintiva"),"")</f>
        <v/>
      </c>
      <c r="D520" s="5" t="str">
        <f>IFERROR(IF(Portafolio_Proyectos!$AR173="","",Portafolio_Proyectos!$C173),"")</f>
        <v/>
      </c>
      <c r="E520" s="5" t="str">
        <f>IFERROR(IF(Portafolio_Proyectos!$AR173="","",Portafolio_Proyectos!$B173),"")</f>
        <v/>
      </c>
      <c r="F520" s="5" t="str">
        <f>IFERROR(IF(Portafolio_Proyectos!$AR173="","",Portafolio_Proyectos!$D173),"")</f>
        <v/>
      </c>
      <c r="G520" s="5" t="str">
        <f>IFERROR(IF(Portafolio_Proyectos!$AR173="","",Portafolio_Proyectos!$A173),"")</f>
        <v/>
      </c>
      <c r="H520" s="5" t="str">
        <f>IFERROR(IF(Portafolio_Proyectos!$AR173="","",Portafolio_Proyectos!$E173),"")</f>
        <v/>
      </c>
    </row>
    <row r="521" spans="1:8" x14ac:dyDescent="0.35">
      <c r="A521" s="5" t="str">
        <f>IFERROR(IF(Portafolio_Proyectos!$AP174="","","CAP-"&amp;ROW()-1),"")</f>
        <v/>
      </c>
      <c r="B521" s="5" t="str">
        <f>IFERROR(IF(Portafolio_Proyectos!$AP174="","",Portafolio_Proyectos!$AP174),"")</f>
        <v/>
      </c>
      <c r="C521" s="5" t="str">
        <f>IFERROR(IF(Portafolio_Proyectos!$AP174="","","Emergente"),"")</f>
        <v/>
      </c>
      <c r="D521" s="5" t="str">
        <f>IFERROR(IF(Portafolio_Proyectos!$AP174="","",Portafolio_Proyectos!$C174),"")</f>
        <v/>
      </c>
      <c r="E521" s="5" t="str">
        <f>IFERROR(IF(Portafolio_Proyectos!$AP174="","",Portafolio_Proyectos!$B174),"")</f>
        <v/>
      </c>
      <c r="F521" s="5" t="str">
        <f>IFERROR(IF(Portafolio_Proyectos!$AP174="","",Portafolio_Proyectos!$D174),"")</f>
        <v/>
      </c>
      <c r="G521" s="5" t="str">
        <f>IFERROR(IF(Portafolio_Proyectos!$AP174="","",Portafolio_Proyectos!$A174),"")</f>
        <v/>
      </c>
      <c r="H521" s="5" t="str">
        <f>IFERROR(IF(Portafolio_Proyectos!$AP174="","",Portafolio_Proyectos!$E174),"")</f>
        <v/>
      </c>
    </row>
    <row r="522" spans="1:8" x14ac:dyDescent="0.35">
      <c r="A522" s="5" t="str">
        <f>IFERROR(IF(Portafolio_Proyectos!$AQ174="","","CAP-"&amp;ROW()-1),"")</f>
        <v/>
      </c>
      <c r="B522" s="5" t="str">
        <f>IFERROR(IF(Portafolio_Proyectos!$AQ174="","",Portafolio_Proyectos!$AQ174),"")</f>
        <v/>
      </c>
      <c r="C522" s="5" t="str">
        <f>IFERROR(IF(Portafolio_Proyectos!$AQ174="","","Consolidada"),"")</f>
        <v/>
      </c>
      <c r="D522" s="5" t="str">
        <f>IFERROR(IF(Portafolio_Proyectos!$AQ174="","",Portafolio_Proyectos!$C174),"")</f>
        <v/>
      </c>
      <c r="E522" s="5" t="str">
        <f>IFERROR(IF(Portafolio_Proyectos!$AQ174="","",Portafolio_Proyectos!$B174),"")</f>
        <v/>
      </c>
      <c r="F522" s="5" t="str">
        <f>IFERROR(IF(Portafolio_Proyectos!$AQ174="","",Portafolio_Proyectos!$D174),"")</f>
        <v/>
      </c>
      <c r="G522" s="5" t="str">
        <f>IFERROR(IF(Portafolio_Proyectos!$AQ174="","",Portafolio_Proyectos!$A174),"")</f>
        <v/>
      </c>
      <c r="H522" s="5" t="str">
        <f>IFERROR(IF(Portafolio_Proyectos!$AQ174="","",Portafolio_Proyectos!$E174),"")</f>
        <v/>
      </c>
    </row>
    <row r="523" spans="1:8" x14ac:dyDescent="0.35">
      <c r="A523" s="5" t="str">
        <f>IFERROR(IF(Portafolio_Proyectos!$AR174="","","CAP-"&amp;ROW()-1),"")</f>
        <v/>
      </c>
      <c r="B523" s="5" t="str">
        <f>IFERROR(IF(Portafolio_Proyectos!$AR174="","",Portafolio_Proyectos!$AR174),"")</f>
        <v/>
      </c>
      <c r="C523" s="5" t="str">
        <f>IFERROR(IF(Portafolio_Proyectos!$AR174="","","Distintiva"),"")</f>
        <v/>
      </c>
      <c r="D523" s="5" t="str">
        <f>IFERROR(IF(Portafolio_Proyectos!$AR174="","",Portafolio_Proyectos!$C174),"")</f>
        <v/>
      </c>
      <c r="E523" s="5" t="str">
        <f>IFERROR(IF(Portafolio_Proyectos!$AR174="","",Portafolio_Proyectos!$B174),"")</f>
        <v/>
      </c>
      <c r="F523" s="5" t="str">
        <f>IFERROR(IF(Portafolio_Proyectos!$AR174="","",Portafolio_Proyectos!$D174),"")</f>
        <v/>
      </c>
      <c r="G523" s="5" t="str">
        <f>IFERROR(IF(Portafolio_Proyectos!$AR174="","",Portafolio_Proyectos!$A174),"")</f>
        <v/>
      </c>
      <c r="H523" s="5" t="str">
        <f>IFERROR(IF(Portafolio_Proyectos!$AR174="","",Portafolio_Proyectos!$E174),"")</f>
        <v/>
      </c>
    </row>
    <row r="524" spans="1:8" x14ac:dyDescent="0.35">
      <c r="A524" s="5" t="str">
        <f>IFERROR(IF(Portafolio_Proyectos!$AP175="","","CAP-"&amp;ROW()-1),"")</f>
        <v/>
      </c>
      <c r="B524" s="5" t="str">
        <f>IFERROR(IF(Portafolio_Proyectos!$AP175="","",Portafolio_Proyectos!$AP175),"")</f>
        <v/>
      </c>
      <c r="C524" s="5" t="str">
        <f>IFERROR(IF(Portafolio_Proyectos!$AP175="","","Emergente"),"")</f>
        <v/>
      </c>
      <c r="D524" s="5" t="str">
        <f>IFERROR(IF(Portafolio_Proyectos!$AP175="","",Portafolio_Proyectos!$C175),"")</f>
        <v/>
      </c>
      <c r="E524" s="5" t="str">
        <f>IFERROR(IF(Portafolio_Proyectos!$AP175="","",Portafolio_Proyectos!$B175),"")</f>
        <v/>
      </c>
      <c r="F524" s="5" t="str">
        <f>IFERROR(IF(Portafolio_Proyectos!$AP175="","",Portafolio_Proyectos!$D175),"")</f>
        <v/>
      </c>
      <c r="G524" s="5" t="str">
        <f>IFERROR(IF(Portafolio_Proyectos!$AP175="","",Portafolio_Proyectos!$A175),"")</f>
        <v/>
      </c>
      <c r="H524" s="5" t="str">
        <f>IFERROR(IF(Portafolio_Proyectos!$AP175="","",Portafolio_Proyectos!$E175),"")</f>
        <v/>
      </c>
    </row>
    <row r="525" spans="1:8" x14ac:dyDescent="0.35">
      <c r="A525" s="5" t="str">
        <f>IFERROR(IF(Portafolio_Proyectos!$AQ175="","","CAP-"&amp;ROW()-1),"")</f>
        <v/>
      </c>
      <c r="B525" s="5" t="str">
        <f>IFERROR(IF(Portafolio_Proyectos!$AQ175="","",Portafolio_Proyectos!$AQ175),"")</f>
        <v/>
      </c>
      <c r="C525" s="5" t="str">
        <f>IFERROR(IF(Portafolio_Proyectos!$AQ175="","","Consolidada"),"")</f>
        <v/>
      </c>
      <c r="D525" s="5" t="str">
        <f>IFERROR(IF(Portafolio_Proyectos!$AQ175="","",Portafolio_Proyectos!$C175),"")</f>
        <v/>
      </c>
      <c r="E525" s="5" t="str">
        <f>IFERROR(IF(Portafolio_Proyectos!$AQ175="","",Portafolio_Proyectos!$B175),"")</f>
        <v/>
      </c>
      <c r="F525" s="5" t="str">
        <f>IFERROR(IF(Portafolio_Proyectos!$AQ175="","",Portafolio_Proyectos!$D175),"")</f>
        <v/>
      </c>
      <c r="G525" s="5" t="str">
        <f>IFERROR(IF(Portafolio_Proyectos!$AQ175="","",Portafolio_Proyectos!$A175),"")</f>
        <v/>
      </c>
      <c r="H525" s="5" t="str">
        <f>IFERROR(IF(Portafolio_Proyectos!$AQ175="","",Portafolio_Proyectos!$E175),"")</f>
        <v/>
      </c>
    </row>
    <row r="526" spans="1:8" x14ac:dyDescent="0.35">
      <c r="A526" s="5" t="str">
        <f>IFERROR(IF(Portafolio_Proyectos!$AR175="","","CAP-"&amp;ROW()-1),"")</f>
        <v/>
      </c>
      <c r="B526" s="5" t="str">
        <f>IFERROR(IF(Portafolio_Proyectos!$AR175="","",Portafolio_Proyectos!$AR175),"")</f>
        <v/>
      </c>
      <c r="C526" s="5" t="str">
        <f>IFERROR(IF(Portafolio_Proyectos!$AR175="","","Distintiva"),"")</f>
        <v/>
      </c>
      <c r="D526" s="5" t="str">
        <f>IFERROR(IF(Portafolio_Proyectos!$AR175="","",Portafolio_Proyectos!$C175),"")</f>
        <v/>
      </c>
      <c r="E526" s="5" t="str">
        <f>IFERROR(IF(Portafolio_Proyectos!$AR175="","",Portafolio_Proyectos!$B175),"")</f>
        <v/>
      </c>
      <c r="F526" s="5" t="str">
        <f>IFERROR(IF(Portafolio_Proyectos!$AR175="","",Portafolio_Proyectos!$D175),"")</f>
        <v/>
      </c>
      <c r="G526" s="5" t="str">
        <f>IFERROR(IF(Portafolio_Proyectos!$AR175="","",Portafolio_Proyectos!$A175),"")</f>
        <v/>
      </c>
      <c r="H526" s="5" t="str">
        <f>IFERROR(IF(Portafolio_Proyectos!$AR175="","",Portafolio_Proyectos!$E175),"")</f>
        <v/>
      </c>
    </row>
    <row r="527" spans="1:8" x14ac:dyDescent="0.35">
      <c r="A527" s="5" t="str">
        <f>IFERROR(IF(Portafolio_Proyectos!$AP176="","","CAP-"&amp;ROW()-1),"")</f>
        <v/>
      </c>
      <c r="B527" s="5" t="str">
        <f>IFERROR(IF(Portafolio_Proyectos!$AP176="","",Portafolio_Proyectos!$AP176),"")</f>
        <v/>
      </c>
      <c r="C527" s="5" t="str">
        <f>IFERROR(IF(Portafolio_Proyectos!$AP176="","","Emergente"),"")</f>
        <v/>
      </c>
      <c r="D527" s="5" t="str">
        <f>IFERROR(IF(Portafolio_Proyectos!$AP176="","",Portafolio_Proyectos!$C176),"")</f>
        <v/>
      </c>
      <c r="E527" s="5" t="str">
        <f>IFERROR(IF(Portafolio_Proyectos!$AP176="","",Portafolio_Proyectos!$B176),"")</f>
        <v/>
      </c>
      <c r="F527" s="5" t="str">
        <f>IFERROR(IF(Portafolio_Proyectos!$AP176="","",Portafolio_Proyectos!$D176),"")</f>
        <v/>
      </c>
      <c r="G527" s="5" t="str">
        <f>IFERROR(IF(Portafolio_Proyectos!$AP176="","",Portafolio_Proyectos!$A176),"")</f>
        <v/>
      </c>
      <c r="H527" s="5" t="str">
        <f>IFERROR(IF(Portafolio_Proyectos!$AP176="","",Portafolio_Proyectos!$E176),"")</f>
        <v/>
      </c>
    </row>
    <row r="528" spans="1:8" x14ac:dyDescent="0.35">
      <c r="A528" s="5" t="str">
        <f>IFERROR(IF(Portafolio_Proyectos!$AQ176="","","CAP-"&amp;ROW()-1),"")</f>
        <v/>
      </c>
      <c r="B528" s="5" t="str">
        <f>IFERROR(IF(Portafolio_Proyectos!$AQ176="","",Portafolio_Proyectos!$AQ176),"")</f>
        <v/>
      </c>
      <c r="C528" s="5" t="str">
        <f>IFERROR(IF(Portafolio_Proyectos!$AQ176="","","Consolidada"),"")</f>
        <v/>
      </c>
      <c r="D528" s="5" t="str">
        <f>IFERROR(IF(Portafolio_Proyectos!$AQ176="","",Portafolio_Proyectos!$C176),"")</f>
        <v/>
      </c>
      <c r="E528" s="5" t="str">
        <f>IFERROR(IF(Portafolio_Proyectos!$AQ176="","",Portafolio_Proyectos!$B176),"")</f>
        <v/>
      </c>
      <c r="F528" s="5" t="str">
        <f>IFERROR(IF(Portafolio_Proyectos!$AQ176="","",Portafolio_Proyectos!$D176),"")</f>
        <v/>
      </c>
      <c r="G528" s="5" t="str">
        <f>IFERROR(IF(Portafolio_Proyectos!$AQ176="","",Portafolio_Proyectos!$A176),"")</f>
        <v/>
      </c>
      <c r="H528" s="5" t="str">
        <f>IFERROR(IF(Portafolio_Proyectos!$AQ176="","",Portafolio_Proyectos!$E176),"")</f>
        <v/>
      </c>
    </row>
    <row r="529" spans="1:8" x14ac:dyDescent="0.35">
      <c r="A529" s="5" t="str">
        <f>IFERROR(IF(Portafolio_Proyectos!$AR176="","","CAP-"&amp;ROW()-1),"")</f>
        <v/>
      </c>
      <c r="B529" s="5" t="str">
        <f>IFERROR(IF(Portafolio_Proyectos!$AR176="","",Portafolio_Proyectos!$AR176),"")</f>
        <v/>
      </c>
      <c r="C529" s="5" t="str">
        <f>IFERROR(IF(Portafolio_Proyectos!$AR176="","","Distintiva"),"")</f>
        <v/>
      </c>
      <c r="D529" s="5" t="str">
        <f>IFERROR(IF(Portafolio_Proyectos!$AR176="","",Portafolio_Proyectos!$C176),"")</f>
        <v/>
      </c>
      <c r="E529" s="5" t="str">
        <f>IFERROR(IF(Portafolio_Proyectos!$AR176="","",Portafolio_Proyectos!$B176),"")</f>
        <v/>
      </c>
      <c r="F529" s="5" t="str">
        <f>IFERROR(IF(Portafolio_Proyectos!$AR176="","",Portafolio_Proyectos!$D176),"")</f>
        <v/>
      </c>
      <c r="G529" s="5" t="str">
        <f>IFERROR(IF(Portafolio_Proyectos!$AR176="","",Portafolio_Proyectos!$A176),"")</f>
        <v/>
      </c>
      <c r="H529" s="5" t="str">
        <f>IFERROR(IF(Portafolio_Proyectos!$AR176="","",Portafolio_Proyectos!$E176),"")</f>
        <v/>
      </c>
    </row>
    <row r="530" spans="1:8" x14ac:dyDescent="0.35">
      <c r="A530" s="5" t="str">
        <f>IFERROR(IF(Portafolio_Proyectos!$AP177="","","CAP-"&amp;ROW()-1),"")</f>
        <v/>
      </c>
      <c r="B530" s="5" t="str">
        <f>IFERROR(IF(Portafolio_Proyectos!$AP177="","",Portafolio_Proyectos!$AP177),"")</f>
        <v/>
      </c>
      <c r="C530" s="5" t="str">
        <f>IFERROR(IF(Portafolio_Proyectos!$AP177="","","Emergente"),"")</f>
        <v/>
      </c>
      <c r="D530" s="5" t="str">
        <f>IFERROR(IF(Portafolio_Proyectos!$AP177="","",Portafolio_Proyectos!$C177),"")</f>
        <v/>
      </c>
      <c r="E530" s="5" t="str">
        <f>IFERROR(IF(Portafolio_Proyectos!$AP177="","",Portafolio_Proyectos!$B177),"")</f>
        <v/>
      </c>
      <c r="F530" s="5" t="str">
        <f>IFERROR(IF(Portafolio_Proyectos!$AP177="","",Portafolio_Proyectos!$D177),"")</f>
        <v/>
      </c>
      <c r="G530" s="5" t="str">
        <f>IFERROR(IF(Portafolio_Proyectos!$AP177="","",Portafolio_Proyectos!$A177),"")</f>
        <v/>
      </c>
      <c r="H530" s="5" t="str">
        <f>IFERROR(IF(Portafolio_Proyectos!$AP177="","",Portafolio_Proyectos!$E177),"")</f>
        <v/>
      </c>
    </row>
    <row r="531" spans="1:8" x14ac:dyDescent="0.35">
      <c r="A531" s="5" t="str">
        <f>IFERROR(IF(Portafolio_Proyectos!$AQ177="","","CAP-"&amp;ROW()-1),"")</f>
        <v/>
      </c>
      <c r="B531" s="5" t="str">
        <f>IFERROR(IF(Portafolio_Proyectos!$AQ177="","",Portafolio_Proyectos!$AQ177),"")</f>
        <v/>
      </c>
      <c r="C531" s="5" t="str">
        <f>IFERROR(IF(Portafolio_Proyectos!$AQ177="","","Consolidada"),"")</f>
        <v/>
      </c>
      <c r="D531" s="5" t="str">
        <f>IFERROR(IF(Portafolio_Proyectos!$AQ177="","",Portafolio_Proyectos!$C177),"")</f>
        <v/>
      </c>
      <c r="E531" s="5" t="str">
        <f>IFERROR(IF(Portafolio_Proyectos!$AQ177="","",Portafolio_Proyectos!$B177),"")</f>
        <v/>
      </c>
      <c r="F531" s="5" t="str">
        <f>IFERROR(IF(Portafolio_Proyectos!$AQ177="","",Portafolio_Proyectos!$D177),"")</f>
        <v/>
      </c>
      <c r="G531" s="5" t="str">
        <f>IFERROR(IF(Portafolio_Proyectos!$AQ177="","",Portafolio_Proyectos!$A177),"")</f>
        <v/>
      </c>
      <c r="H531" s="5" t="str">
        <f>IFERROR(IF(Portafolio_Proyectos!$AQ177="","",Portafolio_Proyectos!$E177),"")</f>
        <v/>
      </c>
    </row>
    <row r="532" spans="1:8" x14ac:dyDescent="0.35">
      <c r="A532" s="5" t="str">
        <f>IFERROR(IF(Portafolio_Proyectos!$AR177="","","CAP-"&amp;ROW()-1),"")</f>
        <v/>
      </c>
      <c r="B532" s="5" t="str">
        <f>IFERROR(IF(Portafolio_Proyectos!$AR177="","",Portafolio_Proyectos!$AR177),"")</f>
        <v/>
      </c>
      <c r="C532" s="5" t="str">
        <f>IFERROR(IF(Portafolio_Proyectos!$AR177="","","Distintiva"),"")</f>
        <v/>
      </c>
      <c r="D532" s="5" t="str">
        <f>IFERROR(IF(Portafolio_Proyectos!$AR177="","",Portafolio_Proyectos!$C177),"")</f>
        <v/>
      </c>
      <c r="E532" s="5" t="str">
        <f>IFERROR(IF(Portafolio_Proyectos!$AR177="","",Portafolio_Proyectos!$B177),"")</f>
        <v/>
      </c>
      <c r="F532" s="5" t="str">
        <f>IFERROR(IF(Portafolio_Proyectos!$AR177="","",Portafolio_Proyectos!$D177),"")</f>
        <v/>
      </c>
      <c r="G532" s="5" t="str">
        <f>IFERROR(IF(Portafolio_Proyectos!$AR177="","",Portafolio_Proyectos!$A177),"")</f>
        <v/>
      </c>
      <c r="H532" s="5" t="str">
        <f>IFERROR(IF(Portafolio_Proyectos!$AR177="","",Portafolio_Proyectos!$E177),"")</f>
        <v/>
      </c>
    </row>
    <row r="533" spans="1:8" x14ac:dyDescent="0.35">
      <c r="A533" s="5" t="str">
        <f>IFERROR(IF(Portafolio_Proyectos!$AP178="","","CAP-"&amp;ROW()-1),"")</f>
        <v/>
      </c>
      <c r="B533" s="5" t="str">
        <f>IFERROR(IF(Portafolio_Proyectos!$AP178="","",Portafolio_Proyectos!$AP178),"")</f>
        <v/>
      </c>
      <c r="C533" s="5" t="str">
        <f>IFERROR(IF(Portafolio_Proyectos!$AP178="","","Emergente"),"")</f>
        <v/>
      </c>
      <c r="D533" s="5" t="str">
        <f>IFERROR(IF(Portafolio_Proyectos!$AP178="","",Portafolio_Proyectos!$C178),"")</f>
        <v/>
      </c>
      <c r="E533" s="5" t="str">
        <f>IFERROR(IF(Portafolio_Proyectos!$AP178="","",Portafolio_Proyectos!$B178),"")</f>
        <v/>
      </c>
      <c r="F533" s="5" t="str">
        <f>IFERROR(IF(Portafolio_Proyectos!$AP178="","",Portafolio_Proyectos!$D178),"")</f>
        <v/>
      </c>
      <c r="G533" s="5" t="str">
        <f>IFERROR(IF(Portafolio_Proyectos!$AP178="","",Portafolio_Proyectos!$A178),"")</f>
        <v/>
      </c>
      <c r="H533" s="5" t="str">
        <f>IFERROR(IF(Portafolio_Proyectos!$AP178="","",Portafolio_Proyectos!$E178),"")</f>
        <v/>
      </c>
    </row>
    <row r="534" spans="1:8" x14ac:dyDescent="0.35">
      <c r="A534" s="5" t="str">
        <f>IFERROR(IF(Portafolio_Proyectos!$AQ178="","","CAP-"&amp;ROW()-1),"")</f>
        <v/>
      </c>
      <c r="B534" s="5" t="str">
        <f>IFERROR(IF(Portafolio_Proyectos!$AQ178="","",Portafolio_Proyectos!$AQ178),"")</f>
        <v/>
      </c>
      <c r="C534" s="5" t="str">
        <f>IFERROR(IF(Portafolio_Proyectos!$AQ178="","","Consolidada"),"")</f>
        <v/>
      </c>
      <c r="D534" s="5" t="str">
        <f>IFERROR(IF(Portafolio_Proyectos!$AQ178="","",Portafolio_Proyectos!$C178),"")</f>
        <v/>
      </c>
      <c r="E534" s="5" t="str">
        <f>IFERROR(IF(Portafolio_Proyectos!$AQ178="","",Portafolio_Proyectos!$B178),"")</f>
        <v/>
      </c>
      <c r="F534" s="5" t="str">
        <f>IFERROR(IF(Portafolio_Proyectos!$AQ178="","",Portafolio_Proyectos!$D178),"")</f>
        <v/>
      </c>
      <c r="G534" s="5" t="str">
        <f>IFERROR(IF(Portafolio_Proyectos!$AQ178="","",Portafolio_Proyectos!$A178),"")</f>
        <v/>
      </c>
      <c r="H534" s="5" t="str">
        <f>IFERROR(IF(Portafolio_Proyectos!$AQ178="","",Portafolio_Proyectos!$E178),"")</f>
        <v/>
      </c>
    </row>
    <row r="535" spans="1:8" x14ac:dyDescent="0.35">
      <c r="A535" s="5" t="str">
        <f>IFERROR(IF(Portafolio_Proyectos!$AR178="","","CAP-"&amp;ROW()-1),"")</f>
        <v/>
      </c>
      <c r="B535" s="5" t="str">
        <f>IFERROR(IF(Portafolio_Proyectos!$AR178="","",Portafolio_Proyectos!$AR178),"")</f>
        <v/>
      </c>
      <c r="C535" s="5" t="str">
        <f>IFERROR(IF(Portafolio_Proyectos!$AR178="","","Distintiva"),"")</f>
        <v/>
      </c>
      <c r="D535" s="5" t="str">
        <f>IFERROR(IF(Portafolio_Proyectos!$AR178="","",Portafolio_Proyectos!$C178),"")</f>
        <v/>
      </c>
      <c r="E535" s="5" t="str">
        <f>IFERROR(IF(Portafolio_Proyectos!$AR178="","",Portafolio_Proyectos!$B178),"")</f>
        <v/>
      </c>
      <c r="F535" s="5" t="str">
        <f>IFERROR(IF(Portafolio_Proyectos!$AR178="","",Portafolio_Proyectos!$D178),"")</f>
        <v/>
      </c>
      <c r="G535" s="5" t="str">
        <f>IFERROR(IF(Portafolio_Proyectos!$AR178="","",Portafolio_Proyectos!$A178),"")</f>
        <v/>
      </c>
      <c r="H535" s="5" t="str">
        <f>IFERROR(IF(Portafolio_Proyectos!$AR178="","",Portafolio_Proyectos!$E178),"")</f>
        <v/>
      </c>
    </row>
    <row r="536" spans="1:8" x14ac:dyDescent="0.35">
      <c r="A536" s="5" t="str">
        <f>IFERROR(IF(Portafolio_Proyectos!$AP179="","","CAP-"&amp;ROW()-1),"")</f>
        <v/>
      </c>
      <c r="B536" s="5" t="str">
        <f>IFERROR(IF(Portafolio_Proyectos!$AP179="","",Portafolio_Proyectos!$AP179),"")</f>
        <v/>
      </c>
      <c r="C536" s="5" t="str">
        <f>IFERROR(IF(Portafolio_Proyectos!$AP179="","","Emergente"),"")</f>
        <v/>
      </c>
      <c r="D536" s="5" t="str">
        <f>IFERROR(IF(Portafolio_Proyectos!$AP179="","",Portafolio_Proyectos!$C179),"")</f>
        <v/>
      </c>
      <c r="E536" s="5" t="str">
        <f>IFERROR(IF(Portafolio_Proyectos!$AP179="","",Portafolio_Proyectos!$B179),"")</f>
        <v/>
      </c>
      <c r="F536" s="5" t="str">
        <f>IFERROR(IF(Portafolio_Proyectos!$AP179="","",Portafolio_Proyectos!$D179),"")</f>
        <v/>
      </c>
      <c r="G536" s="5" t="str">
        <f>IFERROR(IF(Portafolio_Proyectos!$AP179="","",Portafolio_Proyectos!$A179),"")</f>
        <v/>
      </c>
      <c r="H536" s="5" t="str">
        <f>IFERROR(IF(Portafolio_Proyectos!$AP179="","",Portafolio_Proyectos!$E179),"")</f>
        <v/>
      </c>
    </row>
    <row r="537" spans="1:8" x14ac:dyDescent="0.35">
      <c r="A537" s="5" t="str">
        <f>IFERROR(IF(Portafolio_Proyectos!$AQ179="","","CAP-"&amp;ROW()-1),"")</f>
        <v/>
      </c>
      <c r="B537" s="5" t="str">
        <f>IFERROR(IF(Portafolio_Proyectos!$AQ179="","",Portafolio_Proyectos!$AQ179),"")</f>
        <v/>
      </c>
      <c r="C537" s="5" t="str">
        <f>IFERROR(IF(Portafolio_Proyectos!$AQ179="","","Consolidada"),"")</f>
        <v/>
      </c>
      <c r="D537" s="5" t="str">
        <f>IFERROR(IF(Portafolio_Proyectos!$AQ179="","",Portafolio_Proyectos!$C179),"")</f>
        <v/>
      </c>
      <c r="E537" s="5" t="str">
        <f>IFERROR(IF(Portafolio_Proyectos!$AQ179="","",Portafolio_Proyectos!$B179),"")</f>
        <v/>
      </c>
      <c r="F537" s="5" t="str">
        <f>IFERROR(IF(Portafolio_Proyectos!$AQ179="","",Portafolio_Proyectos!$D179),"")</f>
        <v/>
      </c>
      <c r="G537" s="5" t="str">
        <f>IFERROR(IF(Portafolio_Proyectos!$AQ179="","",Portafolio_Proyectos!$A179),"")</f>
        <v/>
      </c>
      <c r="H537" s="5" t="str">
        <f>IFERROR(IF(Portafolio_Proyectos!$AQ179="","",Portafolio_Proyectos!$E179),"")</f>
        <v/>
      </c>
    </row>
    <row r="538" spans="1:8" x14ac:dyDescent="0.35">
      <c r="A538" s="5" t="str">
        <f>IFERROR(IF(Portafolio_Proyectos!$AR179="","","CAP-"&amp;ROW()-1),"")</f>
        <v/>
      </c>
      <c r="B538" s="5" t="str">
        <f>IFERROR(IF(Portafolio_Proyectos!$AR179="","",Portafolio_Proyectos!$AR179),"")</f>
        <v/>
      </c>
      <c r="C538" s="5" t="str">
        <f>IFERROR(IF(Portafolio_Proyectos!$AR179="","","Distintiva"),"")</f>
        <v/>
      </c>
      <c r="D538" s="5" t="str">
        <f>IFERROR(IF(Portafolio_Proyectos!$AR179="","",Portafolio_Proyectos!$C179),"")</f>
        <v/>
      </c>
      <c r="E538" s="5" t="str">
        <f>IFERROR(IF(Portafolio_Proyectos!$AR179="","",Portafolio_Proyectos!$B179),"")</f>
        <v/>
      </c>
      <c r="F538" s="5" t="str">
        <f>IFERROR(IF(Portafolio_Proyectos!$AR179="","",Portafolio_Proyectos!$D179),"")</f>
        <v/>
      </c>
      <c r="G538" s="5" t="str">
        <f>IFERROR(IF(Portafolio_Proyectos!$AR179="","",Portafolio_Proyectos!$A179),"")</f>
        <v/>
      </c>
      <c r="H538" s="5" t="str">
        <f>IFERROR(IF(Portafolio_Proyectos!$AR179="","",Portafolio_Proyectos!$E179),"")</f>
        <v/>
      </c>
    </row>
    <row r="539" spans="1:8" x14ac:dyDescent="0.35">
      <c r="A539" s="5" t="str">
        <f>IFERROR(IF(Portafolio_Proyectos!$AP180="","","CAP-"&amp;ROW()-1),"")</f>
        <v/>
      </c>
      <c r="B539" s="5" t="str">
        <f>IFERROR(IF(Portafolio_Proyectos!$AP180="","",Portafolio_Proyectos!$AP180),"")</f>
        <v/>
      </c>
      <c r="C539" s="5" t="str">
        <f>IFERROR(IF(Portafolio_Proyectos!$AP180="","","Emergente"),"")</f>
        <v/>
      </c>
      <c r="D539" s="5" t="str">
        <f>IFERROR(IF(Portafolio_Proyectos!$AP180="","",Portafolio_Proyectos!$C180),"")</f>
        <v/>
      </c>
      <c r="E539" s="5" t="str">
        <f>IFERROR(IF(Portafolio_Proyectos!$AP180="","",Portafolio_Proyectos!$B180),"")</f>
        <v/>
      </c>
      <c r="F539" s="5" t="str">
        <f>IFERROR(IF(Portafolio_Proyectos!$AP180="","",Portafolio_Proyectos!$D180),"")</f>
        <v/>
      </c>
      <c r="G539" s="5" t="str">
        <f>IFERROR(IF(Portafolio_Proyectos!$AP180="","",Portafolio_Proyectos!$A180),"")</f>
        <v/>
      </c>
      <c r="H539" s="5" t="str">
        <f>IFERROR(IF(Portafolio_Proyectos!$AP180="","",Portafolio_Proyectos!$E180),"")</f>
        <v/>
      </c>
    </row>
    <row r="540" spans="1:8" x14ac:dyDescent="0.35">
      <c r="A540" s="5" t="str">
        <f>IFERROR(IF(Portafolio_Proyectos!$AQ180="","","CAP-"&amp;ROW()-1),"")</f>
        <v/>
      </c>
      <c r="B540" s="5" t="str">
        <f>IFERROR(IF(Portafolio_Proyectos!$AQ180="","",Portafolio_Proyectos!$AQ180),"")</f>
        <v/>
      </c>
      <c r="C540" s="5" t="str">
        <f>IFERROR(IF(Portafolio_Proyectos!$AQ180="","","Consolidada"),"")</f>
        <v/>
      </c>
      <c r="D540" s="5" t="str">
        <f>IFERROR(IF(Portafolio_Proyectos!$AQ180="","",Portafolio_Proyectos!$C180),"")</f>
        <v/>
      </c>
      <c r="E540" s="5" t="str">
        <f>IFERROR(IF(Portafolio_Proyectos!$AQ180="","",Portafolio_Proyectos!$B180),"")</f>
        <v/>
      </c>
      <c r="F540" s="5" t="str">
        <f>IFERROR(IF(Portafolio_Proyectos!$AQ180="","",Portafolio_Proyectos!$D180),"")</f>
        <v/>
      </c>
      <c r="G540" s="5" t="str">
        <f>IFERROR(IF(Portafolio_Proyectos!$AQ180="","",Portafolio_Proyectos!$A180),"")</f>
        <v/>
      </c>
      <c r="H540" s="5" t="str">
        <f>IFERROR(IF(Portafolio_Proyectos!$AQ180="","",Portafolio_Proyectos!$E180),"")</f>
        <v/>
      </c>
    </row>
    <row r="541" spans="1:8" x14ac:dyDescent="0.35">
      <c r="A541" s="5" t="str">
        <f>IFERROR(IF(Portafolio_Proyectos!$AR180="","","CAP-"&amp;ROW()-1),"")</f>
        <v/>
      </c>
      <c r="B541" s="5" t="str">
        <f>IFERROR(IF(Portafolio_Proyectos!$AR180="","",Portafolio_Proyectos!$AR180),"")</f>
        <v/>
      </c>
      <c r="C541" s="5" t="str">
        <f>IFERROR(IF(Portafolio_Proyectos!$AR180="","","Distintiva"),"")</f>
        <v/>
      </c>
      <c r="D541" s="5" t="str">
        <f>IFERROR(IF(Portafolio_Proyectos!$AR180="","",Portafolio_Proyectos!$C180),"")</f>
        <v/>
      </c>
      <c r="E541" s="5" t="str">
        <f>IFERROR(IF(Portafolio_Proyectos!$AR180="","",Portafolio_Proyectos!$B180),"")</f>
        <v/>
      </c>
      <c r="F541" s="5" t="str">
        <f>IFERROR(IF(Portafolio_Proyectos!$AR180="","",Portafolio_Proyectos!$D180),"")</f>
        <v/>
      </c>
      <c r="G541" s="5" t="str">
        <f>IFERROR(IF(Portafolio_Proyectos!$AR180="","",Portafolio_Proyectos!$A180),"")</f>
        <v/>
      </c>
      <c r="H541" s="5" t="str">
        <f>IFERROR(IF(Portafolio_Proyectos!$AR180="","",Portafolio_Proyectos!$E180),"")</f>
        <v/>
      </c>
    </row>
    <row r="542" spans="1:8" x14ac:dyDescent="0.35">
      <c r="A542" s="5" t="str">
        <f>IFERROR(IF(Portafolio_Proyectos!$AP181="","","CAP-"&amp;ROW()-1),"")</f>
        <v/>
      </c>
      <c r="B542" s="5" t="str">
        <f>IFERROR(IF(Portafolio_Proyectos!$AP181="","",Portafolio_Proyectos!$AP181),"")</f>
        <v/>
      </c>
      <c r="C542" s="5" t="str">
        <f>IFERROR(IF(Portafolio_Proyectos!$AP181="","","Emergente"),"")</f>
        <v/>
      </c>
      <c r="D542" s="5" t="str">
        <f>IFERROR(IF(Portafolio_Proyectos!$AP181="","",Portafolio_Proyectos!$C181),"")</f>
        <v/>
      </c>
      <c r="E542" s="5" t="str">
        <f>IFERROR(IF(Portafolio_Proyectos!$AP181="","",Portafolio_Proyectos!$B181),"")</f>
        <v/>
      </c>
      <c r="F542" s="5" t="str">
        <f>IFERROR(IF(Portafolio_Proyectos!$AP181="","",Portafolio_Proyectos!$D181),"")</f>
        <v/>
      </c>
      <c r="G542" s="5" t="str">
        <f>IFERROR(IF(Portafolio_Proyectos!$AP181="","",Portafolio_Proyectos!$A181),"")</f>
        <v/>
      </c>
      <c r="H542" s="5" t="str">
        <f>IFERROR(IF(Portafolio_Proyectos!$AP181="","",Portafolio_Proyectos!$E181),"")</f>
        <v/>
      </c>
    </row>
    <row r="543" spans="1:8" x14ac:dyDescent="0.35">
      <c r="A543" s="5" t="str">
        <f>IFERROR(IF(Portafolio_Proyectos!$AQ181="","","CAP-"&amp;ROW()-1),"")</f>
        <v/>
      </c>
      <c r="B543" s="5" t="str">
        <f>IFERROR(IF(Portafolio_Proyectos!$AQ181="","",Portafolio_Proyectos!$AQ181),"")</f>
        <v/>
      </c>
      <c r="C543" s="5" t="str">
        <f>IFERROR(IF(Portafolio_Proyectos!$AQ181="","","Consolidada"),"")</f>
        <v/>
      </c>
      <c r="D543" s="5" t="str">
        <f>IFERROR(IF(Portafolio_Proyectos!$AQ181="","",Portafolio_Proyectos!$C181),"")</f>
        <v/>
      </c>
      <c r="E543" s="5" t="str">
        <f>IFERROR(IF(Portafolio_Proyectos!$AQ181="","",Portafolio_Proyectos!$B181),"")</f>
        <v/>
      </c>
      <c r="F543" s="5" t="str">
        <f>IFERROR(IF(Portafolio_Proyectos!$AQ181="","",Portafolio_Proyectos!$D181),"")</f>
        <v/>
      </c>
      <c r="G543" s="5" t="str">
        <f>IFERROR(IF(Portafolio_Proyectos!$AQ181="","",Portafolio_Proyectos!$A181),"")</f>
        <v/>
      </c>
      <c r="H543" s="5" t="str">
        <f>IFERROR(IF(Portafolio_Proyectos!$AQ181="","",Portafolio_Proyectos!$E181),"")</f>
        <v/>
      </c>
    </row>
    <row r="544" spans="1:8" x14ac:dyDescent="0.35">
      <c r="A544" s="5" t="str">
        <f>IFERROR(IF(Portafolio_Proyectos!$AR181="","","CAP-"&amp;ROW()-1),"")</f>
        <v/>
      </c>
      <c r="B544" s="5" t="str">
        <f>IFERROR(IF(Portafolio_Proyectos!$AR181="","",Portafolio_Proyectos!$AR181),"")</f>
        <v/>
      </c>
      <c r="C544" s="5" t="str">
        <f>IFERROR(IF(Portafolio_Proyectos!$AR181="","","Distintiva"),"")</f>
        <v/>
      </c>
      <c r="D544" s="5" t="str">
        <f>IFERROR(IF(Portafolio_Proyectos!$AR181="","",Portafolio_Proyectos!$C181),"")</f>
        <v/>
      </c>
      <c r="E544" s="5" t="str">
        <f>IFERROR(IF(Portafolio_Proyectos!$AR181="","",Portafolio_Proyectos!$B181),"")</f>
        <v/>
      </c>
      <c r="F544" s="5" t="str">
        <f>IFERROR(IF(Portafolio_Proyectos!$AR181="","",Portafolio_Proyectos!$D181),"")</f>
        <v/>
      </c>
      <c r="G544" s="5" t="str">
        <f>IFERROR(IF(Portafolio_Proyectos!$AR181="","",Portafolio_Proyectos!$A181),"")</f>
        <v/>
      </c>
      <c r="H544" s="5" t="str">
        <f>IFERROR(IF(Portafolio_Proyectos!$AR181="","",Portafolio_Proyectos!$E181),"")</f>
        <v/>
      </c>
    </row>
    <row r="545" spans="1:8" x14ac:dyDescent="0.35">
      <c r="A545" s="5" t="str">
        <f>IFERROR(IF(Portafolio_Proyectos!$AP182="","","CAP-"&amp;ROW()-1),"")</f>
        <v/>
      </c>
      <c r="B545" s="5" t="str">
        <f>IFERROR(IF(Portafolio_Proyectos!$AP182="","",Portafolio_Proyectos!$AP182),"")</f>
        <v/>
      </c>
      <c r="C545" s="5" t="str">
        <f>IFERROR(IF(Portafolio_Proyectos!$AP182="","","Emergente"),"")</f>
        <v/>
      </c>
      <c r="D545" s="5" t="str">
        <f>IFERROR(IF(Portafolio_Proyectos!$AP182="","",Portafolio_Proyectos!$C182),"")</f>
        <v/>
      </c>
      <c r="E545" s="5" t="str">
        <f>IFERROR(IF(Portafolio_Proyectos!$AP182="","",Portafolio_Proyectos!$B182),"")</f>
        <v/>
      </c>
      <c r="F545" s="5" t="str">
        <f>IFERROR(IF(Portafolio_Proyectos!$AP182="","",Portafolio_Proyectos!$D182),"")</f>
        <v/>
      </c>
      <c r="G545" s="5" t="str">
        <f>IFERROR(IF(Portafolio_Proyectos!$AP182="","",Portafolio_Proyectos!$A182),"")</f>
        <v/>
      </c>
      <c r="H545" s="5" t="str">
        <f>IFERROR(IF(Portafolio_Proyectos!$AP182="","",Portafolio_Proyectos!$E182),"")</f>
        <v/>
      </c>
    </row>
    <row r="546" spans="1:8" x14ac:dyDescent="0.35">
      <c r="A546" s="5" t="str">
        <f>IFERROR(IF(Portafolio_Proyectos!$AQ182="","","CAP-"&amp;ROW()-1),"")</f>
        <v/>
      </c>
      <c r="B546" s="5" t="str">
        <f>IFERROR(IF(Portafolio_Proyectos!$AQ182="","",Portafolio_Proyectos!$AQ182),"")</f>
        <v/>
      </c>
      <c r="C546" s="5" t="str">
        <f>IFERROR(IF(Portafolio_Proyectos!$AQ182="","","Consolidada"),"")</f>
        <v/>
      </c>
      <c r="D546" s="5" t="str">
        <f>IFERROR(IF(Portafolio_Proyectos!$AQ182="","",Portafolio_Proyectos!$C182),"")</f>
        <v/>
      </c>
      <c r="E546" s="5" t="str">
        <f>IFERROR(IF(Portafolio_Proyectos!$AQ182="","",Portafolio_Proyectos!$B182),"")</f>
        <v/>
      </c>
      <c r="F546" s="5" t="str">
        <f>IFERROR(IF(Portafolio_Proyectos!$AQ182="","",Portafolio_Proyectos!$D182),"")</f>
        <v/>
      </c>
      <c r="G546" s="5" t="str">
        <f>IFERROR(IF(Portafolio_Proyectos!$AQ182="","",Portafolio_Proyectos!$A182),"")</f>
        <v/>
      </c>
      <c r="H546" s="5" t="str">
        <f>IFERROR(IF(Portafolio_Proyectos!$AQ182="","",Portafolio_Proyectos!$E182),"")</f>
        <v/>
      </c>
    </row>
    <row r="547" spans="1:8" x14ac:dyDescent="0.35">
      <c r="A547" s="5" t="str">
        <f>IFERROR(IF(Portafolio_Proyectos!$AR182="","","CAP-"&amp;ROW()-1),"")</f>
        <v/>
      </c>
      <c r="B547" s="5" t="str">
        <f>IFERROR(IF(Portafolio_Proyectos!$AR182="","",Portafolio_Proyectos!$AR182),"")</f>
        <v/>
      </c>
      <c r="C547" s="5" t="str">
        <f>IFERROR(IF(Portafolio_Proyectos!$AR182="","","Distintiva"),"")</f>
        <v/>
      </c>
      <c r="D547" s="5" t="str">
        <f>IFERROR(IF(Portafolio_Proyectos!$AR182="","",Portafolio_Proyectos!$C182),"")</f>
        <v/>
      </c>
      <c r="E547" s="5" t="str">
        <f>IFERROR(IF(Portafolio_Proyectos!$AR182="","",Portafolio_Proyectos!$B182),"")</f>
        <v/>
      </c>
      <c r="F547" s="5" t="str">
        <f>IFERROR(IF(Portafolio_Proyectos!$AR182="","",Portafolio_Proyectos!$D182),"")</f>
        <v/>
      </c>
      <c r="G547" s="5" t="str">
        <f>IFERROR(IF(Portafolio_Proyectos!$AR182="","",Portafolio_Proyectos!$A182),"")</f>
        <v/>
      </c>
      <c r="H547" s="5" t="str">
        <f>IFERROR(IF(Portafolio_Proyectos!$AR182="","",Portafolio_Proyectos!$E182),"")</f>
        <v/>
      </c>
    </row>
    <row r="548" spans="1:8" x14ac:dyDescent="0.35">
      <c r="A548" s="5" t="str">
        <f>IFERROR(IF(Portafolio_Proyectos!$AP183="","","CAP-"&amp;ROW()-1),"")</f>
        <v/>
      </c>
      <c r="B548" s="5" t="str">
        <f>IFERROR(IF(Portafolio_Proyectos!$AP183="","",Portafolio_Proyectos!$AP183),"")</f>
        <v/>
      </c>
      <c r="C548" s="5" t="str">
        <f>IFERROR(IF(Portafolio_Proyectos!$AP183="","","Emergente"),"")</f>
        <v/>
      </c>
      <c r="D548" s="5" t="str">
        <f>IFERROR(IF(Portafolio_Proyectos!$AP183="","",Portafolio_Proyectos!$C183),"")</f>
        <v/>
      </c>
      <c r="E548" s="5" t="str">
        <f>IFERROR(IF(Portafolio_Proyectos!$AP183="","",Portafolio_Proyectos!$B183),"")</f>
        <v/>
      </c>
      <c r="F548" s="5" t="str">
        <f>IFERROR(IF(Portafolio_Proyectos!$AP183="","",Portafolio_Proyectos!$D183),"")</f>
        <v/>
      </c>
      <c r="G548" s="5" t="str">
        <f>IFERROR(IF(Portafolio_Proyectos!$AP183="","",Portafolio_Proyectos!$A183),"")</f>
        <v/>
      </c>
      <c r="H548" s="5" t="str">
        <f>IFERROR(IF(Portafolio_Proyectos!$AP183="","",Portafolio_Proyectos!$E183),"")</f>
        <v/>
      </c>
    </row>
    <row r="549" spans="1:8" x14ac:dyDescent="0.35">
      <c r="A549" s="5" t="str">
        <f>IFERROR(IF(Portafolio_Proyectos!$AQ183="","","CAP-"&amp;ROW()-1),"")</f>
        <v/>
      </c>
      <c r="B549" s="5" t="str">
        <f>IFERROR(IF(Portafolio_Proyectos!$AQ183="","",Portafolio_Proyectos!$AQ183),"")</f>
        <v/>
      </c>
      <c r="C549" s="5" t="str">
        <f>IFERROR(IF(Portafolio_Proyectos!$AQ183="","","Consolidada"),"")</f>
        <v/>
      </c>
      <c r="D549" s="5" t="str">
        <f>IFERROR(IF(Portafolio_Proyectos!$AQ183="","",Portafolio_Proyectos!$C183),"")</f>
        <v/>
      </c>
      <c r="E549" s="5" t="str">
        <f>IFERROR(IF(Portafolio_Proyectos!$AQ183="","",Portafolio_Proyectos!$B183),"")</f>
        <v/>
      </c>
      <c r="F549" s="5" t="str">
        <f>IFERROR(IF(Portafolio_Proyectos!$AQ183="","",Portafolio_Proyectos!$D183),"")</f>
        <v/>
      </c>
      <c r="G549" s="5" t="str">
        <f>IFERROR(IF(Portafolio_Proyectos!$AQ183="","",Portafolio_Proyectos!$A183),"")</f>
        <v/>
      </c>
      <c r="H549" s="5" t="str">
        <f>IFERROR(IF(Portafolio_Proyectos!$AQ183="","",Portafolio_Proyectos!$E183),"")</f>
        <v/>
      </c>
    </row>
    <row r="550" spans="1:8" x14ac:dyDescent="0.35">
      <c r="A550" s="5" t="str">
        <f>IFERROR(IF(Portafolio_Proyectos!$AR183="","","CAP-"&amp;ROW()-1),"")</f>
        <v/>
      </c>
      <c r="B550" s="5" t="str">
        <f>IFERROR(IF(Portafolio_Proyectos!$AR183="","",Portafolio_Proyectos!$AR183),"")</f>
        <v/>
      </c>
      <c r="C550" s="5" t="str">
        <f>IFERROR(IF(Portafolio_Proyectos!$AR183="","","Distintiva"),"")</f>
        <v/>
      </c>
      <c r="D550" s="5" t="str">
        <f>IFERROR(IF(Portafolio_Proyectos!$AR183="","",Portafolio_Proyectos!$C183),"")</f>
        <v/>
      </c>
      <c r="E550" s="5" t="str">
        <f>IFERROR(IF(Portafolio_Proyectos!$AR183="","",Portafolio_Proyectos!$B183),"")</f>
        <v/>
      </c>
      <c r="F550" s="5" t="str">
        <f>IFERROR(IF(Portafolio_Proyectos!$AR183="","",Portafolio_Proyectos!$D183),"")</f>
        <v/>
      </c>
      <c r="G550" s="5" t="str">
        <f>IFERROR(IF(Portafolio_Proyectos!$AR183="","",Portafolio_Proyectos!$A183),"")</f>
        <v/>
      </c>
      <c r="H550" s="5" t="str">
        <f>IFERROR(IF(Portafolio_Proyectos!$AR183="","",Portafolio_Proyectos!$E183),"")</f>
        <v/>
      </c>
    </row>
    <row r="551" spans="1:8" x14ac:dyDescent="0.35">
      <c r="A551" s="5" t="str">
        <f>IFERROR(IF(Portafolio_Proyectos!$AP184="","","CAP-"&amp;ROW()-1),"")</f>
        <v/>
      </c>
      <c r="B551" s="5" t="str">
        <f>IFERROR(IF(Portafolio_Proyectos!$AP184="","",Portafolio_Proyectos!$AP184),"")</f>
        <v/>
      </c>
      <c r="C551" s="5" t="str">
        <f>IFERROR(IF(Portafolio_Proyectos!$AP184="","","Emergente"),"")</f>
        <v/>
      </c>
      <c r="D551" s="5" t="str">
        <f>IFERROR(IF(Portafolio_Proyectos!$AP184="","",Portafolio_Proyectos!$C184),"")</f>
        <v/>
      </c>
      <c r="E551" s="5" t="str">
        <f>IFERROR(IF(Portafolio_Proyectos!$AP184="","",Portafolio_Proyectos!$B184),"")</f>
        <v/>
      </c>
      <c r="F551" s="5" t="str">
        <f>IFERROR(IF(Portafolio_Proyectos!$AP184="","",Portafolio_Proyectos!$D184),"")</f>
        <v/>
      </c>
      <c r="G551" s="5" t="str">
        <f>IFERROR(IF(Portafolio_Proyectos!$AP184="","",Portafolio_Proyectos!$A184),"")</f>
        <v/>
      </c>
      <c r="H551" s="5" t="str">
        <f>IFERROR(IF(Portafolio_Proyectos!$AP184="","",Portafolio_Proyectos!$E184),"")</f>
        <v/>
      </c>
    </row>
    <row r="552" spans="1:8" x14ac:dyDescent="0.35">
      <c r="A552" s="5" t="str">
        <f>IFERROR(IF(Portafolio_Proyectos!$AQ184="","","CAP-"&amp;ROW()-1),"")</f>
        <v/>
      </c>
      <c r="B552" s="5" t="str">
        <f>IFERROR(IF(Portafolio_Proyectos!$AQ184="","",Portafolio_Proyectos!$AQ184),"")</f>
        <v/>
      </c>
      <c r="C552" s="5" t="str">
        <f>IFERROR(IF(Portafolio_Proyectos!$AQ184="","","Consolidada"),"")</f>
        <v/>
      </c>
      <c r="D552" s="5" t="str">
        <f>IFERROR(IF(Portafolio_Proyectos!$AQ184="","",Portafolio_Proyectos!$C184),"")</f>
        <v/>
      </c>
      <c r="E552" s="5" t="str">
        <f>IFERROR(IF(Portafolio_Proyectos!$AQ184="","",Portafolio_Proyectos!$B184),"")</f>
        <v/>
      </c>
      <c r="F552" s="5" t="str">
        <f>IFERROR(IF(Portafolio_Proyectos!$AQ184="","",Portafolio_Proyectos!$D184),"")</f>
        <v/>
      </c>
      <c r="G552" s="5" t="str">
        <f>IFERROR(IF(Portafolio_Proyectos!$AQ184="","",Portafolio_Proyectos!$A184),"")</f>
        <v/>
      </c>
      <c r="H552" s="5" t="str">
        <f>IFERROR(IF(Portafolio_Proyectos!$AQ184="","",Portafolio_Proyectos!$E184),"")</f>
        <v/>
      </c>
    </row>
    <row r="553" spans="1:8" x14ac:dyDescent="0.35">
      <c r="A553" s="5" t="str">
        <f>IFERROR(IF(Portafolio_Proyectos!$AR184="","","CAP-"&amp;ROW()-1),"")</f>
        <v/>
      </c>
      <c r="B553" s="5" t="str">
        <f>IFERROR(IF(Portafolio_Proyectos!$AR184="","",Portafolio_Proyectos!$AR184),"")</f>
        <v/>
      </c>
      <c r="C553" s="5" t="str">
        <f>IFERROR(IF(Portafolio_Proyectos!$AR184="","","Distintiva"),"")</f>
        <v/>
      </c>
      <c r="D553" s="5" t="str">
        <f>IFERROR(IF(Portafolio_Proyectos!$AR184="","",Portafolio_Proyectos!$C184),"")</f>
        <v/>
      </c>
      <c r="E553" s="5" t="str">
        <f>IFERROR(IF(Portafolio_Proyectos!$AR184="","",Portafolio_Proyectos!$B184),"")</f>
        <v/>
      </c>
      <c r="F553" s="5" t="str">
        <f>IFERROR(IF(Portafolio_Proyectos!$AR184="","",Portafolio_Proyectos!$D184),"")</f>
        <v/>
      </c>
      <c r="G553" s="5" t="str">
        <f>IFERROR(IF(Portafolio_Proyectos!$AR184="","",Portafolio_Proyectos!$A184),"")</f>
        <v/>
      </c>
      <c r="H553" s="5" t="str">
        <f>IFERROR(IF(Portafolio_Proyectos!$AR184="","",Portafolio_Proyectos!$E184),"")</f>
        <v/>
      </c>
    </row>
    <row r="554" spans="1:8" x14ac:dyDescent="0.35">
      <c r="A554" s="5" t="str">
        <f>IFERROR(IF(Portafolio_Proyectos!$AP185="","","CAP-"&amp;ROW()-1),"")</f>
        <v/>
      </c>
      <c r="B554" s="5" t="str">
        <f>IFERROR(IF(Portafolio_Proyectos!$AP185="","",Portafolio_Proyectos!$AP185),"")</f>
        <v/>
      </c>
      <c r="C554" s="5" t="str">
        <f>IFERROR(IF(Portafolio_Proyectos!$AP185="","","Emergente"),"")</f>
        <v/>
      </c>
      <c r="D554" s="5" t="str">
        <f>IFERROR(IF(Portafolio_Proyectos!$AP185="","",Portafolio_Proyectos!$C185),"")</f>
        <v/>
      </c>
      <c r="E554" s="5" t="str">
        <f>IFERROR(IF(Portafolio_Proyectos!$AP185="","",Portafolio_Proyectos!$B185),"")</f>
        <v/>
      </c>
      <c r="F554" s="5" t="str">
        <f>IFERROR(IF(Portafolio_Proyectos!$AP185="","",Portafolio_Proyectos!$D185),"")</f>
        <v/>
      </c>
      <c r="G554" s="5" t="str">
        <f>IFERROR(IF(Portafolio_Proyectos!$AP185="","",Portafolio_Proyectos!$A185),"")</f>
        <v/>
      </c>
      <c r="H554" s="5" t="str">
        <f>IFERROR(IF(Portafolio_Proyectos!$AP185="","",Portafolio_Proyectos!$E185),"")</f>
        <v/>
      </c>
    </row>
    <row r="555" spans="1:8" x14ac:dyDescent="0.35">
      <c r="A555" s="5" t="str">
        <f>IFERROR(IF(Portafolio_Proyectos!$AQ185="","","CAP-"&amp;ROW()-1),"")</f>
        <v/>
      </c>
      <c r="B555" s="5" t="str">
        <f>IFERROR(IF(Portafolio_Proyectos!$AQ185="","",Portafolio_Proyectos!$AQ185),"")</f>
        <v/>
      </c>
      <c r="C555" s="5" t="str">
        <f>IFERROR(IF(Portafolio_Proyectos!$AQ185="","","Consolidada"),"")</f>
        <v/>
      </c>
      <c r="D555" s="5" t="str">
        <f>IFERROR(IF(Portafolio_Proyectos!$AQ185="","",Portafolio_Proyectos!$C185),"")</f>
        <v/>
      </c>
      <c r="E555" s="5" t="str">
        <f>IFERROR(IF(Portafolio_Proyectos!$AQ185="","",Portafolio_Proyectos!$B185),"")</f>
        <v/>
      </c>
      <c r="F555" s="5" t="str">
        <f>IFERROR(IF(Portafolio_Proyectos!$AQ185="","",Portafolio_Proyectos!$D185),"")</f>
        <v/>
      </c>
      <c r="G555" s="5" t="str">
        <f>IFERROR(IF(Portafolio_Proyectos!$AQ185="","",Portafolio_Proyectos!$A185),"")</f>
        <v/>
      </c>
      <c r="H555" s="5" t="str">
        <f>IFERROR(IF(Portafolio_Proyectos!$AQ185="","",Portafolio_Proyectos!$E185),"")</f>
        <v/>
      </c>
    </row>
    <row r="556" spans="1:8" x14ac:dyDescent="0.35">
      <c r="A556" s="5" t="str">
        <f>IFERROR(IF(Portafolio_Proyectos!$AR185="","","CAP-"&amp;ROW()-1),"")</f>
        <v/>
      </c>
      <c r="B556" s="5" t="str">
        <f>IFERROR(IF(Portafolio_Proyectos!$AR185="","",Portafolio_Proyectos!$AR185),"")</f>
        <v/>
      </c>
      <c r="C556" s="5" t="str">
        <f>IFERROR(IF(Portafolio_Proyectos!$AR185="","","Distintiva"),"")</f>
        <v/>
      </c>
      <c r="D556" s="5" t="str">
        <f>IFERROR(IF(Portafolio_Proyectos!$AR185="","",Portafolio_Proyectos!$C185),"")</f>
        <v/>
      </c>
      <c r="E556" s="5" t="str">
        <f>IFERROR(IF(Portafolio_Proyectos!$AR185="","",Portafolio_Proyectos!$B185),"")</f>
        <v/>
      </c>
      <c r="F556" s="5" t="str">
        <f>IFERROR(IF(Portafolio_Proyectos!$AR185="","",Portafolio_Proyectos!$D185),"")</f>
        <v/>
      </c>
      <c r="G556" s="5" t="str">
        <f>IFERROR(IF(Portafolio_Proyectos!$AR185="","",Portafolio_Proyectos!$A185),"")</f>
        <v/>
      </c>
      <c r="H556" s="5" t="str">
        <f>IFERROR(IF(Portafolio_Proyectos!$AR185="","",Portafolio_Proyectos!$E185),"")</f>
        <v/>
      </c>
    </row>
    <row r="557" spans="1:8" x14ac:dyDescent="0.35">
      <c r="A557" s="5" t="str">
        <f>IFERROR(IF(Portafolio_Proyectos!$AP186="","","CAP-"&amp;ROW()-1),"")</f>
        <v/>
      </c>
      <c r="B557" s="5" t="str">
        <f>IFERROR(IF(Portafolio_Proyectos!$AP186="","",Portafolio_Proyectos!$AP186),"")</f>
        <v/>
      </c>
      <c r="C557" s="5" t="str">
        <f>IFERROR(IF(Portafolio_Proyectos!$AP186="","","Emergente"),"")</f>
        <v/>
      </c>
      <c r="D557" s="5" t="str">
        <f>IFERROR(IF(Portafolio_Proyectos!$AP186="","",Portafolio_Proyectos!$C186),"")</f>
        <v/>
      </c>
      <c r="E557" s="5" t="str">
        <f>IFERROR(IF(Portafolio_Proyectos!$AP186="","",Portafolio_Proyectos!$B186),"")</f>
        <v/>
      </c>
      <c r="F557" s="5" t="str">
        <f>IFERROR(IF(Portafolio_Proyectos!$AP186="","",Portafolio_Proyectos!$D186),"")</f>
        <v/>
      </c>
      <c r="G557" s="5" t="str">
        <f>IFERROR(IF(Portafolio_Proyectos!$AP186="","",Portafolio_Proyectos!$A186),"")</f>
        <v/>
      </c>
      <c r="H557" s="5" t="str">
        <f>IFERROR(IF(Portafolio_Proyectos!$AP186="","",Portafolio_Proyectos!$E186),"")</f>
        <v/>
      </c>
    </row>
    <row r="558" spans="1:8" x14ac:dyDescent="0.35">
      <c r="A558" s="5" t="str">
        <f>IFERROR(IF(Portafolio_Proyectos!$AQ186="","","CAP-"&amp;ROW()-1),"")</f>
        <v/>
      </c>
      <c r="B558" s="5" t="str">
        <f>IFERROR(IF(Portafolio_Proyectos!$AQ186="","",Portafolio_Proyectos!$AQ186),"")</f>
        <v/>
      </c>
      <c r="C558" s="5" t="str">
        <f>IFERROR(IF(Portafolio_Proyectos!$AQ186="","","Consolidada"),"")</f>
        <v/>
      </c>
      <c r="D558" s="5" t="str">
        <f>IFERROR(IF(Portafolio_Proyectos!$AQ186="","",Portafolio_Proyectos!$C186),"")</f>
        <v/>
      </c>
      <c r="E558" s="5" t="str">
        <f>IFERROR(IF(Portafolio_Proyectos!$AQ186="","",Portafolio_Proyectos!$B186),"")</f>
        <v/>
      </c>
      <c r="F558" s="5" t="str">
        <f>IFERROR(IF(Portafolio_Proyectos!$AQ186="","",Portafolio_Proyectos!$D186),"")</f>
        <v/>
      </c>
      <c r="G558" s="5" t="str">
        <f>IFERROR(IF(Portafolio_Proyectos!$AQ186="","",Portafolio_Proyectos!$A186),"")</f>
        <v/>
      </c>
      <c r="H558" s="5" t="str">
        <f>IFERROR(IF(Portafolio_Proyectos!$AQ186="","",Portafolio_Proyectos!$E186),"")</f>
        <v/>
      </c>
    </row>
    <row r="559" spans="1:8" x14ac:dyDescent="0.35">
      <c r="A559" s="5" t="str">
        <f>IFERROR(IF(Portafolio_Proyectos!$AR186="","","CAP-"&amp;ROW()-1),"")</f>
        <v/>
      </c>
      <c r="B559" s="5" t="str">
        <f>IFERROR(IF(Portafolio_Proyectos!$AR186="","",Portafolio_Proyectos!$AR186),"")</f>
        <v/>
      </c>
      <c r="C559" s="5" t="str">
        <f>IFERROR(IF(Portafolio_Proyectos!$AR186="","","Distintiva"),"")</f>
        <v/>
      </c>
      <c r="D559" s="5" t="str">
        <f>IFERROR(IF(Portafolio_Proyectos!$AR186="","",Portafolio_Proyectos!$C186),"")</f>
        <v/>
      </c>
      <c r="E559" s="5" t="str">
        <f>IFERROR(IF(Portafolio_Proyectos!$AR186="","",Portafolio_Proyectos!$B186),"")</f>
        <v/>
      </c>
      <c r="F559" s="5" t="str">
        <f>IFERROR(IF(Portafolio_Proyectos!$AR186="","",Portafolio_Proyectos!$D186),"")</f>
        <v/>
      </c>
      <c r="G559" s="5" t="str">
        <f>IFERROR(IF(Portafolio_Proyectos!$AR186="","",Portafolio_Proyectos!$A186),"")</f>
        <v/>
      </c>
      <c r="H559" s="5" t="str">
        <f>IFERROR(IF(Portafolio_Proyectos!$AR186="","",Portafolio_Proyectos!$E186),"")</f>
        <v/>
      </c>
    </row>
    <row r="560" spans="1:8" x14ac:dyDescent="0.35">
      <c r="A560" s="5" t="str">
        <f>IFERROR(IF(Portafolio_Proyectos!$AP187="","","CAP-"&amp;ROW()-1),"")</f>
        <v/>
      </c>
      <c r="B560" s="5" t="str">
        <f>IFERROR(IF(Portafolio_Proyectos!$AP187="","",Portafolio_Proyectos!$AP187),"")</f>
        <v/>
      </c>
      <c r="C560" s="5" t="str">
        <f>IFERROR(IF(Portafolio_Proyectos!$AP187="","","Emergente"),"")</f>
        <v/>
      </c>
      <c r="D560" s="5" t="str">
        <f>IFERROR(IF(Portafolio_Proyectos!$AP187="","",Portafolio_Proyectos!$C187),"")</f>
        <v/>
      </c>
      <c r="E560" s="5" t="str">
        <f>IFERROR(IF(Portafolio_Proyectos!$AP187="","",Portafolio_Proyectos!$B187),"")</f>
        <v/>
      </c>
      <c r="F560" s="5" t="str">
        <f>IFERROR(IF(Portafolio_Proyectos!$AP187="","",Portafolio_Proyectos!$D187),"")</f>
        <v/>
      </c>
      <c r="G560" s="5" t="str">
        <f>IFERROR(IF(Portafolio_Proyectos!$AP187="","",Portafolio_Proyectos!$A187),"")</f>
        <v/>
      </c>
      <c r="H560" s="5" t="str">
        <f>IFERROR(IF(Portafolio_Proyectos!$AP187="","",Portafolio_Proyectos!$E187),"")</f>
        <v/>
      </c>
    </row>
    <row r="561" spans="1:8" x14ac:dyDescent="0.35">
      <c r="A561" s="5" t="str">
        <f>IFERROR(IF(Portafolio_Proyectos!$AQ187="","","CAP-"&amp;ROW()-1),"")</f>
        <v/>
      </c>
      <c r="B561" s="5" t="str">
        <f>IFERROR(IF(Portafolio_Proyectos!$AQ187="","",Portafolio_Proyectos!$AQ187),"")</f>
        <v/>
      </c>
      <c r="C561" s="5" t="str">
        <f>IFERROR(IF(Portafolio_Proyectos!$AQ187="","","Consolidada"),"")</f>
        <v/>
      </c>
      <c r="D561" s="5" t="str">
        <f>IFERROR(IF(Portafolio_Proyectos!$AQ187="","",Portafolio_Proyectos!$C187),"")</f>
        <v/>
      </c>
      <c r="E561" s="5" t="str">
        <f>IFERROR(IF(Portafolio_Proyectos!$AQ187="","",Portafolio_Proyectos!$B187),"")</f>
        <v/>
      </c>
      <c r="F561" s="5" t="str">
        <f>IFERROR(IF(Portafolio_Proyectos!$AQ187="","",Portafolio_Proyectos!$D187),"")</f>
        <v/>
      </c>
      <c r="G561" s="5" t="str">
        <f>IFERROR(IF(Portafolio_Proyectos!$AQ187="","",Portafolio_Proyectos!$A187),"")</f>
        <v/>
      </c>
      <c r="H561" s="5" t="str">
        <f>IFERROR(IF(Portafolio_Proyectos!$AQ187="","",Portafolio_Proyectos!$E187),"")</f>
        <v/>
      </c>
    </row>
    <row r="562" spans="1:8" x14ac:dyDescent="0.35">
      <c r="A562" s="5" t="str">
        <f>IFERROR(IF(Portafolio_Proyectos!$AR187="","","CAP-"&amp;ROW()-1),"")</f>
        <v/>
      </c>
      <c r="B562" s="5" t="str">
        <f>IFERROR(IF(Portafolio_Proyectos!$AR187="","",Portafolio_Proyectos!$AR187),"")</f>
        <v/>
      </c>
      <c r="C562" s="5" t="str">
        <f>IFERROR(IF(Portafolio_Proyectos!$AR187="","","Distintiva"),"")</f>
        <v/>
      </c>
      <c r="D562" s="5" t="str">
        <f>IFERROR(IF(Portafolio_Proyectos!$AR187="","",Portafolio_Proyectos!$C187),"")</f>
        <v/>
      </c>
      <c r="E562" s="5" t="str">
        <f>IFERROR(IF(Portafolio_Proyectos!$AR187="","",Portafolio_Proyectos!$B187),"")</f>
        <v/>
      </c>
      <c r="F562" s="5" t="str">
        <f>IFERROR(IF(Portafolio_Proyectos!$AR187="","",Portafolio_Proyectos!$D187),"")</f>
        <v/>
      </c>
      <c r="G562" s="5" t="str">
        <f>IFERROR(IF(Portafolio_Proyectos!$AR187="","",Portafolio_Proyectos!$A187),"")</f>
        <v/>
      </c>
      <c r="H562" s="5" t="str">
        <f>IFERROR(IF(Portafolio_Proyectos!$AR187="","",Portafolio_Proyectos!$E187),"")</f>
        <v/>
      </c>
    </row>
    <row r="563" spans="1:8" x14ac:dyDescent="0.35">
      <c r="A563" s="5" t="str">
        <f>IFERROR(IF(Portafolio_Proyectos!$AP188="","","CAP-"&amp;ROW()-1),"")</f>
        <v/>
      </c>
      <c r="B563" s="5" t="str">
        <f>IFERROR(IF(Portafolio_Proyectos!$AP188="","",Portafolio_Proyectos!$AP188),"")</f>
        <v/>
      </c>
      <c r="C563" s="5" t="str">
        <f>IFERROR(IF(Portafolio_Proyectos!$AP188="","","Emergente"),"")</f>
        <v/>
      </c>
      <c r="D563" s="5" t="str">
        <f>IFERROR(IF(Portafolio_Proyectos!$AP188="","",Portafolio_Proyectos!$C188),"")</f>
        <v/>
      </c>
      <c r="E563" s="5" t="str">
        <f>IFERROR(IF(Portafolio_Proyectos!$AP188="","",Portafolio_Proyectos!$B188),"")</f>
        <v/>
      </c>
      <c r="F563" s="5" t="str">
        <f>IFERROR(IF(Portafolio_Proyectos!$AP188="","",Portafolio_Proyectos!$D188),"")</f>
        <v/>
      </c>
      <c r="G563" s="5" t="str">
        <f>IFERROR(IF(Portafolio_Proyectos!$AP188="","",Portafolio_Proyectos!$A188),"")</f>
        <v/>
      </c>
      <c r="H563" s="5" t="str">
        <f>IFERROR(IF(Portafolio_Proyectos!$AP188="","",Portafolio_Proyectos!$E188),"")</f>
        <v/>
      </c>
    </row>
    <row r="564" spans="1:8" x14ac:dyDescent="0.35">
      <c r="A564" s="5" t="str">
        <f>IFERROR(IF(Portafolio_Proyectos!$AQ188="","","CAP-"&amp;ROW()-1),"")</f>
        <v/>
      </c>
      <c r="B564" s="5" t="str">
        <f>IFERROR(IF(Portafolio_Proyectos!$AQ188="","",Portafolio_Proyectos!$AQ188),"")</f>
        <v/>
      </c>
      <c r="C564" s="5" t="str">
        <f>IFERROR(IF(Portafolio_Proyectos!$AQ188="","","Consolidada"),"")</f>
        <v/>
      </c>
      <c r="D564" s="5" t="str">
        <f>IFERROR(IF(Portafolio_Proyectos!$AQ188="","",Portafolio_Proyectos!$C188),"")</f>
        <v/>
      </c>
      <c r="E564" s="5" t="str">
        <f>IFERROR(IF(Portafolio_Proyectos!$AQ188="","",Portafolio_Proyectos!$B188),"")</f>
        <v/>
      </c>
      <c r="F564" s="5" t="str">
        <f>IFERROR(IF(Portafolio_Proyectos!$AQ188="","",Portafolio_Proyectos!$D188),"")</f>
        <v/>
      </c>
      <c r="G564" s="5" t="str">
        <f>IFERROR(IF(Portafolio_Proyectos!$AQ188="","",Portafolio_Proyectos!$A188),"")</f>
        <v/>
      </c>
      <c r="H564" s="5" t="str">
        <f>IFERROR(IF(Portafolio_Proyectos!$AQ188="","",Portafolio_Proyectos!$E188),"")</f>
        <v/>
      </c>
    </row>
    <row r="565" spans="1:8" x14ac:dyDescent="0.35">
      <c r="A565" s="5" t="str">
        <f>IFERROR(IF(Portafolio_Proyectos!$AR188="","","CAP-"&amp;ROW()-1),"")</f>
        <v/>
      </c>
      <c r="B565" s="5" t="str">
        <f>IFERROR(IF(Portafolio_Proyectos!$AR188="","",Portafolio_Proyectos!$AR188),"")</f>
        <v/>
      </c>
      <c r="C565" s="5" t="str">
        <f>IFERROR(IF(Portafolio_Proyectos!$AR188="","","Distintiva"),"")</f>
        <v/>
      </c>
      <c r="D565" s="5" t="str">
        <f>IFERROR(IF(Portafolio_Proyectos!$AR188="","",Portafolio_Proyectos!$C188),"")</f>
        <v/>
      </c>
      <c r="E565" s="5" t="str">
        <f>IFERROR(IF(Portafolio_Proyectos!$AR188="","",Portafolio_Proyectos!$B188),"")</f>
        <v/>
      </c>
      <c r="F565" s="5" t="str">
        <f>IFERROR(IF(Portafolio_Proyectos!$AR188="","",Portafolio_Proyectos!$D188),"")</f>
        <v/>
      </c>
      <c r="G565" s="5" t="str">
        <f>IFERROR(IF(Portafolio_Proyectos!$AR188="","",Portafolio_Proyectos!$A188),"")</f>
        <v/>
      </c>
      <c r="H565" s="5" t="str">
        <f>IFERROR(IF(Portafolio_Proyectos!$AR188="","",Portafolio_Proyectos!$E188),"")</f>
        <v/>
      </c>
    </row>
    <row r="566" spans="1:8" x14ac:dyDescent="0.35">
      <c r="A566" s="5" t="str">
        <f>IFERROR(IF(Portafolio_Proyectos!$AP189="","","CAP-"&amp;ROW()-1),"")</f>
        <v/>
      </c>
      <c r="B566" s="5" t="str">
        <f>IFERROR(IF(Portafolio_Proyectos!$AP189="","",Portafolio_Proyectos!$AP189),"")</f>
        <v/>
      </c>
      <c r="C566" s="5" t="str">
        <f>IFERROR(IF(Portafolio_Proyectos!$AP189="","","Emergente"),"")</f>
        <v/>
      </c>
      <c r="D566" s="5" t="str">
        <f>IFERROR(IF(Portafolio_Proyectos!$AP189="","",Portafolio_Proyectos!$C189),"")</f>
        <v/>
      </c>
      <c r="E566" s="5" t="str">
        <f>IFERROR(IF(Portafolio_Proyectos!$AP189="","",Portafolio_Proyectos!$B189),"")</f>
        <v/>
      </c>
      <c r="F566" s="5" t="str">
        <f>IFERROR(IF(Portafolio_Proyectos!$AP189="","",Portafolio_Proyectos!$D189),"")</f>
        <v/>
      </c>
      <c r="G566" s="5" t="str">
        <f>IFERROR(IF(Portafolio_Proyectos!$AP189="","",Portafolio_Proyectos!$A189),"")</f>
        <v/>
      </c>
      <c r="H566" s="5" t="str">
        <f>IFERROR(IF(Portafolio_Proyectos!$AP189="","",Portafolio_Proyectos!$E189),"")</f>
        <v/>
      </c>
    </row>
    <row r="567" spans="1:8" x14ac:dyDescent="0.35">
      <c r="A567" s="5" t="str">
        <f>IFERROR(IF(Portafolio_Proyectos!$AQ189="","","CAP-"&amp;ROW()-1),"")</f>
        <v/>
      </c>
      <c r="B567" s="5" t="str">
        <f>IFERROR(IF(Portafolio_Proyectos!$AQ189="","",Portafolio_Proyectos!$AQ189),"")</f>
        <v/>
      </c>
      <c r="C567" s="5" t="str">
        <f>IFERROR(IF(Portafolio_Proyectos!$AQ189="","","Consolidada"),"")</f>
        <v/>
      </c>
      <c r="D567" s="5" t="str">
        <f>IFERROR(IF(Portafolio_Proyectos!$AQ189="","",Portafolio_Proyectos!$C189),"")</f>
        <v/>
      </c>
      <c r="E567" s="5" t="str">
        <f>IFERROR(IF(Portafolio_Proyectos!$AQ189="","",Portafolio_Proyectos!$B189),"")</f>
        <v/>
      </c>
      <c r="F567" s="5" t="str">
        <f>IFERROR(IF(Portafolio_Proyectos!$AQ189="","",Portafolio_Proyectos!$D189),"")</f>
        <v/>
      </c>
      <c r="G567" s="5" t="str">
        <f>IFERROR(IF(Portafolio_Proyectos!$AQ189="","",Portafolio_Proyectos!$A189),"")</f>
        <v/>
      </c>
      <c r="H567" s="5" t="str">
        <f>IFERROR(IF(Portafolio_Proyectos!$AQ189="","",Portafolio_Proyectos!$E189),"")</f>
        <v/>
      </c>
    </row>
    <row r="568" spans="1:8" x14ac:dyDescent="0.35">
      <c r="A568" s="5" t="str">
        <f>IFERROR(IF(Portafolio_Proyectos!$AR189="","","CAP-"&amp;ROW()-1),"")</f>
        <v/>
      </c>
      <c r="B568" s="5" t="str">
        <f>IFERROR(IF(Portafolio_Proyectos!$AR189="","",Portafolio_Proyectos!$AR189),"")</f>
        <v/>
      </c>
      <c r="C568" s="5" t="str">
        <f>IFERROR(IF(Portafolio_Proyectos!$AR189="","","Distintiva"),"")</f>
        <v/>
      </c>
      <c r="D568" s="5" t="str">
        <f>IFERROR(IF(Portafolio_Proyectos!$AR189="","",Portafolio_Proyectos!$C189),"")</f>
        <v/>
      </c>
      <c r="E568" s="5" t="str">
        <f>IFERROR(IF(Portafolio_Proyectos!$AR189="","",Portafolio_Proyectos!$B189),"")</f>
        <v/>
      </c>
      <c r="F568" s="5" t="str">
        <f>IFERROR(IF(Portafolio_Proyectos!$AR189="","",Portafolio_Proyectos!$D189),"")</f>
        <v/>
      </c>
      <c r="G568" s="5" t="str">
        <f>IFERROR(IF(Portafolio_Proyectos!$AR189="","",Portafolio_Proyectos!$A189),"")</f>
        <v/>
      </c>
      <c r="H568" s="5" t="str">
        <f>IFERROR(IF(Portafolio_Proyectos!$AR189="","",Portafolio_Proyectos!$E189),"")</f>
        <v/>
      </c>
    </row>
    <row r="569" spans="1:8" x14ac:dyDescent="0.35">
      <c r="A569" s="5" t="str">
        <f>IFERROR(IF(Portafolio_Proyectos!$AP190="","","CAP-"&amp;ROW()-1),"")</f>
        <v/>
      </c>
      <c r="B569" s="5" t="str">
        <f>IFERROR(IF(Portafolio_Proyectos!$AP190="","",Portafolio_Proyectos!$AP190),"")</f>
        <v/>
      </c>
      <c r="C569" s="5" t="str">
        <f>IFERROR(IF(Portafolio_Proyectos!$AP190="","","Emergente"),"")</f>
        <v/>
      </c>
      <c r="D569" s="5" t="str">
        <f>IFERROR(IF(Portafolio_Proyectos!$AP190="","",Portafolio_Proyectos!$C190),"")</f>
        <v/>
      </c>
      <c r="E569" s="5" t="str">
        <f>IFERROR(IF(Portafolio_Proyectos!$AP190="","",Portafolio_Proyectos!$B190),"")</f>
        <v/>
      </c>
      <c r="F569" s="5" t="str">
        <f>IFERROR(IF(Portafolio_Proyectos!$AP190="","",Portafolio_Proyectos!$D190),"")</f>
        <v/>
      </c>
      <c r="G569" s="5" t="str">
        <f>IFERROR(IF(Portafolio_Proyectos!$AP190="","",Portafolio_Proyectos!$A190),"")</f>
        <v/>
      </c>
      <c r="H569" s="5" t="str">
        <f>IFERROR(IF(Portafolio_Proyectos!$AP190="","",Portafolio_Proyectos!$E190),"")</f>
        <v/>
      </c>
    </row>
    <row r="570" spans="1:8" x14ac:dyDescent="0.35">
      <c r="A570" s="5" t="str">
        <f>IFERROR(IF(Portafolio_Proyectos!$AQ190="","","CAP-"&amp;ROW()-1),"")</f>
        <v/>
      </c>
      <c r="B570" s="5" t="str">
        <f>IFERROR(IF(Portafolio_Proyectos!$AQ190="","",Portafolio_Proyectos!$AQ190),"")</f>
        <v/>
      </c>
      <c r="C570" s="5" t="str">
        <f>IFERROR(IF(Portafolio_Proyectos!$AQ190="","","Consolidada"),"")</f>
        <v/>
      </c>
      <c r="D570" s="5" t="str">
        <f>IFERROR(IF(Portafolio_Proyectos!$AQ190="","",Portafolio_Proyectos!$C190),"")</f>
        <v/>
      </c>
      <c r="E570" s="5" t="str">
        <f>IFERROR(IF(Portafolio_Proyectos!$AQ190="","",Portafolio_Proyectos!$B190),"")</f>
        <v/>
      </c>
      <c r="F570" s="5" t="str">
        <f>IFERROR(IF(Portafolio_Proyectos!$AQ190="","",Portafolio_Proyectos!$D190),"")</f>
        <v/>
      </c>
      <c r="G570" s="5" t="str">
        <f>IFERROR(IF(Portafolio_Proyectos!$AQ190="","",Portafolio_Proyectos!$A190),"")</f>
        <v/>
      </c>
      <c r="H570" s="5" t="str">
        <f>IFERROR(IF(Portafolio_Proyectos!$AQ190="","",Portafolio_Proyectos!$E190),"")</f>
        <v/>
      </c>
    </row>
    <row r="571" spans="1:8" x14ac:dyDescent="0.35">
      <c r="A571" s="5" t="str">
        <f>IFERROR(IF(Portafolio_Proyectos!$AR190="","","CAP-"&amp;ROW()-1),"")</f>
        <v/>
      </c>
      <c r="B571" s="5" t="str">
        <f>IFERROR(IF(Portafolio_Proyectos!$AR190="","",Portafolio_Proyectos!$AR190),"")</f>
        <v/>
      </c>
      <c r="C571" s="5" t="str">
        <f>IFERROR(IF(Portafolio_Proyectos!$AR190="","","Distintiva"),"")</f>
        <v/>
      </c>
      <c r="D571" s="5" t="str">
        <f>IFERROR(IF(Portafolio_Proyectos!$AR190="","",Portafolio_Proyectos!$C190),"")</f>
        <v/>
      </c>
      <c r="E571" s="5" t="str">
        <f>IFERROR(IF(Portafolio_Proyectos!$AR190="","",Portafolio_Proyectos!$B190),"")</f>
        <v/>
      </c>
      <c r="F571" s="5" t="str">
        <f>IFERROR(IF(Portafolio_Proyectos!$AR190="","",Portafolio_Proyectos!$D190),"")</f>
        <v/>
      </c>
      <c r="G571" s="5" t="str">
        <f>IFERROR(IF(Portafolio_Proyectos!$AR190="","",Portafolio_Proyectos!$A190),"")</f>
        <v/>
      </c>
      <c r="H571" s="5" t="str">
        <f>IFERROR(IF(Portafolio_Proyectos!$AR190="","",Portafolio_Proyectos!$E190),"")</f>
        <v/>
      </c>
    </row>
    <row r="572" spans="1:8" x14ac:dyDescent="0.35">
      <c r="A572" s="5" t="str">
        <f>IFERROR(IF(Portafolio_Proyectos!$AP191="","","CAP-"&amp;ROW()-1),"")</f>
        <v/>
      </c>
      <c r="B572" s="5" t="str">
        <f>IFERROR(IF(Portafolio_Proyectos!$AP191="","",Portafolio_Proyectos!$AP191),"")</f>
        <v/>
      </c>
      <c r="C572" s="5" t="str">
        <f>IFERROR(IF(Portafolio_Proyectos!$AP191="","","Emergente"),"")</f>
        <v/>
      </c>
      <c r="D572" s="5" t="str">
        <f>IFERROR(IF(Portafolio_Proyectos!$AP191="","",Portafolio_Proyectos!$C191),"")</f>
        <v/>
      </c>
      <c r="E572" s="5" t="str">
        <f>IFERROR(IF(Portafolio_Proyectos!$AP191="","",Portafolio_Proyectos!$B191),"")</f>
        <v/>
      </c>
      <c r="F572" s="5" t="str">
        <f>IFERROR(IF(Portafolio_Proyectos!$AP191="","",Portafolio_Proyectos!$D191),"")</f>
        <v/>
      </c>
      <c r="G572" s="5" t="str">
        <f>IFERROR(IF(Portafolio_Proyectos!$AP191="","",Portafolio_Proyectos!$A191),"")</f>
        <v/>
      </c>
      <c r="H572" s="5" t="str">
        <f>IFERROR(IF(Portafolio_Proyectos!$AP191="","",Portafolio_Proyectos!$E191),"")</f>
        <v/>
      </c>
    </row>
    <row r="573" spans="1:8" x14ac:dyDescent="0.35">
      <c r="A573" s="5" t="str">
        <f>IFERROR(IF(Portafolio_Proyectos!$AQ191="","","CAP-"&amp;ROW()-1),"")</f>
        <v/>
      </c>
      <c r="B573" s="5" t="str">
        <f>IFERROR(IF(Portafolio_Proyectos!$AQ191="","",Portafolio_Proyectos!$AQ191),"")</f>
        <v/>
      </c>
      <c r="C573" s="5" t="str">
        <f>IFERROR(IF(Portafolio_Proyectos!$AQ191="","","Consolidada"),"")</f>
        <v/>
      </c>
      <c r="D573" s="5" t="str">
        <f>IFERROR(IF(Portafolio_Proyectos!$AQ191="","",Portafolio_Proyectos!$C191),"")</f>
        <v/>
      </c>
      <c r="E573" s="5" t="str">
        <f>IFERROR(IF(Portafolio_Proyectos!$AQ191="","",Portafolio_Proyectos!$B191),"")</f>
        <v/>
      </c>
      <c r="F573" s="5" t="str">
        <f>IFERROR(IF(Portafolio_Proyectos!$AQ191="","",Portafolio_Proyectos!$D191),"")</f>
        <v/>
      </c>
      <c r="G573" s="5" t="str">
        <f>IFERROR(IF(Portafolio_Proyectos!$AQ191="","",Portafolio_Proyectos!$A191),"")</f>
        <v/>
      </c>
      <c r="H573" s="5" t="str">
        <f>IFERROR(IF(Portafolio_Proyectos!$AQ191="","",Portafolio_Proyectos!$E191),"")</f>
        <v/>
      </c>
    </row>
    <row r="574" spans="1:8" x14ac:dyDescent="0.35">
      <c r="A574" s="5" t="str">
        <f>IFERROR(IF(Portafolio_Proyectos!$AR191="","","CAP-"&amp;ROW()-1),"")</f>
        <v/>
      </c>
      <c r="B574" s="5" t="str">
        <f>IFERROR(IF(Portafolio_Proyectos!$AR191="","",Portafolio_Proyectos!$AR191),"")</f>
        <v/>
      </c>
      <c r="C574" s="5" t="str">
        <f>IFERROR(IF(Portafolio_Proyectos!$AR191="","","Distintiva"),"")</f>
        <v/>
      </c>
      <c r="D574" s="5" t="str">
        <f>IFERROR(IF(Portafolio_Proyectos!$AR191="","",Portafolio_Proyectos!$C191),"")</f>
        <v/>
      </c>
      <c r="E574" s="5" t="str">
        <f>IFERROR(IF(Portafolio_Proyectos!$AR191="","",Portafolio_Proyectos!$B191),"")</f>
        <v/>
      </c>
      <c r="F574" s="5" t="str">
        <f>IFERROR(IF(Portafolio_Proyectos!$AR191="","",Portafolio_Proyectos!$D191),"")</f>
        <v/>
      </c>
      <c r="G574" s="5" t="str">
        <f>IFERROR(IF(Portafolio_Proyectos!$AR191="","",Portafolio_Proyectos!$A191),"")</f>
        <v/>
      </c>
      <c r="H574" s="5" t="str">
        <f>IFERROR(IF(Portafolio_Proyectos!$AR191="","",Portafolio_Proyectos!$E191),"")</f>
        <v/>
      </c>
    </row>
    <row r="575" spans="1:8" x14ac:dyDescent="0.35">
      <c r="A575" s="5" t="str">
        <f>IFERROR(IF(Portafolio_Proyectos!$AP192="","","CAP-"&amp;ROW()-1),"")</f>
        <v/>
      </c>
      <c r="B575" s="5" t="str">
        <f>IFERROR(IF(Portafolio_Proyectos!$AP192="","",Portafolio_Proyectos!$AP192),"")</f>
        <v/>
      </c>
      <c r="C575" s="5" t="str">
        <f>IFERROR(IF(Portafolio_Proyectos!$AP192="","","Emergente"),"")</f>
        <v/>
      </c>
      <c r="D575" s="5" t="str">
        <f>IFERROR(IF(Portafolio_Proyectos!$AP192="","",Portafolio_Proyectos!$C192),"")</f>
        <v/>
      </c>
      <c r="E575" s="5" t="str">
        <f>IFERROR(IF(Portafolio_Proyectos!$AP192="","",Portafolio_Proyectos!$B192),"")</f>
        <v/>
      </c>
      <c r="F575" s="5" t="str">
        <f>IFERROR(IF(Portafolio_Proyectos!$AP192="","",Portafolio_Proyectos!$D192),"")</f>
        <v/>
      </c>
      <c r="G575" s="5" t="str">
        <f>IFERROR(IF(Portafolio_Proyectos!$AP192="","",Portafolio_Proyectos!$A192),"")</f>
        <v/>
      </c>
      <c r="H575" s="5" t="str">
        <f>IFERROR(IF(Portafolio_Proyectos!$AP192="","",Portafolio_Proyectos!$E192),"")</f>
        <v/>
      </c>
    </row>
    <row r="576" spans="1:8" x14ac:dyDescent="0.35">
      <c r="A576" s="5" t="str">
        <f>IFERROR(IF(Portafolio_Proyectos!$AQ192="","","CAP-"&amp;ROW()-1),"")</f>
        <v/>
      </c>
      <c r="B576" s="5" t="str">
        <f>IFERROR(IF(Portafolio_Proyectos!$AQ192="","",Portafolio_Proyectos!$AQ192),"")</f>
        <v/>
      </c>
      <c r="C576" s="5" t="str">
        <f>IFERROR(IF(Portafolio_Proyectos!$AQ192="","","Consolidada"),"")</f>
        <v/>
      </c>
      <c r="D576" s="5" t="str">
        <f>IFERROR(IF(Portafolio_Proyectos!$AQ192="","",Portafolio_Proyectos!$C192),"")</f>
        <v/>
      </c>
      <c r="E576" s="5" t="str">
        <f>IFERROR(IF(Portafolio_Proyectos!$AQ192="","",Portafolio_Proyectos!$B192),"")</f>
        <v/>
      </c>
      <c r="F576" s="5" t="str">
        <f>IFERROR(IF(Portafolio_Proyectos!$AQ192="","",Portafolio_Proyectos!$D192),"")</f>
        <v/>
      </c>
      <c r="G576" s="5" t="str">
        <f>IFERROR(IF(Portafolio_Proyectos!$AQ192="","",Portafolio_Proyectos!$A192),"")</f>
        <v/>
      </c>
      <c r="H576" s="5" t="str">
        <f>IFERROR(IF(Portafolio_Proyectos!$AQ192="","",Portafolio_Proyectos!$E192),"")</f>
        <v/>
      </c>
    </row>
    <row r="577" spans="1:8" x14ac:dyDescent="0.35">
      <c r="A577" s="5" t="str">
        <f>IFERROR(IF(Portafolio_Proyectos!$AR192="","","CAP-"&amp;ROW()-1),"")</f>
        <v/>
      </c>
      <c r="B577" s="5" t="str">
        <f>IFERROR(IF(Portafolio_Proyectos!$AR192="","",Portafolio_Proyectos!$AR192),"")</f>
        <v/>
      </c>
      <c r="C577" s="5" t="str">
        <f>IFERROR(IF(Portafolio_Proyectos!$AR192="","","Distintiva"),"")</f>
        <v/>
      </c>
      <c r="D577" s="5" t="str">
        <f>IFERROR(IF(Portafolio_Proyectos!$AR192="","",Portafolio_Proyectos!$C192),"")</f>
        <v/>
      </c>
      <c r="E577" s="5" t="str">
        <f>IFERROR(IF(Portafolio_Proyectos!$AR192="","",Portafolio_Proyectos!$B192),"")</f>
        <v/>
      </c>
      <c r="F577" s="5" t="str">
        <f>IFERROR(IF(Portafolio_Proyectos!$AR192="","",Portafolio_Proyectos!$D192),"")</f>
        <v/>
      </c>
      <c r="G577" s="5" t="str">
        <f>IFERROR(IF(Portafolio_Proyectos!$AR192="","",Portafolio_Proyectos!$A192),"")</f>
        <v/>
      </c>
      <c r="H577" s="5" t="str">
        <f>IFERROR(IF(Portafolio_Proyectos!$AR192="","",Portafolio_Proyectos!$E192),"")</f>
        <v/>
      </c>
    </row>
    <row r="578" spans="1:8" x14ac:dyDescent="0.35">
      <c r="A578" s="5" t="str">
        <f>IFERROR(IF(Portafolio_Proyectos!$AP193="","","CAP-"&amp;ROW()-1),"")</f>
        <v/>
      </c>
      <c r="B578" s="5" t="str">
        <f>IFERROR(IF(Portafolio_Proyectos!$AP193="","",Portafolio_Proyectos!$AP193),"")</f>
        <v/>
      </c>
      <c r="C578" s="5" t="str">
        <f>IFERROR(IF(Portafolio_Proyectos!$AP193="","","Emergente"),"")</f>
        <v/>
      </c>
      <c r="D578" s="5" t="str">
        <f>IFERROR(IF(Portafolio_Proyectos!$AP193="","",Portafolio_Proyectos!$C193),"")</f>
        <v/>
      </c>
      <c r="E578" s="5" t="str">
        <f>IFERROR(IF(Portafolio_Proyectos!$AP193="","",Portafolio_Proyectos!$B193),"")</f>
        <v/>
      </c>
      <c r="F578" s="5" t="str">
        <f>IFERROR(IF(Portafolio_Proyectos!$AP193="","",Portafolio_Proyectos!$D193),"")</f>
        <v/>
      </c>
      <c r="G578" s="5" t="str">
        <f>IFERROR(IF(Portafolio_Proyectos!$AP193="","",Portafolio_Proyectos!$A193),"")</f>
        <v/>
      </c>
      <c r="H578" s="5" t="str">
        <f>IFERROR(IF(Portafolio_Proyectos!$AP193="","",Portafolio_Proyectos!$E193),"")</f>
        <v/>
      </c>
    </row>
    <row r="579" spans="1:8" x14ac:dyDescent="0.35">
      <c r="A579" s="5" t="str">
        <f>IFERROR(IF(Portafolio_Proyectos!$AQ193="","","CAP-"&amp;ROW()-1),"")</f>
        <v/>
      </c>
      <c r="B579" s="5" t="str">
        <f>IFERROR(IF(Portafolio_Proyectos!$AQ193="","",Portafolio_Proyectos!$AQ193),"")</f>
        <v/>
      </c>
      <c r="C579" s="5" t="str">
        <f>IFERROR(IF(Portafolio_Proyectos!$AQ193="","","Consolidada"),"")</f>
        <v/>
      </c>
      <c r="D579" s="5" t="str">
        <f>IFERROR(IF(Portafolio_Proyectos!$AQ193="","",Portafolio_Proyectos!$C193),"")</f>
        <v/>
      </c>
      <c r="E579" s="5" t="str">
        <f>IFERROR(IF(Portafolio_Proyectos!$AQ193="","",Portafolio_Proyectos!$B193),"")</f>
        <v/>
      </c>
      <c r="F579" s="5" t="str">
        <f>IFERROR(IF(Portafolio_Proyectos!$AQ193="","",Portafolio_Proyectos!$D193),"")</f>
        <v/>
      </c>
      <c r="G579" s="5" t="str">
        <f>IFERROR(IF(Portafolio_Proyectos!$AQ193="","",Portafolio_Proyectos!$A193),"")</f>
        <v/>
      </c>
      <c r="H579" s="5" t="str">
        <f>IFERROR(IF(Portafolio_Proyectos!$AQ193="","",Portafolio_Proyectos!$E193),"")</f>
        <v/>
      </c>
    </row>
    <row r="580" spans="1:8" x14ac:dyDescent="0.35">
      <c r="A580" s="5" t="str">
        <f>IFERROR(IF(Portafolio_Proyectos!$AR193="","","CAP-"&amp;ROW()-1),"")</f>
        <v/>
      </c>
      <c r="B580" s="5" t="str">
        <f>IFERROR(IF(Portafolio_Proyectos!$AR193="","",Portafolio_Proyectos!$AR193),"")</f>
        <v/>
      </c>
      <c r="C580" s="5" t="str">
        <f>IFERROR(IF(Portafolio_Proyectos!$AR193="","","Distintiva"),"")</f>
        <v/>
      </c>
      <c r="D580" s="5" t="str">
        <f>IFERROR(IF(Portafolio_Proyectos!$AR193="","",Portafolio_Proyectos!$C193),"")</f>
        <v/>
      </c>
      <c r="E580" s="5" t="str">
        <f>IFERROR(IF(Portafolio_Proyectos!$AR193="","",Portafolio_Proyectos!$B193),"")</f>
        <v/>
      </c>
      <c r="F580" s="5" t="str">
        <f>IFERROR(IF(Portafolio_Proyectos!$AR193="","",Portafolio_Proyectos!$D193),"")</f>
        <v/>
      </c>
      <c r="G580" s="5" t="str">
        <f>IFERROR(IF(Portafolio_Proyectos!$AR193="","",Portafolio_Proyectos!$A193),"")</f>
        <v/>
      </c>
      <c r="H580" s="5" t="str">
        <f>IFERROR(IF(Portafolio_Proyectos!$AR193="","",Portafolio_Proyectos!$E193),"")</f>
        <v/>
      </c>
    </row>
    <row r="581" spans="1:8" x14ac:dyDescent="0.35">
      <c r="A581" s="5" t="str">
        <f>IFERROR(IF(Portafolio_Proyectos!$AP194="","","CAP-"&amp;ROW()-1),"")</f>
        <v/>
      </c>
      <c r="B581" s="5" t="str">
        <f>IFERROR(IF(Portafolio_Proyectos!$AP194="","",Portafolio_Proyectos!$AP194),"")</f>
        <v/>
      </c>
      <c r="C581" s="5" t="str">
        <f>IFERROR(IF(Portafolio_Proyectos!$AP194="","","Emergente"),"")</f>
        <v/>
      </c>
      <c r="D581" s="5" t="str">
        <f>IFERROR(IF(Portafolio_Proyectos!$AP194="","",Portafolio_Proyectos!$C194),"")</f>
        <v/>
      </c>
      <c r="E581" s="5" t="str">
        <f>IFERROR(IF(Portafolio_Proyectos!$AP194="","",Portafolio_Proyectos!$B194),"")</f>
        <v/>
      </c>
      <c r="F581" s="5" t="str">
        <f>IFERROR(IF(Portafolio_Proyectos!$AP194="","",Portafolio_Proyectos!$D194),"")</f>
        <v/>
      </c>
      <c r="G581" s="5" t="str">
        <f>IFERROR(IF(Portafolio_Proyectos!$AP194="","",Portafolio_Proyectos!$A194),"")</f>
        <v/>
      </c>
      <c r="H581" s="5" t="str">
        <f>IFERROR(IF(Portafolio_Proyectos!$AP194="","",Portafolio_Proyectos!$E194),"")</f>
        <v/>
      </c>
    </row>
    <row r="582" spans="1:8" x14ac:dyDescent="0.35">
      <c r="A582" s="5" t="str">
        <f>IFERROR(IF(Portafolio_Proyectos!$AQ194="","","CAP-"&amp;ROW()-1),"")</f>
        <v/>
      </c>
      <c r="B582" s="5" t="str">
        <f>IFERROR(IF(Portafolio_Proyectos!$AQ194="","",Portafolio_Proyectos!$AQ194),"")</f>
        <v/>
      </c>
      <c r="C582" s="5" t="str">
        <f>IFERROR(IF(Portafolio_Proyectos!$AQ194="","","Consolidada"),"")</f>
        <v/>
      </c>
      <c r="D582" s="5" t="str">
        <f>IFERROR(IF(Portafolio_Proyectos!$AQ194="","",Portafolio_Proyectos!$C194),"")</f>
        <v/>
      </c>
      <c r="E582" s="5" t="str">
        <f>IFERROR(IF(Portafolio_Proyectos!$AQ194="","",Portafolio_Proyectos!$B194),"")</f>
        <v/>
      </c>
      <c r="F582" s="5" t="str">
        <f>IFERROR(IF(Portafolio_Proyectos!$AQ194="","",Portafolio_Proyectos!$D194),"")</f>
        <v/>
      </c>
      <c r="G582" s="5" t="str">
        <f>IFERROR(IF(Portafolio_Proyectos!$AQ194="","",Portafolio_Proyectos!$A194),"")</f>
        <v/>
      </c>
      <c r="H582" s="5" t="str">
        <f>IFERROR(IF(Portafolio_Proyectos!$AQ194="","",Portafolio_Proyectos!$E194),"")</f>
        <v/>
      </c>
    </row>
    <row r="583" spans="1:8" x14ac:dyDescent="0.35">
      <c r="A583" s="5" t="str">
        <f>IFERROR(IF(Portafolio_Proyectos!$AR194="","","CAP-"&amp;ROW()-1),"")</f>
        <v/>
      </c>
      <c r="B583" s="5" t="str">
        <f>IFERROR(IF(Portafolio_Proyectos!$AR194="","",Portafolio_Proyectos!$AR194),"")</f>
        <v/>
      </c>
      <c r="C583" s="5" t="str">
        <f>IFERROR(IF(Portafolio_Proyectos!$AR194="","","Distintiva"),"")</f>
        <v/>
      </c>
      <c r="D583" s="5" t="str">
        <f>IFERROR(IF(Portafolio_Proyectos!$AR194="","",Portafolio_Proyectos!$C194),"")</f>
        <v/>
      </c>
      <c r="E583" s="5" t="str">
        <f>IFERROR(IF(Portafolio_Proyectos!$AR194="","",Portafolio_Proyectos!$B194),"")</f>
        <v/>
      </c>
      <c r="F583" s="5" t="str">
        <f>IFERROR(IF(Portafolio_Proyectos!$AR194="","",Portafolio_Proyectos!$D194),"")</f>
        <v/>
      </c>
      <c r="G583" s="5" t="str">
        <f>IFERROR(IF(Portafolio_Proyectos!$AR194="","",Portafolio_Proyectos!$A194),"")</f>
        <v/>
      </c>
      <c r="H583" s="5" t="str">
        <f>IFERROR(IF(Portafolio_Proyectos!$AR194="","",Portafolio_Proyectos!$E194),"")</f>
        <v/>
      </c>
    </row>
    <row r="584" spans="1:8" x14ac:dyDescent="0.35">
      <c r="A584" s="5" t="str">
        <f>IFERROR(IF(Portafolio_Proyectos!$AP195="","","CAP-"&amp;ROW()-1),"")</f>
        <v/>
      </c>
      <c r="B584" s="5" t="str">
        <f>IFERROR(IF(Portafolio_Proyectos!$AP195="","",Portafolio_Proyectos!$AP195),"")</f>
        <v/>
      </c>
      <c r="C584" s="5" t="str">
        <f>IFERROR(IF(Portafolio_Proyectos!$AP195="","","Emergente"),"")</f>
        <v/>
      </c>
      <c r="D584" s="5" t="str">
        <f>IFERROR(IF(Portafolio_Proyectos!$AP195="","",Portafolio_Proyectos!$C195),"")</f>
        <v/>
      </c>
      <c r="E584" s="5" t="str">
        <f>IFERROR(IF(Portafolio_Proyectos!$AP195="","",Portafolio_Proyectos!$B195),"")</f>
        <v/>
      </c>
      <c r="F584" s="5" t="str">
        <f>IFERROR(IF(Portafolio_Proyectos!$AP195="","",Portafolio_Proyectos!$D195),"")</f>
        <v/>
      </c>
      <c r="G584" s="5" t="str">
        <f>IFERROR(IF(Portafolio_Proyectos!$AP195="","",Portafolio_Proyectos!$A195),"")</f>
        <v/>
      </c>
      <c r="H584" s="5" t="str">
        <f>IFERROR(IF(Portafolio_Proyectos!$AP195="","",Portafolio_Proyectos!$E195),"")</f>
        <v/>
      </c>
    </row>
    <row r="585" spans="1:8" x14ac:dyDescent="0.35">
      <c r="A585" s="5" t="str">
        <f>IFERROR(IF(Portafolio_Proyectos!$AQ195="","","CAP-"&amp;ROW()-1),"")</f>
        <v/>
      </c>
      <c r="B585" s="5" t="str">
        <f>IFERROR(IF(Portafolio_Proyectos!$AQ195="","",Portafolio_Proyectos!$AQ195),"")</f>
        <v/>
      </c>
      <c r="C585" s="5" t="str">
        <f>IFERROR(IF(Portafolio_Proyectos!$AQ195="","","Consolidada"),"")</f>
        <v/>
      </c>
      <c r="D585" s="5" t="str">
        <f>IFERROR(IF(Portafolio_Proyectos!$AQ195="","",Portafolio_Proyectos!$C195),"")</f>
        <v/>
      </c>
      <c r="E585" s="5" t="str">
        <f>IFERROR(IF(Portafolio_Proyectos!$AQ195="","",Portafolio_Proyectos!$B195),"")</f>
        <v/>
      </c>
      <c r="F585" s="5" t="str">
        <f>IFERROR(IF(Portafolio_Proyectos!$AQ195="","",Portafolio_Proyectos!$D195),"")</f>
        <v/>
      </c>
      <c r="G585" s="5" t="str">
        <f>IFERROR(IF(Portafolio_Proyectos!$AQ195="","",Portafolio_Proyectos!$A195),"")</f>
        <v/>
      </c>
      <c r="H585" s="5" t="str">
        <f>IFERROR(IF(Portafolio_Proyectos!$AQ195="","",Portafolio_Proyectos!$E195),"")</f>
        <v/>
      </c>
    </row>
    <row r="586" spans="1:8" x14ac:dyDescent="0.35">
      <c r="A586" s="5" t="str">
        <f>IFERROR(IF(Portafolio_Proyectos!$AR195="","","CAP-"&amp;ROW()-1),"")</f>
        <v/>
      </c>
      <c r="B586" s="5" t="str">
        <f>IFERROR(IF(Portafolio_Proyectos!$AR195="","",Portafolio_Proyectos!$AR195),"")</f>
        <v/>
      </c>
      <c r="C586" s="5" t="str">
        <f>IFERROR(IF(Portafolio_Proyectos!$AR195="","","Distintiva"),"")</f>
        <v/>
      </c>
      <c r="D586" s="5" t="str">
        <f>IFERROR(IF(Portafolio_Proyectos!$AR195="","",Portafolio_Proyectos!$C195),"")</f>
        <v/>
      </c>
      <c r="E586" s="5" t="str">
        <f>IFERROR(IF(Portafolio_Proyectos!$AR195="","",Portafolio_Proyectos!$B195),"")</f>
        <v/>
      </c>
      <c r="F586" s="5" t="str">
        <f>IFERROR(IF(Portafolio_Proyectos!$AR195="","",Portafolio_Proyectos!$D195),"")</f>
        <v/>
      </c>
      <c r="G586" s="5" t="str">
        <f>IFERROR(IF(Portafolio_Proyectos!$AR195="","",Portafolio_Proyectos!$A195),"")</f>
        <v/>
      </c>
      <c r="H586" s="5" t="str">
        <f>IFERROR(IF(Portafolio_Proyectos!$AR195="","",Portafolio_Proyectos!$E195),"")</f>
        <v/>
      </c>
    </row>
    <row r="587" spans="1:8" x14ac:dyDescent="0.35">
      <c r="A587" s="5" t="str">
        <f>IFERROR(IF(Portafolio_Proyectos!$AP196="","","CAP-"&amp;ROW()-1),"")</f>
        <v/>
      </c>
      <c r="B587" s="5" t="str">
        <f>IFERROR(IF(Portafolio_Proyectos!$AP196="","",Portafolio_Proyectos!$AP196),"")</f>
        <v/>
      </c>
      <c r="C587" s="5" t="str">
        <f>IFERROR(IF(Portafolio_Proyectos!$AP196="","","Emergente"),"")</f>
        <v/>
      </c>
      <c r="D587" s="5" t="str">
        <f>IFERROR(IF(Portafolio_Proyectos!$AP196="","",Portafolio_Proyectos!$C196),"")</f>
        <v/>
      </c>
      <c r="E587" s="5" t="str">
        <f>IFERROR(IF(Portafolio_Proyectos!$AP196="","",Portafolio_Proyectos!$B196),"")</f>
        <v/>
      </c>
      <c r="F587" s="5" t="str">
        <f>IFERROR(IF(Portafolio_Proyectos!$AP196="","",Portafolio_Proyectos!$D196),"")</f>
        <v/>
      </c>
      <c r="G587" s="5" t="str">
        <f>IFERROR(IF(Portafolio_Proyectos!$AP196="","",Portafolio_Proyectos!$A196),"")</f>
        <v/>
      </c>
      <c r="H587" s="5" t="str">
        <f>IFERROR(IF(Portafolio_Proyectos!$AP196="","",Portafolio_Proyectos!$E196),"")</f>
        <v/>
      </c>
    </row>
    <row r="588" spans="1:8" x14ac:dyDescent="0.35">
      <c r="A588" s="5" t="str">
        <f>IFERROR(IF(Portafolio_Proyectos!$AQ196="","","CAP-"&amp;ROW()-1),"")</f>
        <v/>
      </c>
      <c r="B588" s="5" t="str">
        <f>IFERROR(IF(Portafolio_Proyectos!$AQ196="","",Portafolio_Proyectos!$AQ196),"")</f>
        <v/>
      </c>
      <c r="C588" s="5" t="str">
        <f>IFERROR(IF(Portafolio_Proyectos!$AQ196="","","Consolidada"),"")</f>
        <v/>
      </c>
      <c r="D588" s="5" t="str">
        <f>IFERROR(IF(Portafolio_Proyectos!$AQ196="","",Portafolio_Proyectos!$C196),"")</f>
        <v/>
      </c>
      <c r="E588" s="5" t="str">
        <f>IFERROR(IF(Portafolio_Proyectos!$AQ196="","",Portafolio_Proyectos!$B196),"")</f>
        <v/>
      </c>
      <c r="F588" s="5" t="str">
        <f>IFERROR(IF(Portafolio_Proyectos!$AQ196="","",Portafolio_Proyectos!$D196),"")</f>
        <v/>
      </c>
      <c r="G588" s="5" t="str">
        <f>IFERROR(IF(Portafolio_Proyectos!$AQ196="","",Portafolio_Proyectos!$A196),"")</f>
        <v/>
      </c>
      <c r="H588" s="5" t="str">
        <f>IFERROR(IF(Portafolio_Proyectos!$AQ196="","",Portafolio_Proyectos!$E196),"")</f>
        <v/>
      </c>
    </row>
    <row r="589" spans="1:8" x14ac:dyDescent="0.35">
      <c r="A589" s="5" t="str">
        <f>IFERROR(IF(Portafolio_Proyectos!$AR196="","","CAP-"&amp;ROW()-1),"")</f>
        <v/>
      </c>
      <c r="B589" s="5" t="str">
        <f>IFERROR(IF(Portafolio_Proyectos!$AR196="","",Portafolio_Proyectos!$AR196),"")</f>
        <v/>
      </c>
      <c r="C589" s="5" t="str">
        <f>IFERROR(IF(Portafolio_Proyectos!$AR196="","","Distintiva"),"")</f>
        <v/>
      </c>
      <c r="D589" s="5" t="str">
        <f>IFERROR(IF(Portafolio_Proyectos!$AR196="","",Portafolio_Proyectos!$C196),"")</f>
        <v/>
      </c>
      <c r="E589" s="5" t="str">
        <f>IFERROR(IF(Portafolio_Proyectos!$AR196="","",Portafolio_Proyectos!$B196),"")</f>
        <v/>
      </c>
      <c r="F589" s="5" t="str">
        <f>IFERROR(IF(Portafolio_Proyectos!$AR196="","",Portafolio_Proyectos!$D196),"")</f>
        <v/>
      </c>
      <c r="G589" s="5" t="str">
        <f>IFERROR(IF(Portafolio_Proyectos!$AR196="","",Portafolio_Proyectos!$A196),"")</f>
        <v/>
      </c>
      <c r="H589" s="5" t="str">
        <f>IFERROR(IF(Portafolio_Proyectos!$AR196="","",Portafolio_Proyectos!$E196),"")</f>
        <v/>
      </c>
    </row>
    <row r="590" spans="1:8" x14ac:dyDescent="0.35">
      <c r="A590" s="5" t="str">
        <f>IFERROR(IF(Portafolio_Proyectos!$AP197="","","CAP-"&amp;ROW()-1),"")</f>
        <v/>
      </c>
      <c r="B590" s="5" t="str">
        <f>IFERROR(IF(Portafolio_Proyectos!$AP197="","",Portafolio_Proyectos!$AP197),"")</f>
        <v/>
      </c>
      <c r="C590" s="5" t="str">
        <f>IFERROR(IF(Portafolio_Proyectos!$AP197="","","Emergente"),"")</f>
        <v/>
      </c>
      <c r="D590" s="5" t="str">
        <f>IFERROR(IF(Portafolio_Proyectos!$AP197="","",Portafolio_Proyectos!$C197),"")</f>
        <v/>
      </c>
      <c r="E590" s="5" t="str">
        <f>IFERROR(IF(Portafolio_Proyectos!$AP197="","",Portafolio_Proyectos!$B197),"")</f>
        <v/>
      </c>
      <c r="F590" s="5" t="str">
        <f>IFERROR(IF(Portafolio_Proyectos!$AP197="","",Portafolio_Proyectos!$D197),"")</f>
        <v/>
      </c>
      <c r="G590" s="5" t="str">
        <f>IFERROR(IF(Portafolio_Proyectos!$AP197="","",Portafolio_Proyectos!$A197),"")</f>
        <v/>
      </c>
      <c r="H590" s="5" t="str">
        <f>IFERROR(IF(Portafolio_Proyectos!$AP197="","",Portafolio_Proyectos!$E197),"")</f>
        <v/>
      </c>
    </row>
    <row r="591" spans="1:8" x14ac:dyDescent="0.35">
      <c r="A591" s="5" t="str">
        <f>IFERROR(IF(Portafolio_Proyectos!$AQ197="","","CAP-"&amp;ROW()-1),"")</f>
        <v/>
      </c>
      <c r="B591" s="5" t="str">
        <f>IFERROR(IF(Portafolio_Proyectos!$AQ197="","",Portafolio_Proyectos!$AQ197),"")</f>
        <v/>
      </c>
      <c r="C591" s="5" t="str">
        <f>IFERROR(IF(Portafolio_Proyectos!$AQ197="","","Consolidada"),"")</f>
        <v/>
      </c>
      <c r="D591" s="5" t="str">
        <f>IFERROR(IF(Portafolio_Proyectos!$AQ197="","",Portafolio_Proyectos!$C197),"")</f>
        <v/>
      </c>
      <c r="E591" s="5" t="str">
        <f>IFERROR(IF(Portafolio_Proyectos!$AQ197="","",Portafolio_Proyectos!$B197),"")</f>
        <v/>
      </c>
      <c r="F591" s="5" t="str">
        <f>IFERROR(IF(Portafolio_Proyectos!$AQ197="","",Portafolio_Proyectos!$D197),"")</f>
        <v/>
      </c>
      <c r="G591" s="5" t="str">
        <f>IFERROR(IF(Portafolio_Proyectos!$AQ197="","",Portafolio_Proyectos!$A197),"")</f>
        <v/>
      </c>
      <c r="H591" s="5" t="str">
        <f>IFERROR(IF(Portafolio_Proyectos!$AQ197="","",Portafolio_Proyectos!$E197),"")</f>
        <v/>
      </c>
    </row>
    <row r="592" spans="1:8" x14ac:dyDescent="0.35">
      <c r="A592" s="5" t="str">
        <f>IFERROR(IF(Portafolio_Proyectos!$AR197="","","CAP-"&amp;ROW()-1),"")</f>
        <v/>
      </c>
      <c r="B592" s="5" t="str">
        <f>IFERROR(IF(Portafolio_Proyectos!$AR197="","",Portafolio_Proyectos!$AR197),"")</f>
        <v/>
      </c>
      <c r="C592" s="5" t="str">
        <f>IFERROR(IF(Portafolio_Proyectos!$AR197="","","Distintiva"),"")</f>
        <v/>
      </c>
      <c r="D592" s="5" t="str">
        <f>IFERROR(IF(Portafolio_Proyectos!$AR197="","",Portafolio_Proyectos!$C197),"")</f>
        <v/>
      </c>
      <c r="E592" s="5" t="str">
        <f>IFERROR(IF(Portafolio_Proyectos!$AR197="","",Portafolio_Proyectos!$B197),"")</f>
        <v/>
      </c>
      <c r="F592" s="5" t="str">
        <f>IFERROR(IF(Portafolio_Proyectos!$AR197="","",Portafolio_Proyectos!$D197),"")</f>
        <v/>
      </c>
      <c r="G592" s="5" t="str">
        <f>IFERROR(IF(Portafolio_Proyectos!$AR197="","",Portafolio_Proyectos!$A197),"")</f>
        <v/>
      </c>
      <c r="H592" s="5" t="str">
        <f>IFERROR(IF(Portafolio_Proyectos!$AR197="","",Portafolio_Proyectos!$E197),"")</f>
        <v/>
      </c>
    </row>
    <row r="593" spans="1:8" x14ac:dyDescent="0.35">
      <c r="A593" s="5" t="str">
        <f>IFERROR(IF(Portafolio_Proyectos!$AP198="","","CAP-"&amp;ROW()-1),"")</f>
        <v/>
      </c>
      <c r="B593" s="5" t="str">
        <f>IFERROR(IF(Portafolio_Proyectos!$AP198="","",Portafolio_Proyectos!$AP198),"")</f>
        <v/>
      </c>
      <c r="C593" s="5" t="str">
        <f>IFERROR(IF(Portafolio_Proyectos!$AP198="","","Emergente"),"")</f>
        <v/>
      </c>
      <c r="D593" s="5" t="str">
        <f>IFERROR(IF(Portafolio_Proyectos!$AP198="","",Portafolio_Proyectos!$C198),"")</f>
        <v/>
      </c>
      <c r="E593" s="5" t="str">
        <f>IFERROR(IF(Portafolio_Proyectos!$AP198="","",Portafolio_Proyectos!$B198),"")</f>
        <v/>
      </c>
      <c r="F593" s="5" t="str">
        <f>IFERROR(IF(Portafolio_Proyectos!$AP198="","",Portafolio_Proyectos!$D198),"")</f>
        <v/>
      </c>
      <c r="G593" s="5" t="str">
        <f>IFERROR(IF(Portafolio_Proyectos!$AP198="","",Portafolio_Proyectos!$A198),"")</f>
        <v/>
      </c>
      <c r="H593" s="5" t="str">
        <f>IFERROR(IF(Portafolio_Proyectos!$AP198="","",Portafolio_Proyectos!$E198),"")</f>
        <v/>
      </c>
    </row>
    <row r="594" spans="1:8" x14ac:dyDescent="0.35">
      <c r="A594" s="5" t="str">
        <f>IFERROR(IF(Portafolio_Proyectos!$AQ198="","","CAP-"&amp;ROW()-1),"")</f>
        <v/>
      </c>
      <c r="B594" s="5" t="str">
        <f>IFERROR(IF(Portafolio_Proyectos!$AQ198="","",Portafolio_Proyectos!$AQ198),"")</f>
        <v/>
      </c>
      <c r="C594" s="5" t="str">
        <f>IFERROR(IF(Portafolio_Proyectos!$AQ198="","","Consolidada"),"")</f>
        <v/>
      </c>
      <c r="D594" s="5" t="str">
        <f>IFERROR(IF(Portafolio_Proyectos!$AQ198="","",Portafolio_Proyectos!$C198),"")</f>
        <v/>
      </c>
      <c r="E594" s="5" t="str">
        <f>IFERROR(IF(Portafolio_Proyectos!$AQ198="","",Portafolio_Proyectos!$B198),"")</f>
        <v/>
      </c>
      <c r="F594" s="5" t="str">
        <f>IFERROR(IF(Portafolio_Proyectos!$AQ198="","",Portafolio_Proyectos!$D198),"")</f>
        <v/>
      </c>
      <c r="G594" s="5" t="str">
        <f>IFERROR(IF(Portafolio_Proyectos!$AQ198="","",Portafolio_Proyectos!$A198),"")</f>
        <v/>
      </c>
      <c r="H594" s="5" t="str">
        <f>IFERROR(IF(Portafolio_Proyectos!$AQ198="","",Portafolio_Proyectos!$E198),"")</f>
        <v/>
      </c>
    </row>
    <row r="595" spans="1:8" x14ac:dyDescent="0.35">
      <c r="A595" s="5" t="str">
        <f>IFERROR(IF(Portafolio_Proyectos!$AR198="","","CAP-"&amp;ROW()-1),"")</f>
        <v/>
      </c>
      <c r="B595" s="5" t="str">
        <f>IFERROR(IF(Portafolio_Proyectos!$AR198="","",Portafolio_Proyectos!$AR198),"")</f>
        <v/>
      </c>
      <c r="C595" s="5" t="str">
        <f>IFERROR(IF(Portafolio_Proyectos!$AR198="","","Distintiva"),"")</f>
        <v/>
      </c>
      <c r="D595" s="5" t="str">
        <f>IFERROR(IF(Portafolio_Proyectos!$AR198="","",Portafolio_Proyectos!$C198),"")</f>
        <v/>
      </c>
      <c r="E595" s="5" t="str">
        <f>IFERROR(IF(Portafolio_Proyectos!$AR198="","",Portafolio_Proyectos!$B198),"")</f>
        <v/>
      </c>
      <c r="F595" s="5" t="str">
        <f>IFERROR(IF(Portafolio_Proyectos!$AR198="","",Portafolio_Proyectos!$D198),"")</f>
        <v/>
      </c>
      <c r="G595" s="5" t="str">
        <f>IFERROR(IF(Portafolio_Proyectos!$AR198="","",Portafolio_Proyectos!$A198),"")</f>
        <v/>
      </c>
      <c r="H595" s="5" t="str">
        <f>IFERROR(IF(Portafolio_Proyectos!$AR198="","",Portafolio_Proyectos!$E198),"")</f>
        <v/>
      </c>
    </row>
    <row r="596" spans="1:8" x14ac:dyDescent="0.35">
      <c r="A596" s="5" t="str">
        <f>IFERROR(IF(Portafolio_Proyectos!$AP199="","","CAP-"&amp;ROW()-1),"")</f>
        <v/>
      </c>
      <c r="B596" s="5" t="str">
        <f>IFERROR(IF(Portafolio_Proyectos!$AP199="","",Portafolio_Proyectos!$AP199),"")</f>
        <v/>
      </c>
      <c r="C596" s="5" t="str">
        <f>IFERROR(IF(Portafolio_Proyectos!$AP199="","","Emergente"),"")</f>
        <v/>
      </c>
      <c r="D596" s="5" t="str">
        <f>IFERROR(IF(Portafolio_Proyectos!$AP199="","",Portafolio_Proyectos!$C199),"")</f>
        <v/>
      </c>
      <c r="E596" s="5" t="str">
        <f>IFERROR(IF(Portafolio_Proyectos!$AP199="","",Portafolio_Proyectos!$B199),"")</f>
        <v/>
      </c>
      <c r="F596" s="5" t="str">
        <f>IFERROR(IF(Portafolio_Proyectos!$AP199="","",Portafolio_Proyectos!$D199),"")</f>
        <v/>
      </c>
      <c r="G596" s="5" t="str">
        <f>IFERROR(IF(Portafolio_Proyectos!$AP199="","",Portafolio_Proyectos!$A199),"")</f>
        <v/>
      </c>
      <c r="H596" s="5" t="str">
        <f>IFERROR(IF(Portafolio_Proyectos!$AP199="","",Portafolio_Proyectos!$E199),"")</f>
        <v/>
      </c>
    </row>
    <row r="597" spans="1:8" x14ac:dyDescent="0.35">
      <c r="A597" s="5" t="str">
        <f>IFERROR(IF(Portafolio_Proyectos!$AQ199="","","CAP-"&amp;ROW()-1),"")</f>
        <v/>
      </c>
      <c r="B597" s="5" t="str">
        <f>IFERROR(IF(Portafolio_Proyectos!$AQ199="","",Portafolio_Proyectos!$AQ199),"")</f>
        <v/>
      </c>
      <c r="C597" s="5" t="str">
        <f>IFERROR(IF(Portafolio_Proyectos!$AQ199="","","Consolidada"),"")</f>
        <v/>
      </c>
      <c r="D597" s="5" t="str">
        <f>IFERROR(IF(Portafolio_Proyectos!$AQ199="","",Portafolio_Proyectos!$C199),"")</f>
        <v/>
      </c>
      <c r="E597" s="5" t="str">
        <f>IFERROR(IF(Portafolio_Proyectos!$AQ199="","",Portafolio_Proyectos!$B199),"")</f>
        <v/>
      </c>
      <c r="F597" s="5" t="str">
        <f>IFERROR(IF(Portafolio_Proyectos!$AQ199="","",Portafolio_Proyectos!$D199),"")</f>
        <v/>
      </c>
      <c r="G597" s="5" t="str">
        <f>IFERROR(IF(Portafolio_Proyectos!$AQ199="","",Portafolio_Proyectos!$A199),"")</f>
        <v/>
      </c>
      <c r="H597" s="5" t="str">
        <f>IFERROR(IF(Portafolio_Proyectos!$AQ199="","",Portafolio_Proyectos!$E199),"")</f>
        <v/>
      </c>
    </row>
    <row r="598" spans="1:8" x14ac:dyDescent="0.35">
      <c r="A598" s="5" t="str">
        <f>IFERROR(IF(Portafolio_Proyectos!$AR199="","","CAP-"&amp;ROW()-1),"")</f>
        <v/>
      </c>
      <c r="B598" s="5" t="str">
        <f>IFERROR(IF(Portafolio_Proyectos!$AR199="","",Portafolio_Proyectos!$AR199),"")</f>
        <v/>
      </c>
      <c r="C598" s="5" t="str">
        <f>IFERROR(IF(Portafolio_Proyectos!$AR199="","","Distintiva"),"")</f>
        <v/>
      </c>
      <c r="D598" s="5" t="str">
        <f>IFERROR(IF(Portafolio_Proyectos!$AR199="","",Portafolio_Proyectos!$C199),"")</f>
        <v/>
      </c>
      <c r="E598" s="5" t="str">
        <f>IFERROR(IF(Portafolio_Proyectos!$AR199="","",Portafolio_Proyectos!$B199),"")</f>
        <v/>
      </c>
      <c r="F598" s="5" t="str">
        <f>IFERROR(IF(Portafolio_Proyectos!$AR199="","",Portafolio_Proyectos!$D199),"")</f>
        <v/>
      </c>
      <c r="G598" s="5" t="str">
        <f>IFERROR(IF(Portafolio_Proyectos!$AR199="","",Portafolio_Proyectos!$A199),"")</f>
        <v/>
      </c>
      <c r="H598" s="5" t="str">
        <f>IFERROR(IF(Portafolio_Proyectos!$AR199="","",Portafolio_Proyectos!$E199),"")</f>
        <v/>
      </c>
    </row>
    <row r="599" spans="1:8" x14ac:dyDescent="0.35">
      <c r="A599" s="5" t="str">
        <f>IFERROR(IF(Portafolio_Proyectos!$AP200="","","CAP-"&amp;ROW()-1),"")</f>
        <v/>
      </c>
      <c r="B599" s="5" t="str">
        <f>IFERROR(IF(Portafolio_Proyectos!$AP200="","",Portafolio_Proyectos!$AP200),"")</f>
        <v/>
      </c>
      <c r="C599" s="5" t="str">
        <f>IFERROR(IF(Portafolio_Proyectos!$AP200="","","Emergente"),"")</f>
        <v/>
      </c>
      <c r="D599" s="5" t="str">
        <f>IFERROR(IF(Portafolio_Proyectos!$AP200="","",Portafolio_Proyectos!$C200),"")</f>
        <v/>
      </c>
      <c r="E599" s="5" t="str">
        <f>IFERROR(IF(Portafolio_Proyectos!$AP200="","",Portafolio_Proyectos!$B200),"")</f>
        <v/>
      </c>
      <c r="F599" s="5" t="str">
        <f>IFERROR(IF(Portafolio_Proyectos!$AP200="","",Portafolio_Proyectos!$D200),"")</f>
        <v/>
      </c>
      <c r="G599" s="5" t="str">
        <f>IFERROR(IF(Portafolio_Proyectos!$AP200="","",Portafolio_Proyectos!$A200),"")</f>
        <v/>
      </c>
      <c r="H599" s="5" t="str">
        <f>IFERROR(IF(Portafolio_Proyectos!$AP200="","",Portafolio_Proyectos!$E200),"")</f>
        <v/>
      </c>
    </row>
    <row r="600" spans="1:8" x14ac:dyDescent="0.35">
      <c r="A600" s="5" t="str">
        <f>IFERROR(IF(Portafolio_Proyectos!$AQ200="","","CAP-"&amp;ROW()-1),"")</f>
        <v/>
      </c>
      <c r="B600" s="5" t="str">
        <f>IFERROR(IF(Portafolio_Proyectos!$AQ200="","",Portafolio_Proyectos!$AQ200),"")</f>
        <v/>
      </c>
      <c r="C600" s="5" t="str">
        <f>IFERROR(IF(Portafolio_Proyectos!$AQ200="","","Consolidada"),"")</f>
        <v/>
      </c>
      <c r="D600" s="5" t="str">
        <f>IFERROR(IF(Portafolio_Proyectos!$AQ200="","",Portafolio_Proyectos!$C200),"")</f>
        <v/>
      </c>
      <c r="E600" s="5" t="str">
        <f>IFERROR(IF(Portafolio_Proyectos!$AQ200="","",Portafolio_Proyectos!$B200),"")</f>
        <v/>
      </c>
      <c r="F600" s="5" t="str">
        <f>IFERROR(IF(Portafolio_Proyectos!$AQ200="","",Portafolio_Proyectos!$D200),"")</f>
        <v/>
      </c>
      <c r="G600" s="5" t="str">
        <f>IFERROR(IF(Portafolio_Proyectos!$AQ200="","",Portafolio_Proyectos!$A200),"")</f>
        <v/>
      </c>
      <c r="H600" s="5" t="str">
        <f>IFERROR(IF(Portafolio_Proyectos!$AQ200="","",Portafolio_Proyectos!$E200),"")</f>
        <v/>
      </c>
    </row>
    <row r="601" spans="1:8" x14ac:dyDescent="0.35">
      <c r="A601" s="5" t="str">
        <f>IFERROR(IF(Portafolio_Proyectos!$AR200="","","CAP-"&amp;ROW()-1),"")</f>
        <v/>
      </c>
      <c r="B601" s="5" t="str">
        <f>IFERROR(IF(Portafolio_Proyectos!$AR200="","",Portafolio_Proyectos!$AR200),"")</f>
        <v/>
      </c>
      <c r="C601" s="5" t="str">
        <f>IFERROR(IF(Portafolio_Proyectos!$AR200="","","Distintiva"),"")</f>
        <v/>
      </c>
      <c r="D601" s="5" t="str">
        <f>IFERROR(IF(Portafolio_Proyectos!$AR200="","",Portafolio_Proyectos!$C200),"")</f>
        <v/>
      </c>
      <c r="E601" s="5" t="str">
        <f>IFERROR(IF(Portafolio_Proyectos!$AR200="","",Portafolio_Proyectos!$B200),"")</f>
        <v/>
      </c>
      <c r="F601" s="5" t="str">
        <f>IFERROR(IF(Portafolio_Proyectos!$AR200="","",Portafolio_Proyectos!$D200),"")</f>
        <v/>
      </c>
      <c r="G601" s="5" t="str">
        <f>IFERROR(IF(Portafolio_Proyectos!$AR200="","",Portafolio_Proyectos!$A200),"")</f>
        <v/>
      </c>
      <c r="H601" s="5" t="str">
        <f>IFERROR(IF(Portafolio_Proyectos!$AR200="","",Portafolio_Proyectos!$E200),"")</f>
        <v/>
      </c>
    </row>
    <row r="602" spans="1:8" x14ac:dyDescent="0.35">
      <c r="A602" s="5" t="str">
        <f>IFERROR(IF(Portafolio_Proyectos!$AP201="","","CAP-"&amp;ROW()-1),"")</f>
        <v/>
      </c>
      <c r="B602" s="5" t="str">
        <f>IFERROR(IF(Portafolio_Proyectos!$AP201="","",Portafolio_Proyectos!$AP201),"")</f>
        <v/>
      </c>
      <c r="C602" s="5" t="str">
        <f>IFERROR(IF(Portafolio_Proyectos!$AP201="","","Emergente"),"")</f>
        <v/>
      </c>
      <c r="D602" s="5" t="str">
        <f>IFERROR(IF(Portafolio_Proyectos!$AP201="","",Portafolio_Proyectos!$C201),"")</f>
        <v/>
      </c>
      <c r="E602" s="5" t="str">
        <f>IFERROR(IF(Portafolio_Proyectos!$AP201="","",Portafolio_Proyectos!$B201),"")</f>
        <v/>
      </c>
      <c r="F602" s="5" t="str">
        <f>IFERROR(IF(Portafolio_Proyectos!$AP201="","",Portafolio_Proyectos!$D201),"")</f>
        <v/>
      </c>
      <c r="G602" s="5" t="str">
        <f>IFERROR(IF(Portafolio_Proyectos!$AP201="","",Portafolio_Proyectos!$A201),"")</f>
        <v/>
      </c>
      <c r="H602" s="5" t="str">
        <f>IFERROR(IF(Portafolio_Proyectos!$AP201="","",Portafolio_Proyectos!$E201),"")</f>
        <v/>
      </c>
    </row>
    <row r="603" spans="1:8" x14ac:dyDescent="0.35">
      <c r="A603" s="5" t="str">
        <f>IFERROR(IF(Portafolio_Proyectos!$AQ201="","","CAP-"&amp;ROW()-1),"")</f>
        <v/>
      </c>
      <c r="B603" s="5" t="str">
        <f>IFERROR(IF(Portafolio_Proyectos!$AQ201="","",Portafolio_Proyectos!$AQ201),"")</f>
        <v/>
      </c>
      <c r="C603" s="5" t="str">
        <f>IFERROR(IF(Portafolio_Proyectos!$AQ201="","","Consolidada"),"")</f>
        <v/>
      </c>
      <c r="D603" s="5" t="str">
        <f>IFERROR(IF(Portafolio_Proyectos!$AQ201="","",Portafolio_Proyectos!$C201),"")</f>
        <v/>
      </c>
      <c r="E603" s="5" t="str">
        <f>IFERROR(IF(Portafolio_Proyectos!$AQ201="","",Portafolio_Proyectos!$B201),"")</f>
        <v/>
      </c>
      <c r="F603" s="5" t="str">
        <f>IFERROR(IF(Portafolio_Proyectos!$AQ201="","",Portafolio_Proyectos!$D201),"")</f>
        <v/>
      </c>
      <c r="G603" s="5" t="str">
        <f>IFERROR(IF(Portafolio_Proyectos!$AQ201="","",Portafolio_Proyectos!$A201),"")</f>
        <v/>
      </c>
      <c r="H603" s="5" t="str">
        <f>IFERROR(IF(Portafolio_Proyectos!$AQ201="","",Portafolio_Proyectos!$E201),"")</f>
        <v/>
      </c>
    </row>
    <row r="604" spans="1:8" x14ac:dyDescent="0.35">
      <c r="A604" s="5" t="str">
        <f>IFERROR(IF(Portafolio_Proyectos!$AR201="","","CAP-"&amp;ROW()-1),"")</f>
        <v/>
      </c>
      <c r="B604" s="5" t="str">
        <f>IFERROR(IF(Portafolio_Proyectos!$AR201="","",Portafolio_Proyectos!$AR201),"")</f>
        <v/>
      </c>
      <c r="C604" s="5" t="str">
        <f>IFERROR(IF(Portafolio_Proyectos!$AR201="","","Distintiva"),"")</f>
        <v/>
      </c>
      <c r="D604" s="5" t="str">
        <f>IFERROR(IF(Portafolio_Proyectos!$AR201="","",Portafolio_Proyectos!$C201),"")</f>
        <v/>
      </c>
      <c r="E604" s="5" t="str">
        <f>IFERROR(IF(Portafolio_Proyectos!$AR201="","",Portafolio_Proyectos!$B201),"")</f>
        <v/>
      </c>
      <c r="F604" s="5" t="str">
        <f>IFERROR(IF(Portafolio_Proyectos!$AR201="","",Portafolio_Proyectos!$D201),"")</f>
        <v/>
      </c>
      <c r="G604" s="5" t="str">
        <f>IFERROR(IF(Portafolio_Proyectos!$AR201="","",Portafolio_Proyectos!$A201),"")</f>
        <v/>
      </c>
      <c r="H604" s="5" t="str">
        <f>IFERROR(IF(Portafolio_Proyectos!$AR201="","",Portafolio_Proyectos!$E201),"")</f>
        <v/>
      </c>
    </row>
    <row r="605" spans="1:8" x14ac:dyDescent="0.35">
      <c r="A605" s="5" t="str">
        <f>IFERROR(IF(Portafolio_Proyectos!$AP202="","","CAP-"&amp;ROW()-1),"")</f>
        <v/>
      </c>
      <c r="B605" s="5" t="str">
        <f>IFERROR(IF(Portafolio_Proyectos!$AP202="","",Portafolio_Proyectos!$AP202),"")</f>
        <v/>
      </c>
      <c r="C605" s="5" t="str">
        <f>IFERROR(IF(Portafolio_Proyectos!$AP202="","","Emergente"),"")</f>
        <v/>
      </c>
      <c r="D605" s="5" t="str">
        <f>IFERROR(IF(Portafolio_Proyectos!$AP202="","",Portafolio_Proyectos!$C202),"")</f>
        <v/>
      </c>
      <c r="E605" s="5" t="str">
        <f>IFERROR(IF(Portafolio_Proyectos!$AP202="","",Portafolio_Proyectos!$B202),"")</f>
        <v/>
      </c>
      <c r="F605" s="5" t="str">
        <f>IFERROR(IF(Portafolio_Proyectos!$AP202="","",Portafolio_Proyectos!$D202),"")</f>
        <v/>
      </c>
      <c r="G605" s="5" t="str">
        <f>IFERROR(IF(Portafolio_Proyectos!$AP202="","",Portafolio_Proyectos!$A202),"")</f>
        <v/>
      </c>
      <c r="H605" s="5" t="str">
        <f>IFERROR(IF(Portafolio_Proyectos!$AP202="","",Portafolio_Proyectos!$E202),"")</f>
        <v/>
      </c>
    </row>
    <row r="606" spans="1:8" x14ac:dyDescent="0.35">
      <c r="A606" s="5" t="str">
        <f>IFERROR(IF(Portafolio_Proyectos!$AQ202="","","CAP-"&amp;ROW()-1),"")</f>
        <v/>
      </c>
      <c r="B606" s="5" t="str">
        <f>IFERROR(IF(Portafolio_Proyectos!$AQ202="","",Portafolio_Proyectos!$AQ202),"")</f>
        <v/>
      </c>
      <c r="C606" s="5" t="str">
        <f>IFERROR(IF(Portafolio_Proyectos!$AQ202="","","Consolidada"),"")</f>
        <v/>
      </c>
      <c r="D606" s="5" t="str">
        <f>IFERROR(IF(Portafolio_Proyectos!$AQ202="","",Portafolio_Proyectos!$C202),"")</f>
        <v/>
      </c>
      <c r="E606" s="5" t="str">
        <f>IFERROR(IF(Portafolio_Proyectos!$AQ202="","",Portafolio_Proyectos!$B202),"")</f>
        <v/>
      </c>
      <c r="F606" s="5" t="str">
        <f>IFERROR(IF(Portafolio_Proyectos!$AQ202="","",Portafolio_Proyectos!$D202),"")</f>
        <v/>
      </c>
      <c r="G606" s="5" t="str">
        <f>IFERROR(IF(Portafolio_Proyectos!$AQ202="","",Portafolio_Proyectos!$A202),"")</f>
        <v/>
      </c>
      <c r="H606" s="5" t="str">
        <f>IFERROR(IF(Portafolio_Proyectos!$AQ202="","",Portafolio_Proyectos!$E202),"")</f>
        <v/>
      </c>
    </row>
    <row r="607" spans="1:8" x14ac:dyDescent="0.35">
      <c r="A607" s="5" t="str">
        <f>IFERROR(IF(Portafolio_Proyectos!$AR202="","","CAP-"&amp;ROW()-1),"")</f>
        <v/>
      </c>
      <c r="B607" s="5" t="str">
        <f>IFERROR(IF(Portafolio_Proyectos!$AR202="","",Portafolio_Proyectos!$AR202),"")</f>
        <v/>
      </c>
      <c r="C607" s="5" t="str">
        <f>IFERROR(IF(Portafolio_Proyectos!$AR202="","","Distintiva"),"")</f>
        <v/>
      </c>
      <c r="D607" s="5" t="str">
        <f>IFERROR(IF(Portafolio_Proyectos!$AR202="","",Portafolio_Proyectos!$C202),"")</f>
        <v/>
      </c>
      <c r="E607" s="5" t="str">
        <f>IFERROR(IF(Portafolio_Proyectos!$AR202="","",Portafolio_Proyectos!$B202),"")</f>
        <v/>
      </c>
      <c r="F607" s="5" t="str">
        <f>IFERROR(IF(Portafolio_Proyectos!$AR202="","",Portafolio_Proyectos!$D202),"")</f>
        <v/>
      </c>
      <c r="G607" s="5" t="str">
        <f>IFERROR(IF(Portafolio_Proyectos!$AR202="","",Portafolio_Proyectos!$A202),"")</f>
        <v/>
      </c>
      <c r="H607" s="5" t="str">
        <f>IFERROR(IF(Portafolio_Proyectos!$AR202="","",Portafolio_Proyectos!$E202),"")</f>
        <v/>
      </c>
    </row>
    <row r="608" spans="1:8" x14ac:dyDescent="0.35">
      <c r="A608" s="5" t="str">
        <f>IFERROR(IF(Portafolio_Proyectos!$AP203="","","CAP-"&amp;ROW()-1),"")</f>
        <v/>
      </c>
      <c r="B608" s="5" t="str">
        <f>IFERROR(IF(Portafolio_Proyectos!$AP203="","",Portafolio_Proyectos!$AP203),"")</f>
        <v/>
      </c>
      <c r="C608" s="5" t="str">
        <f>IFERROR(IF(Portafolio_Proyectos!$AP203="","","Emergente"),"")</f>
        <v/>
      </c>
      <c r="D608" s="5" t="str">
        <f>IFERROR(IF(Portafolio_Proyectos!$AP203="","",Portafolio_Proyectos!$C203),"")</f>
        <v/>
      </c>
      <c r="E608" s="5" t="str">
        <f>IFERROR(IF(Portafolio_Proyectos!$AP203="","",Portafolio_Proyectos!$B203),"")</f>
        <v/>
      </c>
      <c r="F608" s="5" t="str">
        <f>IFERROR(IF(Portafolio_Proyectos!$AP203="","",Portafolio_Proyectos!$D203),"")</f>
        <v/>
      </c>
      <c r="G608" s="5" t="str">
        <f>IFERROR(IF(Portafolio_Proyectos!$AP203="","",Portafolio_Proyectos!$A203),"")</f>
        <v/>
      </c>
      <c r="H608" s="5" t="str">
        <f>IFERROR(IF(Portafolio_Proyectos!$AP203="","",Portafolio_Proyectos!$E203),"")</f>
        <v/>
      </c>
    </row>
    <row r="609" spans="1:8" x14ac:dyDescent="0.35">
      <c r="A609" s="5" t="str">
        <f>IFERROR(IF(Portafolio_Proyectos!$AQ203="","","CAP-"&amp;ROW()-1),"")</f>
        <v/>
      </c>
      <c r="B609" s="5" t="str">
        <f>IFERROR(IF(Portafolio_Proyectos!$AQ203="","",Portafolio_Proyectos!$AQ203),"")</f>
        <v/>
      </c>
      <c r="C609" s="5" t="str">
        <f>IFERROR(IF(Portafolio_Proyectos!$AQ203="","","Consolidada"),"")</f>
        <v/>
      </c>
      <c r="D609" s="5" t="str">
        <f>IFERROR(IF(Portafolio_Proyectos!$AQ203="","",Portafolio_Proyectos!$C203),"")</f>
        <v/>
      </c>
      <c r="E609" s="5" t="str">
        <f>IFERROR(IF(Portafolio_Proyectos!$AQ203="","",Portafolio_Proyectos!$B203),"")</f>
        <v/>
      </c>
      <c r="F609" s="5" t="str">
        <f>IFERROR(IF(Portafolio_Proyectos!$AQ203="","",Portafolio_Proyectos!$D203),"")</f>
        <v/>
      </c>
      <c r="G609" s="5" t="str">
        <f>IFERROR(IF(Portafolio_Proyectos!$AQ203="","",Portafolio_Proyectos!$A203),"")</f>
        <v/>
      </c>
      <c r="H609" s="5" t="str">
        <f>IFERROR(IF(Portafolio_Proyectos!$AQ203="","",Portafolio_Proyectos!$E203),"")</f>
        <v/>
      </c>
    </row>
    <row r="610" spans="1:8" x14ac:dyDescent="0.35">
      <c r="A610" s="5" t="str">
        <f>IFERROR(IF(Portafolio_Proyectos!$AR203="","","CAP-"&amp;ROW()-1),"")</f>
        <v/>
      </c>
      <c r="B610" s="5" t="str">
        <f>IFERROR(IF(Portafolio_Proyectos!$AR203="","",Portafolio_Proyectos!$AR203),"")</f>
        <v/>
      </c>
      <c r="C610" s="5" t="str">
        <f>IFERROR(IF(Portafolio_Proyectos!$AR203="","","Distintiva"),"")</f>
        <v/>
      </c>
      <c r="D610" s="5" t="str">
        <f>IFERROR(IF(Portafolio_Proyectos!$AR203="","",Portafolio_Proyectos!$C203),"")</f>
        <v/>
      </c>
      <c r="E610" s="5" t="str">
        <f>IFERROR(IF(Portafolio_Proyectos!$AR203="","",Portafolio_Proyectos!$B203),"")</f>
        <v/>
      </c>
      <c r="F610" s="5" t="str">
        <f>IFERROR(IF(Portafolio_Proyectos!$AR203="","",Portafolio_Proyectos!$D203),"")</f>
        <v/>
      </c>
      <c r="G610" s="5" t="str">
        <f>IFERROR(IF(Portafolio_Proyectos!$AR203="","",Portafolio_Proyectos!$A203),"")</f>
        <v/>
      </c>
      <c r="H610" s="5" t="str">
        <f>IFERROR(IF(Portafolio_Proyectos!$AR203="","",Portafolio_Proyectos!$E203),"")</f>
        <v/>
      </c>
    </row>
    <row r="611" spans="1:8" x14ac:dyDescent="0.35">
      <c r="A611" s="5" t="str">
        <f>IFERROR(IF(Portafolio_Proyectos!$AP204="","","CAP-"&amp;ROW()-1),"")</f>
        <v/>
      </c>
      <c r="B611" s="5" t="str">
        <f>IFERROR(IF(Portafolio_Proyectos!$AP204="","",Portafolio_Proyectos!$AP204),"")</f>
        <v/>
      </c>
      <c r="C611" s="5" t="str">
        <f>IFERROR(IF(Portafolio_Proyectos!$AP204="","","Emergente"),"")</f>
        <v/>
      </c>
      <c r="D611" s="5" t="str">
        <f>IFERROR(IF(Portafolio_Proyectos!$AP204="","",Portafolio_Proyectos!$C204),"")</f>
        <v/>
      </c>
      <c r="E611" s="5" t="str">
        <f>IFERROR(IF(Portafolio_Proyectos!$AP204="","",Portafolio_Proyectos!$B204),"")</f>
        <v/>
      </c>
      <c r="F611" s="5" t="str">
        <f>IFERROR(IF(Portafolio_Proyectos!$AP204="","",Portafolio_Proyectos!$D204),"")</f>
        <v/>
      </c>
      <c r="G611" s="5" t="str">
        <f>IFERROR(IF(Portafolio_Proyectos!$AP204="","",Portafolio_Proyectos!$A204),"")</f>
        <v/>
      </c>
      <c r="H611" s="5" t="str">
        <f>IFERROR(IF(Portafolio_Proyectos!$AP204="","",Portafolio_Proyectos!$E204),"")</f>
        <v/>
      </c>
    </row>
    <row r="612" spans="1:8" x14ac:dyDescent="0.35">
      <c r="A612" s="5" t="str">
        <f>IFERROR(IF(Portafolio_Proyectos!$AQ204="","","CAP-"&amp;ROW()-1),"")</f>
        <v/>
      </c>
      <c r="B612" s="5" t="str">
        <f>IFERROR(IF(Portafolio_Proyectos!$AQ204="","",Portafolio_Proyectos!$AQ204),"")</f>
        <v/>
      </c>
      <c r="C612" s="5" t="str">
        <f>IFERROR(IF(Portafolio_Proyectos!$AQ204="","","Consolidada"),"")</f>
        <v/>
      </c>
      <c r="D612" s="5" t="str">
        <f>IFERROR(IF(Portafolio_Proyectos!$AQ204="","",Portafolio_Proyectos!$C204),"")</f>
        <v/>
      </c>
      <c r="E612" s="5" t="str">
        <f>IFERROR(IF(Portafolio_Proyectos!$AQ204="","",Portafolio_Proyectos!$B204),"")</f>
        <v/>
      </c>
      <c r="F612" s="5" t="str">
        <f>IFERROR(IF(Portafolio_Proyectos!$AQ204="","",Portafolio_Proyectos!$D204),"")</f>
        <v/>
      </c>
      <c r="G612" s="5" t="str">
        <f>IFERROR(IF(Portafolio_Proyectos!$AQ204="","",Portafolio_Proyectos!$A204),"")</f>
        <v/>
      </c>
      <c r="H612" s="5" t="str">
        <f>IFERROR(IF(Portafolio_Proyectos!$AQ204="","",Portafolio_Proyectos!$E204),"")</f>
        <v/>
      </c>
    </row>
    <row r="613" spans="1:8" x14ac:dyDescent="0.35">
      <c r="A613" s="5" t="str">
        <f>IFERROR(IF(Portafolio_Proyectos!$AR204="","","CAP-"&amp;ROW()-1),"")</f>
        <v/>
      </c>
      <c r="B613" s="5" t="str">
        <f>IFERROR(IF(Portafolio_Proyectos!$AR204="","",Portafolio_Proyectos!$AR204),"")</f>
        <v/>
      </c>
      <c r="C613" s="5" t="str">
        <f>IFERROR(IF(Portafolio_Proyectos!$AR204="","","Distintiva"),"")</f>
        <v/>
      </c>
      <c r="D613" s="5" t="str">
        <f>IFERROR(IF(Portafolio_Proyectos!$AR204="","",Portafolio_Proyectos!$C204),"")</f>
        <v/>
      </c>
      <c r="E613" s="5" t="str">
        <f>IFERROR(IF(Portafolio_Proyectos!$AR204="","",Portafolio_Proyectos!$B204),"")</f>
        <v/>
      </c>
      <c r="F613" s="5" t="str">
        <f>IFERROR(IF(Portafolio_Proyectos!$AR204="","",Portafolio_Proyectos!$D204),"")</f>
        <v/>
      </c>
      <c r="G613" s="5" t="str">
        <f>IFERROR(IF(Portafolio_Proyectos!$AR204="","",Portafolio_Proyectos!$A204),"")</f>
        <v/>
      </c>
      <c r="H613" s="5" t="str">
        <f>IFERROR(IF(Portafolio_Proyectos!$AR204="","",Portafolio_Proyectos!$E204),"")</f>
        <v/>
      </c>
    </row>
    <row r="614" spans="1:8" x14ac:dyDescent="0.35">
      <c r="A614" s="5" t="str">
        <f>IFERROR(IF(Portafolio_Proyectos!$AP205="","","CAP-"&amp;ROW()-1),"")</f>
        <v/>
      </c>
      <c r="B614" s="5" t="str">
        <f>IFERROR(IF(Portafolio_Proyectos!$AP205="","",Portafolio_Proyectos!$AP205),"")</f>
        <v/>
      </c>
      <c r="C614" s="5" t="str">
        <f>IFERROR(IF(Portafolio_Proyectos!$AP205="","","Emergente"),"")</f>
        <v/>
      </c>
      <c r="D614" s="5" t="str">
        <f>IFERROR(IF(Portafolio_Proyectos!$AP205="","",Portafolio_Proyectos!$C205),"")</f>
        <v/>
      </c>
      <c r="E614" s="5" t="str">
        <f>IFERROR(IF(Portafolio_Proyectos!$AP205="","",Portafolio_Proyectos!$B205),"")</f>
        <v/>
      </c>
      <c r="F614" s="5" t="str">
        <f>IFERROR(IF(Portafolio_Proyectos!$AP205="","",Portafolio_Proyectos!$D205),"")</f>
        <v/>
      </c>
      <c r="G614" s="5" t="str">
        <f>IFERROR(IF(Portafolio_Proyectos!$AP205="","",Portafolio_Proyectos!$A205),"")</f>
        <v/>
      </c>
      <c r="H614" s="5" t="str">
        <f>IFERROR(IF(Portafolio_Proyectos!$AP205="","",Portafolio_Proyectos!$E205),"")</f>
        <v/>
      </c>
    </row>
    <row r="615" spans="1:8" x14ac:dyDescent="0.35">
      <c r="A615" s="5" t="str">
        <f>IFERROR(IF(Portafolio_Proyectos!$AQ205="","","CAP-"&amp;ROW()-1),"")</f>
        <v/>
      </c>
      <c r="B615" s="5" t="str">
        <f>IFERROR(IF(Portafolio_Proyectos!$AQ205="","",Portafolio_Proyectos!$AQ205),"")</f>
        <v/>
      </c>
      <c r="C615" s="5" t="str">
        <f>IFERROR(IF(Portafolio_Proyectos!$AQ205="","","Consolidada"),"")</f>
        <v/>
      </c>
      <c r="D615" s="5" t="str">
        <f>IFERROR(IF(Portafolio_Proyectos!$AQ205="","",Portafolio_Proyectos!$C205),"")</f>
        <v/>
      </c>
      <c r="E615" s="5" t="str">
        <f>IFERROR(IF(Portafolio_Proyectos!$AQ205="","",Portafolio_Proyectos!$B205),"")</f>
        <v/>
      </c>
      <c r="F615" s="5" t="str">
        <f>IFERROR(IF(Portafolio_Proyectos!$AQ205="","",Portafolio_Proyectos!$D205),"")</f>
        <v/>
      </c>
      <c r="G615" s="5" t="str">
        <f>IFERROR(IF(Portafolio_Proyectos!$AQ205="","",Portafolio_Proyectos!$A205),"")</f>
        <v/>
      </c>
      <c r="H615" s="5" t="str">
        <f>IFERROR(IF(Portafolio_Proyectos!$AQ205="","",Portafolio_Proyectos!$E205),"")</f>
        <v/>
      </c>
    </row>
    <row r="616" spans="1:8" x14ac:dyDescent="0.35">
      <c r="A616" s="5" t="str">
        <f>IFERROR(IF(Portafolio_Proyectos!$AR205="","","CAP-"&amp;ROW()-1),"")</f>
        <v/>
      </c>
      <c r="B616" s="5" t="str">
        <f>IFERROR(IF(Portafolio_Proyectos!$AR205="","",Portafolio_Proyectos!$AR205),"")</f>
        <v/>
      </c>
      <c r="C616" s="5" t="str">
        <f>IFERROR(IF(Portafolio_Proyectos!$AR205="","","Distintiva"),"")</f>
        <v/>
      </c>
      <c r="D616" s="5" t="str">
        <f>IFERROR(IF(Portafolio_Proyectos!$AR205="","",Portafolio_Proyectos!$C205),"")</f>
        <v/>
      </c>
      <c r="E616" s="5" t="str">
        <f>IFERROR(IF(Portafolio_Proyectos!$AR205="","",Portafolio_Proyectos!$B205),"")</f>
        <v/>
      </c>
      <c r="F616" s="5" t="str">
        <f>IFERROR(IF(Portafolio_Proyectos!$AR205="","",Portafolio_Proyectos!$D205),"")</f>
        <v/>
      </c>
      <c r="G616" s="5" t="str">
        <f>IFERROR(IF(Portafolio_Proyectos!$AR205="","",Portafolio_Proyectos!$A205),"")</f>
        <v/>
      </c>
      <c r="H616" s="5" t="str">
        <f>IFERROR(IF(Portafolio_Proyectos!$AR205="","",Portafolio_Proyectos!$E205),"")</f>
        <v/>
      </c>
    </row>
    <row r="617" spans="1:8" x14ac:dyDescent="0.35">
      <c r="A617" s="5" t="str">
        <f>IFERROR(IF(Portafolio_Proyectos!$AP206="","","CAP-"&amp;ROW()-1),"")</f>
        <v/>
      </c>
      <c r="B617" s="5" t="str">
        <f>IFERROR(IF(Portafolio_Proyectos!$AP206="","",Portafolio_Proyectos!$AP206),"")</f>
        <v/>
      </c>
      <c r="C617" s="5" t="str">
        <f>IFERROR(IF(Portafolio_Proyectos!$AP206="","","Emergente"),"")</f>
        <v/>
      </c>
      <c r="D617" s="5" t="str">
        <f>IFERROR(IF(Portafolio_Proyectos!$AP206="","",Portafolio_Proyectos!$C206),"")</f>
        <v/>
      </c>
      <c r="E617" s="5" t="str">
        <f>IFERROR(IF(Portafolio_Proyectos!$AP206="","",Portafolio_Proyectos!$B206),"")</f>
        <v/>
      </c>
      <c r="F617" s="5" t="str">
        <f>IFERROR(IF(Portafolio_Proyectos!$AP206="","",Portafolio_Proyectos!$D206),"")</f>
        <v/>
      </c>
      <c r="G617" s="5" t="str">
        <f>IFERROR(IF(Portafolio_Proyectos!$AP206="","",Portafolio_Proyectos!$A206),"")</f>
        <v/>
      </c>
      <c r="H617" s="5" t="str">
        <f>IFERROR(IF(Portafolio_Proyectos!$AP206="","",Portafolio_Proyectos!$E206),"")</f>
        <v/>
      </c>
    </row>
    <row r="618" spans="1:8" x14ac:dyDescent="0.35">
      <c r="A618" s="5" t="str">
        <f>IFERROR(IF(Portafolio_Proyectos!$AQ206="","","CAP-"&amp;ROW()-1),"")</f>
        <v/>
      </c>
      <c r="B618" s="5" t="str">
        <f>IFERROR(IF(Portafolio_Proyectos!$AQ206="","",Portafolio_Proyectos!$AQ206),"")</f>
        <v/>
      </c>
      <c r="C618" s="5" t="str">
        <f>IFERROR(IF(Portafolio_Proyectos!$AQ206="","","Consolidada"),"")</f>
        <v/>
      </c>
      <c r="D618" s="5" t="str">
        <f>IFERROR(IF(Portafolio_Proyectos!$AQ206="","",Portafolio_Proyectos!$C206),"")</f>
        <v/>
      </c>
      <c r="E618" s="5" t="str">
        <f>IFERROR(IF(Portafolio_Proyectos!$AQ206="","",Portafolio_Proyectos!$B206),"")</f>
        <v/>
      </c>
      <c r="F618" s="5" t="str">
        <f>IFERROR(IF(Portafolio_Proyectos!$AQ206="","",Portafolio_Proyectos!$D206),"")</f>
        <v/>
      </c>
      <c r="G618" s="5" t="str">
        <f>IFERROR(IF(Portafolio_Proyectos!$AQ206="","",Portafolio_Proyectos!$A206),"")</f>
        <v/>
      </c>
      <c r="H618" s="5" t="str">
        <f>IFERROR(IF(Portafolio_Proyectos!$AQ206="","",Portafolio_Proyectos!$E206),"")</f>
        <v/>
      </c>
    </row>
    <row r="619" spans="1:8" x14ac:dyDescent="0.35">
      <c r="A619" s="5" t="str">
        <f>IFERROR(IF(Portafolio_Proyectos!$AR206="","","CAP-"&amp;ROW()-1),"")</f>
        <v/>
      </c>
      <c r="B619" s="5" t="str">
        <f>IFERROR(IF(Portafolio_Proyectos!$AR206="","",Portafolio_Proyectos!$AR206),"")</f>
        <v/>
      </c>
      <c r="C619" s="5" t="str">
        <f>IFERROR(IF(Portafolio_Proyectos!$AR206="","","Distintiva"),"")</f>
        <v/>
      </c>
      <c r="D619" s="5" t="str">
        <f>IFERROR(IF(Portafolio_Proyectos!$AR206="","",Portafolio_Proyectos!$C206),"")</f>
        <v/>
      </c>
      <c r="E619" s="5" t="str">
        <f>IFERROR(IF(Portafolio_Proyectos!$AR206="","",Portafolio_Proyectos!$B206),"")</f>
        <v/>
      </c>
      <c r="F619" s="5" t="str">
        <f>IFERROR(IF(Portafolio_Proyectos!$AR206="","",Portafolio_Proyectos!$D206),"")</f>
        <v/>
      </c>
      <c r="G619" s="5" t="str">
        <f>IFERROR(IF(Portafolio_Proyectos!$AR206="","",Portafolio_Proyectos!$A206),"")</f>
        <v/>
      </c>
      <c r="H619" s="5" t="str">
        <f>IFERROR(IF(Portafolio_Proyectos!$AR206="","",Portafolio_Proyectos!$E206),"")</f>
        <v/>
      </c>
    </row>
    <row r="620" spans="1:8" x14ac:dyDescent="0.35">
      <c r="A620" s="5" t="str">
        <f>IFERROR(IF(Portafolio_Proyectos!$AP207="","","CAP-"&amp;ROW()-1),"")</f>
        <v/>
      </c>
      <c r="B620" s="5" t="str">
        <f>IFERROR(IF(Portafolio_Proyectos!$AP207="","",Portafolio_Proyectos!$AP207),"")</f>
        <v/>
      </c>
      <c r="C620" s="5" t="str">
        <f>IFERROR(IF(Portafolio_Proyectos!$AP207="","","Emergente"),"")</f>
        <v/>
      </c>
      <c r="D620" s="5" t="str">
        <f>IFERROR(IF(Portafolio_Proyectos!$AP207="","",Portafolio_Proyectos!$C207),"")</f>
        <v/>
      </c>
      <c r="E620" s="5" t="str">
        <f>IFERROR(IF(Portafolio_Proyectos!$AP207="","",Portafolio_Proyectos!$B207),"")</f>
        <v/>
      </c>
      <c r="F620" s="5" t="str">
        <f>IFERROR(IF(Portafolio_Proyectos!$AP207="","",Portafolio_Proyectos!$D207),"")</f>
        <v/>
      </c>
      <c r="G620" s="5" t="str">
        <f>IFERROR(IF(Portafolio_Proyectos!$AP207="","",Portafolio_Proyectos!$A207),"")</f>
        <v/>
      </c>
      <c r="H620" s="5" t="str">
        <f>IFERROR(IF(Portafolio_Proyectos!$AP207="","",Portafolio_Proyectos!$E207),"")</f>
        <v/>
      </c>
    </row>
    <row r="621" spans="1:8" x14ac:dyDescent="0.35">
      <c r="A621" s="5" t="str">
        <f>IFERROR(IF(Portafolio_Proyectos!$AQ207="","","CAP-"&amp;ROW()-1),"")</f>
        <v/>
      </c>
      <c r="B621" s="5" t="str">
        <f>IFERROR(IF(Portafolio_Proyectos!$AQ207="","",Portafolio_Proyectos!$AQ207),"")</f>
        <v/>
      </c>
      <c r="C621" s="5" t="str">
        <f>IFERROR(IF(Portafolio_Proyectos!$AQ207="","","Consolidada"),"")</f>
        <v/>
      </c>
      <c r="D621" s="5" t="str">
        <f>IFERROR(IF(Portafolio_Proyectos!$AQ207="","",Portafolio_Proyectos!$C207),"")</f>
        <v/>
      </c>
      <c r="E621" s="5" t="str">
        <f>IFERROR(IF(Portafolio_Proyectos!$AQ207="","",Portafolio_Proyectos!$B207),"")</f>
        <v/>
      </c>
      <c r="F621" s="5" t="str">
        <f>IFERROR(IF(Portafolio_Proyectos!$AQ207="","",Portafolio_Proyectos!$D207),"")</f>
        <v/>
      </c>
      <c r="G621" s="5" t="str">
        <f>IFERROR(IF(Portafolio_Proyectos!$AQ207="","",Portafolio_Proyectos!$A207),"")</f>
        <v/>
      </c>
      <c r="H621" s="5" t="str">
        <f>IFERROR(IF(Portafolio_Proyectos!$AQ207="","",Portafolio_Proyectos!$E207),"")</f>
        <v/>
      </c>
    </row>
    <row r="622" spans="1:8" x14ac:dyDescent="0.35">
      <c r="A622" s="5" t="str">
        <f>IFERROR(IF(Portafolio_Proyectos!$AR207="","","CAP-"&amp;ROW()-1),"")</f>
        <v/>
      </c>
      <c r="B622" s="5" t="str">
        <f>IFERROR(IF(Portafolio_Proyectos!$AR207="","",Portafolio_Proyectos!$AR207),"")</f>
        <v/>
      </c>
      <c r="C622" s="5" t="str">
        <f>IFERROR(IF(Portafolio_Proyectos!$AR207="","","Distintiva"),"")</f>
        <v/>
      </c>
      <c r="D622" s="5" t="str">
        <f>IFERROR(IF(Portafolio_Proyectos!$AR207="","",Portafolio_Proyectos!$C207),"")</f>
        <v/>
      </c>
      <c r="E622" s="5" t="str">
        <f>IFERROR(IF(Portafolio_Proyectos!$AR207="","",Portafolio_Proyectos!$B207),"")</f>
        <v/>
      </c>
      <c r="F622" s="5" t="str">
        <f>IFERROR(IF(Portafolio_Proyectos!$AR207="","",Portafolio_Proyectos!$D207),"")</f>
        <v/>
      </c>
      <c r="G622" s="5" t="str">
        <f>IFERROR(IF(Portafolio_Proyectos!$AR207="","",Portafolio_Proyectos!$A207),"")</f>
        <v/>
      </c>
      <c r="H622" s="5" t="str">
        <f>IFERROR(IF(Portafolio_Proyectos!$AR207="","",Portafolio_Proyectos!$E207),"")</f>
        <v/>
      </c>
    </row>
    <row r="623" spans="1:8" x14ac:dyDescent="0.35">
      <c r="A623" s="5" t="str">
        <f>IFERROR(IF(Portafolio_Proyectos!$AP208="","","CAP-"&amp;ROW()-1),"")</f>
        <v/>
      </c>
      <c r="B623" s="5" t="str">
        <f>IFERROR(IF(Portafolio_Proyectos!$AP208="","",Portafolio_Proyectos!$AP208),"")</f>
        <v/>
      </c>
      <c r="C623" s="5" t="str">
        <f>IFERROR(IF(Portafolio_Proyectos!$AP208="","","Emergente"),"")</f>
        <v/>
      </c>
      <c r="D623" s="5" t="str">
        <f>IFERROR(IF(Portafolio_Proyectos!$AP208="","",Portafolio_Proyectos!$C208),"")</f>
        <v/>
      </c>
      <c r="E623" s="5" t="str">
        <f>IFERROR(IF(Portafolio_Proyectos!$AP208="","",Portafolio_Proyectos!$B208),"")</f>
        <v/>
      </c>
      <c r="F623" s="5" t="str">
        <f>IFERROR(IF(Portafolio_Proyectos!$AP208="","",Portafolio_Proyectos!$D208),"")</f>
        <v/>
      </c>
      <c r="G623" s="5" t="str">
        <f>IFERROR(IF(Portafolio_Proyectos!$AP208="","",Portafolio_Proyectos!$A208),"")</f>
        <v/>
      </c>
      <c r="H623" s="5" t="str">
        <f>IFERROR(IF(Portafolio_Proyectos!$AP208="","",Portafolio_Proyectos!$E208),"")</f>
        <v/>
      </c>
    </row>
    <row r="624" spans="1:8" x14ac:dyDescent="0.35">
      <c r="A624" s="5" t="str">
        <f>IFERROR(IF(Portafolio_Proyectos!$AQ208="","","CAP-"&amp;ROW()-1),"")</f>
        <v/>
      </c>
      <c r="B624" s="5" t="str">
        <f>IFERROR(IF(Portafolio_Proyectos!$AQ208="","",Portafolio_Proyectos!$AQ208),"")</f>
        <v/>
      </c>
      <c r="C624" s="5" t="str">
        <f>IFERROR(IF(Portafolio_Proyectos!$AQ208="","","Consolidada"),"")</f>
        <v/>
      </c>
      <c r="D624" s="5" t="str">
        <f>IFERROR(IF(Portafolio_Proyectos!$AQ208="","",Portafolio_Proyectos!$C208),"")</f>
        <v/>
      </c>
      <c r="E624" s="5" t="str">
        <f>IFERROR(IF(Portafolio_Proyectos!$AQ208="","",Portafolio_Proyectos!$B208),"")</f>
        <v/>
      </c>
      <c r="F624" s="5" t="str">
        <f>IFERROR(IF(Portafolio_Proyectos!$AQ208="","",Portafolio_Proyectos!$D208),"")</f>
        <v/>
      </c>
      <c r="G624" s="5" t="str">
        <f>IFERROR(IF(Portafolio_Proyectos!$AQ208="","",Portafolio_Proyectos!$A208),"")</f>
        <v/>
      </c>
      <c r="H624" s="5" t="str">
        <f>IFERROR(IF(Portafolio_Proyectos!$AQ208="","",Portafolio_Proyectos!$E208),"")</f>
        <v/>
      </c>
    </row>
    <row r="625" spans="1:8" x14ac:dyDescent="0.35">
      <c r="A625" s="5" t="str">
        <f>IFERROR(IF(Portafolio_Proyectos!$AR208="","","CAP-"&amp;ROW()-1),"")</f>
        <v/>
      </c>
      <c r="B625" s="5" t="str">
        <f>IFERROR(IF(Portafolio_Proyectos!$AR208="","",Portafolio_Proyectos!$AR208),"")</f>
        <v/>
      </c>
      <c r="C625" s="5" t="str">
        <f>IFERROR(IF(Portafolio_Proyectos!$AR208="","","Distintiva"),"")</f>
        <v/>
      </c>
      <c r="D625" s="5" t="str">
        <f>IFERROR(IF(Portafolio_Proyectos!$AR208="","",Portafolio_Proyectos!$C208),"")</f>
        <v/>
      </c>
      <c r="E625" s="5" t="str">
        <f>IFERROR(IF(Portafolio_Proyectos!$AR208="","",Portafolio_Proyectos!$B208),"")</f>
        <v/>
      </c>
      <c r="F625" s="5" t="str">
        <f>IFERROR(IF(Portafolio_Proyectos!$AR208="","",Portafolio_Proyectos!$D208),"")</f>
        <v/>
      </c>
      <c r="G625" s="5" t="str">
        <f>IFERROR(IF(Portafolio_Proyectos!$AR208="","",Portafolio_Proyectos!$A208),"")</f>
        <v/>
      </c>
      <c r="H625" s="5" t="str">
        <f>IFERROR(IF(Portafolio_Proyectos!$AR208="","",Portafolio_Proyectos!$E208),"")</f>
        <v/>
      </c>
    </row>
    <row r="626" spans="1:8" x14ac:dyDescent="0.35">
      <c r="A626" s="5" t="str">
        <f>IFERROR(IF(Portafolio_Proyectos!$AP209="","","CAP-"&amp;ROW()-1),"")</f>
        <v/>
      </c>
      <c r="B626" s="5" t="str">
        <f>IFERROR(IF(Portafolio_Proyectos!$AP209="","",Portafolio_Proyectos!$AP209),"")</f>
        <v/>
      </c>
      <c r="C626" s="5" t="str">
        <f>IFERROR(IF(Portafolio_Proyectos!$AP209="","","Emergente"),"")</f>
        <v/>
      </c>
      <c r="D626" s="5" t="str">
        <f>IFERROR(IF(Portafolio_Proyectos!$AP209="","",Portafolio_Proyectos!$C209),"")</f>
        <v/>
      </c>
      <c r="E626" s="5" t="str">
        <f>IFERROR(IF(Portafolio_Proyectos!$AP209="","",Portafolio_Proyectos!$B209),"")</f>
        <v/>
      </c>
      <c r="F626" s="5" t="str">
        <f>IFERROR(IF(Portafolio_Proyectos!$AP209="","",Portafolio_Proyectos!$D209),"")</f>
        <v/>
      </c>
      <c r="G626" s="5" t="str">
        <f>IFERROR(IF(Portafolio_Proyectos!$AP209="","",Portafolio_Proyectos!$A209),"")</f>
        <v/>
      </c>
      <c r="H626" s="5" t="str">
        <f>IFERROR(IF(Portafolio_Proyectos!$AP209="","",Portafolio_Proyectos!$E209),"")</f>
        <v/>
      </c>
    </row>
    <row r="627" spans="1:8" x14ac:dyDescent="0.35">
      <c r="A627" s="5" t="str">
        <f>IFERROR(IF(Portafolio_Proyectos!$AQ209="","","CAP-"&amp;ROW()-1),"")</f>
        <v/>
      </c>
      <c r="B627" s="5" t="str">
        <f>IFERROR(IF(Portafolio_Proyectos!$AQ209="","",Portafolio_Proyectos!$AQ209),"")</f>
        <v/>
      </c>
      <c r="C627" s="5" t="str">
        <f>IFERROR(IF(Portafolio_Proyectos!$AQ209="","","Consolidada"),"")</f>
        <v/>
      </c>
      <c r="D627" s="5" t="str">
        <f>IFERROR(IF(Portafolio_Proyectos!$AQ209="","",Portafolio_Proyectos!$C209),"")</f>
        <v/>
      </c>
      <c r="E627" s="5" t="str">
        <f>IFERROR(IF(Portafolio_Proyectos!$AQ209="","",Portafolio_Proyectos!$B209),"")</f>
        <v/>
      </c>
      <c r="F627" s="5" t="str">
        <f>IFERROR(IF(Portafolio_Proyectos!$AQ209="","",Portafolio_Proyectos!$D209),"")</f>
        <v/>
      </c>
      <c r="G627" s="5" t="str">
        <f>IFERROR(IF(Portafolio_Proyectos!$AQ209="","",Portafolio_Proyectos!$A209),"")</f>
        <v/>
      </c>
      <c r="H627" s="5" t="str">
        <f>IFERROR(IF(Portafolio_Proyectos!$AQ209="","",Portafolio_Proyectos!$E209),"")</f>
        <v/>
      </c>
    </row>
    <row r="628" spans="1:8" x14ac:dyDescent="0.35">
      <c r="A628" s="5" t="str">
        <f>IFERROR(IF(Portafolio_Proyectos!$AR209="","","CAP-"&amp;ROW()-1),"")</f>
        <v/>
      </c>
      <c r="B628" s="5" t="str">
        <f>IFERROR(IF(Portafolio_Proyectos!$AR209="","",Portafolio_Proyectos!$AR209),"")</f>
        <v/>
      </c>
      <c r="C628" s="5" t="str">
        <f>IFERROR(IF(Portafolio_Proyectos!$AR209="","","Distintiva"),"")</f>
        <v/>
      </c>
      <c r="D628" s="5" t="str">
        <f>IFERROR(IF(Portafolio_Proyectos!$AR209="","",Portafolio_Proyectos!$C209),"")</f>
        <v/>
      </c>
      <c r="E628" s="5" t="str">
        <f>IFERROR(IF(Portafolio_Proyectos!$AR209="","",Portafolio_Proyectos!$B209),"")</f>
        <v/>
      </c>
      <c r="F628" s="5" t="str">
        <f>IFERROR(IF(Portafolio_Proyectos!$AR209="","",Portafolio_Proyectos!$D209),"")</f>
        <v/>
      </c>
      <c r="G628" s="5" t="str">
        <f>IFERROR(IF(Portafolio_Proyectos!$AR209="","",Portafolio_Proyectos!$A209),"")</f>
        <v/>
      </c>
      <c r="H628" s="5" t="str">
        <f>IFERROR(IF(Portafolio_Proyectos!$AR209="","",Portafolio_Proyectos!$E209),"")</f>
        <v/>
      </c>
    </row>
    <row r="629" spans="1:8" x14ac:dyDescent="0.35">
      <c r="A629" s="5" t="str">
        <f>IFERROR(IF(Portafolio_Proyectos!$AP210="","","CAP-"&amp;ROW()-1),"")</f>
        <v/>
      </c>
      <c r="B629" s="5" t="str">
        <f>IFERROR(IF(Portafolio_Proyectos!$AP210="","",Portafolio_Proyectos!$AP210),"")</f>
        <v/>
      </c>
      <c r="C629" s="5" t="str">
        <f>IFERROR(IF(Portafolio_Proyectos!$AP210="","","Emergente"),"")</f>
        <v/>
      </c>
      <c r="D629" s="5" t="str">
        <f>IFERROR(IF(Portafolio_Proyectos!$AP210="","",Portafolio_Proyectos!$C210),"")</f>
        <v/>
      </c>
      <c r="E629" s="5" t="str">
        <f>IFERROR(IF(Portafolio_Proyectos!$AP210="","",Portafolio_Proyectos!$B210),"")</f>
        <v/>
      </c>
      <c r="F629" s="5" t="str">
        <f>IFERROR(IF(Portafolio_Proyectos!$AP210="","",Portafolio_Proyectos!$D210),"")</f>
        <v/>
      </c>
      <c r="G629" s="5" t="str">
        <f>IFERROR(IF(Portafolio_Proyectos!$AP210="","",Portafolio_Proyectos!$A210),"")</f>
        <v/>
      </c>
      <c r="H629" s="5" t="str">
        <f>IFERROR(IF(Portafolio_Proyectos!$AP210="","",Portafolio_Proyectos!$E210),"")</f>
        <v/>
      </c>
    </row>
    <row r="630" spans="1:8" x14ac:dyDescent="0.35">
      <c r="A630" s="5" t="str">
        <f>IFERROR(IF(Portafolio_Proyectos!$AQ210="","","CAP-"&amp;ROW()-1),"")</f>
        <v/>
      </c>
      <c r="B630" s="5" t="str">
        <f>IFERROR(IF(Portafolio_Proyectos!$AQ210="","",Portafolio_Proyectos!$AQ210),"")</f>
        <v/>
      </c>
      <c r="C630" s="5" t="str">
        <f>IFERROR(IF(Portafolio_Proyectos!$AQ210="","","Consolidada"),"")</f>
        <v/>
      </c>
      <c r="D630" s="5" t="str">
        <f>IFERROR(IF(Portafolio_Proyectos!$AQ210="","",Portafolio_Proyectos!$C210),"")</f>
        <v/>
      </c>
      <c r="E630" s="5" t="str">
        <f>IFERROR(IF(Portafolio_Proyectos!$AQ210="","",Portafolio_Proyectos!$B210),"")</f>
        <v/>
      </c>
      <c r="F630" s="5" t="str">
        <f>IFERROR(IF(Portafolio_Proyectos!$AQ210="","",Portafolio_Proyectos!$D210),"")</f>
        <v/>
      </c>
      <c r="G630" s="5" t="str">
        <f>IFERROR(IF(Portafolio_Proyectos!$AQ210="","",Portafolio_Proyectos!$A210),"")</f>
        <v/>
      </c>
      <c r="H630" s="5" t="str">
        <f>IFERROR(IF(Portafolio_Proyectos!$AQ210="","",Portafolio_Proyectos!$E210),"")</f>
        <v/>
      </c>
    </row>
    <row r="631" spans="1:8" x14ac:dyDescent="0.35">
      <c r="A631" s="5" t="str">
        <f>IFERROR(IF(Portafolio_Proyectos!$AR210="","","CAP-"&amp;ROW()-1),"")</f>
        <v/>
      </c>
      <c r="B631" s="5" t="str">
        <f>IFERROR(IF(Portafolio_Proyectos!$AR210="","",Portafolio_Proyectos!$AR210),"")</f>
        <v/>
      </c>
      <c r="C631" s="5" t="str">
        <f>IFERROR(IF(Portafolio_Proyectos!$AR210="","","Distintiva"),"")</f>
        <v/>
      </c>
      <c r="D631" s="5" t="str">
        <f>IFERROR(IF(Portafolio_Proyectos!$AR210="","",Portafolio_Proyectos!$C210),"")</f>
        <v/>
      </c>
      <c r="E631" s="5" t="str">
        <f>IFERROR(IF(Portafolio_Proyectos!$AR210="","",Portafolio_Proyectos!$B210),"")</f>
        <v/>
      </c>
      <c r="F631" s="5" t="str">
        <f>IFERROR(IF(Portafolio_Proyectos!$AR210="","",Portafolio_Proyectos!$D210),"")</f>
        <v/>
      </c>
      <c r="G631" s="5" t="str">
        <f>IFERROR(IF(Portafolio_Proyectos!$AR210="","",Portafolio_Proyectos!$A210),"")</f>
        <v/>
      </c>
      <c r="H631" s="5" t="str">
        <f>IFERROR(IF(Portafolio_Proyectos!$AR210="","",Portafolio_Proyectos!$E210),"")</f>
        <v/>
      </c>
    </row>
    <row r="632" spans="1:8" x14ac:dyDescent="0.35">
      <c r="A632" s="5" t="str">
        <f>IFERROR(IF(Portafolio_Proyectos!$AP211="","","CAP-"&amp;ROW()-1),"")</f>
        <v/>
      </c>
      <c r="B632" s="5" t="str">
        <f>IFERROR(IF(Portafolio_Proyectos!$AP211="","",Portafolio_Proyectos!$AP211),"")</f>
        <v/>
      </c>
      <c r="C632" s="5" t="str">
        <f>IFERROR(IF(Portafolio_Proyectos!$AP211="","","Emergente"),"")</f>
        <v/>
      </c>
      <c r="D632" s="5" t="str">
        <f>IFERROR(IF(Portafolio_Proyectos!$AP211="","",Portafolio_Proyectos!$C211),"")</f>
        <v/>
      </c>
      <c r="E632" s="5" t="str">
        <f>IFERROR(IF(Portafolio_Proyectos!$AP211="","",Portafolio_Proyectos!$B211),"")</f>
        <v/>
      </c>
      <c r="F632" s="5" t="str">
        <f>IFERROR(IF(Portafolio_Proyectos!$AP211="","",Portafolio_Proyectos!$D211),"")</f>
        <v/>
      </c>
      <c r="G632" s="5" t="str">
        <f>IFERROR(IF(Portafolio_Proyectos!$AP211="","",Portafolio_Proyectos!$A211),"")</f>
        <v/>
      </c>
      <c r="H632" s="5" t="str">
        <f>IFERROR(IF(Portafolio_Proyectos!$AP211="","",Portafolio_Proyectos!$E211),"")</f>
        <v/>
      </c>
    </row>
    <row r="633" spans="1:8" x14ac:dyDescent="0.35">
      <c r="A633" s="5" t="str">
        <f>IFERROR(IF(Portafolio_Proyectos!$AQ211="","","CAP-"&amp;ROW()-1),"")</f>
        <v/>
      </c>
      <c r="B633" s="5" t="str">
        <f>IFERROR(IF(Portafolio_Proyectos!$AQ211="","",Portafolio_Proyectos!$AQ211),"")</f>
        <v/>
      </c>
      <c r="C633" s="5" t="str">
        <f>IFERROR(IF(Portafolio_Proyectos!$AQ211="","","Consolidada"),"")</f>
        <v/>
      </c>
      <c r="D633" s="5" t="str">
        <f>IFERROR(IF(Portafolio_Proyectos!$AQ211="","",Portafolio_Proyectos!$C211),"")</f>
        <v/>
      </c>
      <c r="E633" s="5" t="str">
        <f>IFERROR(IF(Portafolio_Proyectos!$AQ211="","",Portafolio_Proyectos!$B211),"")</f>
        <v/>
      </c>
      <c r="F633" s="5" t="str">
        <f>IFERROR(IF(Portafolio_Proyectos!$AQ211="","",Portafolio_Proyectos!$D211),"")</f>
        <v/>
      </c>
      <c r="G633" s="5" t="str">
        <f>IFERROR(IF(Portafolio_Proyectos!$AQ211="","",Portafolio_Proyectos!$A211),"")</f>
        <v/>
      </c>
      <c r="H633" s="5" t="str">
        <f>IFERROR(IF(Portafolio_Proyectos!$AQ211="","",Portafolio_Proyectos!$E211),"")</f>
        <v/>
      </c>
    </row>
    <row r="634" spans="1:8" x14ac:dyDescent="0.35">
      <c r="A634" s="5" t="str">
        <f>IFERROR(IF(Portafolio_Proyectos!$AR211="","","CAP-"&amp;ROW()-1),"")</f>
        <v/>
      </c>
      <c r="B634" s="5" t="str">
        <f>IFERROR(IF(Portafolio_Proyectos!$AR211="","",Portafolio_Proyectos!$AR211),"")</f>
        <v/>
      </c>
      <c r="C634" s="5" t="str">
        <f>IFERROR(IF(Portafolio_Proyectos!$AR211="","","Distintiva"),"")</f>
        <v/>
      </c>
      <c r="D634" s="5" t="str">
        <f>IFERROR(IF(Portafolio_Proyectos!$AR211="","",Portafolio_Proyectos!$C211),"")</f>
        <v/>
      </c>
      <c r="E634" s="5" t="str">
        <f>IFERROR(IF(Portafolio_Proyectos!$AR211="","",Portafolio_Proyectos!$B211),"")</f>
        <v/>
      </c>
      <c r="F634" s="5" t="str">
        <f>IFERROR(IF(Portafolio_Proyectos!$AR211="","",Portafolio_Proyectos!$D211),"")</f>
        <v/>
      </c>
      <c r="G634" s="5" t="str">
        <f>IFERROR(IF(Portafolio_Proyectos!$AR211="","",Portafolio_Proyectos!$A211),"")</f>
        <v/>
      </c>
      <c r="H634" s="5" t="str">
        <f>IFERROR(IF(Portafolio_Proyectos!$AR211="","",Portafolio_Proyectos!$E211),"")</f>
        <v/>
      </c>
    </row>
    <row r="635" spans="1:8" x14ac:dyDescent="0.35">
      <c r="A635" s="5" t="str">
        <f>IFERROR(IF(Portafolio_Proyectos!$AP212="","","CAP-"&amp;ROW()-1),"")</f>
        <v/>
      </c>
      <c r="B635" s="5" t="str">
        <f>IFERROR(IF(Portafolio_Proyectos!$AP212="","",Portafolio_Proyectos!$AP212),"")</f>
        <v/>
      </c>
      <c r="C635" s="5" t="str">
        <f>IFERROR(IF(Portafolio_Proyectos!$AP212="","","Emergente"),"")</f>
        <v/>
      </c>
      <c r="D635" s="5" t="str">
        <f>IFERROR(IF(Portafolio_Proyectos!$AP212="","",Portafolio_Proyectos!$C212),"")</f>
        <v/>
      </c>
      <c r="E635" s="5" t="str">
        <f>IFERROR(IF(Portafolio_Proyectos!$AP212="","",Portafolio_Proyectos!$B212),"")</f>
        <v/>
      </c>
      <c r="F635" s="5" t="str">
        <f>IFERROR(IF(Portafolio_Proyectos!$AP212="","",Portafolio_Proyectos!$D212),"")</f>
        <v/>
      </c>
      <c r="G635" s="5" t="str">
        <f>IFERROR(IF(Portafolio_Proyectos!$AP212="","",Portafolio_Proyectos!$A212),"")</f>
        <v/>
      </c>
      <c r="H635" s="5" t="str">
        <f>IFERROR(IF(Portafolio_Proyectos!$AP212="","",Portafolio_Proyectos!$E212),"")</f>
        <v/>
      </c>
    </row>
    <row r="636" spans="1:8" x14ac:dyDescent="0.35">
      <c r="A636" s="5" t="str">
        <f>IFERROR(IF(Portafolio_Proyectos!$AQ212="","","CAP-"&amp;ROW()-1),"")</f>
        <v/>
      </c>
      <c r="B636" s="5" t="str">
        <f>IFERROR(IF(Portafolio_Proyectos!$AQ212="","",Portafolio_Proyectos!$AQ212),"")</f>
        <v/>
      </c>
      <c r="C636" s="5" t="str">
        <f>IFERROR(IF(Portafolio_Proyectos!$AQ212="","","Consolidada"),"")</f>
        <v/>
      </c>
      <c r="D636" s="5" t="str">
        <f>IFERROR(IF(Portafolio_Proyectos!$AQ212="","",Portafolio_Proyectos!$C212),"")</f>
        <v/>
      </c>
      <c r="E636" s="5" t="str">
        <f>IFERROR(IF(Portafolio_Proyectos!$AQ212="","",Portafolio_Proyectos!$B212),"")</f>
        <v/>
      </c>
      <c r="F636" s="5" t="str">
        <f>IFERROR(IF(Portafolio_Proyectos!$AQ212="","",Portafolio_Proyectos!$D212),"")</f>
        <v/>
      </c>
      <c r="G636" s="5" t="str">
        <f>IFERROR(IF(Portafolio_Proyectos!$AQ212="","",Portafolio_Proyectos!$A212),"")</f>
        <v/>
      </c>
      <c r="H636" s="5" t="str">
        <f>IFERROR(IF(Portafolio_Proyectos!$AQ212="","",Portafolio_Proyectos!$E212),"")</f>
        <v/>
      </c>
    </row>
    <row r="637" spans="1:8" x14ac:dyDescent="0.35">
      <c r="A637" s="5" t="str">
        <f>IFERROR(IF(Portafolio_Proyectos!$AR212="","","CAP-"&amp;ROW()-1),"")</f>
        <v/>
      </c>
      <c r="B637" s="5" t="str">
        <f>IFERROR(IF(Portafolio_Proyectos!$AR212="","",Portafolio_Proyectos!$AR212),"")</f>
        <v/>
      </c>
      <c r="C637" s="5" t="str">
        <f>IFERROR(IF(Portafolio_Proyectos!$AR212="","","Distintiva"),"")</f>
        <v/>
      </c>
      <c r="D637" s="5" t="str">
        <f>IFERROR(IF(Portafolio_Proyectos!$AR212="","",Portafolio_Proyectos!$C212),"")</f>
        <v/>
      </c>
      <c r="E637" s="5" t="str">
        <f>IFERROR(IF(Portafolio_Proyectos!$AR212="","",Portafolio_Proyectos!$B212),"")</f>
        <v/>
      </c>
      <c r="F637" s="5" t="str">
        <f>IFERROR(IF(Portafolio_Proyectos!$AR212="","",Portafolio_Proyectos!$D212),"")</f>
        <v/>
      </c>
      <c r="G637" s="5" t="str">
        <f>IFERROR(IF(Portafolio_Proyectos!$AR212="","",Portafolio_Proyectos!$A212),"")</f>
        <v/>
      </c>
      <c r="H637" s="5" t="str">
        <f>IFERROR(IF(Portafolio_Proyectos!$AR212="","",Portafolio_Proyectos!$E212),"")</f>
        <v/>
      </c>
    </row>
    <row r="638" spans="1:8" x14ac:dyDescent="0.35">
      <c r="A638" s="5" t="str">
        <f>IFERROR(IF(Portafolio_Proyectos!$AP213="","","CAP-"&amp;ROW()-1),"")</f>
        <v/>
      </c>
      <c r="B638" s="5" t="str">
        <f>IFERROR(IF(Portafolio_Proyectos!$AP213="","",Portafolio_Proyectos!$AP213),"")</f>
        <v/>
      </c>
      <c r="C638" s="5" t="str">
        <f>IFERROR(IF(Portafolio_Proyectos!$AP213="","","Emergente"),"")</f>
        <v/>
      </c>
      <c r="D638" s="5" t="str">
        <f>IFERROR(IF(Portafolio_Proyectos!$AP213="","",Portafolio_Proyectos!$C213),"")</f>
        <v/>
      </c>
      <c r="E638" s="5" t="str">
        <f>IFERROR(IF(Portafolio_Proyectos!$AP213="","",Portafolio_Proyectos!$B213),"")</f>
        <v/>
      </c>
      <c r="F638" s="5" t="str">
        <f>IFERROR(IF(Portafolio_Proyectos!$AP213="","",Portafolio_Proyectos!$D213),"")</f>
        <v/>
      </c>
      <c r="G638" s="5" t="str">
        <f>IFERROR(IF(Portafolio_Proyectos!$AP213="","",Portafolio_Proyectos!$A213),"")</f>
        <v/>
      </c>
      <c r="H638" s="5" t="str">
        <f>IFERROR(IF(Portafolio_Proyectos!$AP213="","",Portafolio_Proyectos!$E213),"")</f>
        <v/>
      </c>
    </row>
    <row r="639" spans="1:8" x14ac:dyDescent="0.35">
      <c r="A639" s="5" t="str">
        <f>IFERROR(IF(Portafolio_Proyectos!$AQ213="","","CAP-"&amp;ROW()-1),"")</f>
        <v/>
      </c>
      <c r="B639" s="5" t="str">
        <f>IFERROR(IF(Portafolio_Proyectos!$AQ213="","",Portafolio_Proyectos!$AQ213),"")</f>
        <v/>
      </c>
      <c r="C639" s="5" t="str">
        <f>IFERROR(IF(Portafolio_Proyectos!$AQ213="","","Consolidada"),"")</f>
        <v/>
      </c>
      <c r="D639" s="5" t="str">
        <f>IFERROR(IF(Portafolio_Proyectos!$AQ213="","",Portafolio_Proyectos!$C213),"")</f>
        <v/>
      </c>
      <c r="E639" s="5" t="str">
        <f>IFERROR(IF(Portafolio_Proyectos!$AQ213="","",Portafolio_Proyectos!$B213),"")</f>
        <v/>
      </c>
      <c r="F639" s="5" t="str">
        <f>IFERROR(IF(Portafolio_Proyectos!$AQ213="","",Portafolio_Proyectos!$D213),"")</f>
        <v/>
      </c>
      <c r="G639" s="5" t="str">
        <f>IFERROR(IF(Portafolio_Proyectos!$AQ213="","",Portafolio_Proyectos!$A213),"")</f>
        <v/>
      </c>
      <c r="H639" s="5" t="str">
        <f>IFERROR(IF(Portafolio_Proyectos!$AQ213="","",Portafolio_Proyectos!$E213),"")</f>
        <v/>
      </c>
    </row>
    <row r="640" spans="1:8" x14ac:dyDescent="0.35">
      <c r="A640" s="5" t="str">
        <f>IFERROR(IF(Portafolio_Proyectos!$AR213="","","CAP-"&amp;ROW()-1),"")</f>
        <v/>
      </c>
      <c r="B640" s="5" t="str">
        <f>IFERROR(IF(Portafolio_Proyectos!$AR213="","",Portafolio_Proyectos!$AR213),"")</f>
        <v/>
      </c>
      <c r="C640" s="5" t="str">
        <f>IFERROR(IF(Portafolio_Proyectos!$AR213="","","Distintiva"),"")</f>
        <v/>
      </c>
      <c r="D640" s="5" t="str">
        <f>IFERROR(IF(Portafolio_Proyectos!$AR213="","",Portafolio_Proyectos!$C213),"")</f>
        <v/>
      </c>
      <c r="E640" s="5" t="str">
        <f>IFERROR(IF(Portafolio_Proyectos!$AR213="","",Portafolio_Proyectos!$B213),"")</f>
        <v/>
      </c>
      <c r="F640" s="5" t="str">
        <f>IFERROR(IF(Portafolio_Proyectos!$AR213="","",Portafolio_Proyectos!$D213),"")</f>
        <v/>
      </c>
      <c r="G640" s="5" t="str">
        <f>IFERROR(IF(Portafolio_Proyectos!$AR213="","",Portafolio_Proyectos!$A213),"")</f>
        <v/>
      </c>
      <c r="H640" s="5" t="str">
        <f>IFERROR(IF(Portafolio_Proyectos!$AR213="","",Portafolio_Proyectos!$E213),"")</f>
        <v/>
      </c>
    </row>
    <row r="641" spans="1:8" x14ac:dyDescent="0.35">
      <c r="A641" s="5" t="str">
        <f>IFERROR(IF(Portafolio_Proyectos!$AP214="","","CAP-"&amp;ROW()-1),"")</f>
        <v/>
      </c>
      <c r="B641" s="5" t="str">
        <f>IFERROR(IF(Portafolio_Proyectos!$AP214="","",Portafolio_Proyectos!$AP214),"")</f>
        <v/>
      </c>
      <c r="C641" s="5" t="str">
        <f>IFERROR(IF(Portafolio_Proyectos!$AP214="","","Emergente"),"")</f>
        <v/>
      </c>
      <c r="D641" s="5" t="str">
        <f>IFERROR(IF(Portafolio_Proyectos!$AP214="","",Portafolio_Proyectos!$C214),"")</f>
        <v/>
      </c>
      <c r="E641" s="5" t="str">
        <f>IFERROR(IF(Portafolio_Proyectos!$AP214="","",Portafolio_Proyectos!$B214),"")</f>
        <v/>
      </c>
      <c r="F641" s="5" t="str">
        <f>IFERROR(IF(Portafolio_Proyectos!$AP214="","",Portafolio_Proyectos!$D214),"")</f>
        <v/>
      </c>
      <c r="G641" s="5" t="str">
        <f>IFERROR(IF(Portafolio_Proyectos!$AP214="","",Portafolio_Proyectos!$A214),"")</f>
        <v/>
      </c>
      <c r="H641" s="5" t="str">
        <f>IFERROR(IF(Portafolio_Proyectos!$AP214="","",Portafolio_Proyectos!$E214),"")</f>
        <v/>
      </c>
    </row>
    <row r="642" spans="1:8" x14ac:dyDescent="0.35">
      <c r="A642" s="5" t="str">
        <f>IFERROR(IF(Portafolio_Proyectos!$AQ214="","","CAP-"&amp;ROW()-1),"")</f>
        <v/>
      </c>
      <c r="B642" s="5" t="str">
        <f>IFERROR(IF(Portafolio_Proyectos!$AQ214="","",Portafolio_Proyectos!$AQ214),"")</f>
        <v/>
      </c>
      <c r="C642" s="5" t="str">
        <f>IFERROR(IF(Portafolio_Proyectos!$AQ214="","","Consolidada"),"")</f>
        <v/>
      </c>
      <c r="D642" s="5" t="str">
        <f>IFERROR(IF(Portafolio_Proyectos!$AQ214="","",Portafolio_Proyectos!$C214),"")</f>
        <v/>
      </c>
      <c r="E642" s="5" t="str">
        <f>IFERROR(IF(Portafolio_Proyectos!$AQ214="","",Portafolio_Proyectos!$B214),"")</f>
        <v/>
      </c>
      <c r="F642" s="5" t="str">
        <f>IFERROR(IF(Portafolio_Proyectos!$AQ214="","",Portafolio_Proyectos!$D214),"")</f>
        <v/>
      </c>
      <c r="G642" s="5" t="str">
        <f>IFERROR(IF(Portafolio_Proyectos!$AQ214="","",Portafolio_Proyectos!$A214),"")</f>
        <v/>
      </c>
      <c r="H642" s="5" t="str">
        <f>IFERROR(IF(Portafolio_Proyectos!$AQ214="","",Portafolio_Proyectos!$E214),"")</f>
        <v/>
      </c>
    </row>
    <row r="643" spans="1:8" x14ac:dyDescent="0.35">
      <c r="A643" s="5" t="str">
        <f>IFERROR(IF(Portafolio_Proyectos!$AR214="","","CAP-"&amp;ROW()-1),"")</f>
        <v/>
      </c>
      <c r="B643" s="5" t="str">
        <f>IFERROR(IF(Portafolio_Proyectos!$AR214="","",Portafolio_Proyectos!$AR214),"")</f>
        <v/>
      </c>
      <c r="C643" s="5" t="str">
        <f>IFERROR(IF(Portafolio_Proyectos!$AR214="","","Distintiva"),"")</f>
        <v/>
      </c>
      <c r="D643" s="5" t="str">
        <f>IFERROR(IF(Portafolio_Proyectos!$AR214="","",Portafolio_Proyectos!$C214),"")</f>
        <v/>
      </c>
      <c r="E643" s="5" t="str">
        <f>IFERROR(IF(Portafolio_Proyectos!$AR214="","",Portafolio_Proyectos!$B214),"")</f>
        <v/>
      </c>
      <c r="F643" s="5" t="str">
        <f>IFERROR(IF(Portafolio_Proyectos!$AR214="","",Portafolio_Proyectos!$D214),"")</f>
        <v/>
      </c>
      <c r="G643" s="5" t="str">
        <f>IFERROR(IF(Portafolio_Proyectos!$AR214="","",Portafolio_Proyectos!$A214),"")</f>
        <v/>
      </c>
      <c r="H643" s="5" t="str">
        <f>IFERROR(IF(Portafolio_Proyectos!$AR214="","",Portafolio_Proyectos!$E214),"")</f>
        <v/>
      </c>
    </row>
    <row r="644" spans="1:8" x14ac:dyDescent="0.35">
      <c r="A644" s="5" t="str">
        <f>IFERROR(IF(Portafolio_Proyectos!$AP215="","","CAP-"&amp;ROW()-1),"")</f>
        <v/>
      </c>
      <c r="B644" s="5" t="str">
        <f>IFERROR(IF(Portafolio_Proyectos!$AP215="","",Portafolio_Proyectos!$AP215),"")</f>
        <v/>
      </c>
      <c r="C644" s="5" t="str">
        <f>IFERROR(IF(Portafolio_Proyectos!$AP215="","","Emergente"),"")</f>
        <v/>
      </c>
      <c r="D644" s="5" t="str">
        <f>IFERROR(IF(Portafolio_Proyectos!$AP215="","",Portafolio_Proyectos!$C215),"")</f>
        <v/>
      </c>
      <c r="E644" s="5" t="str">
        <f>IFERROR(IF(Portafolio_Proyectos!$AP215="","",Portafolio_Proyectos!$B215),"")</f>
        <v/>
      </c>
      <c r="F644" s="5" t="str">
        <f>IFERROR(IF(Portafolio_Proyectos!$AP215="","",Portafolio_Proyectos!$D215),"")</f>
        <v/>
      </c>
      <c r="G644" s="5" t="str">
        <f>IFERROR(IF(Portafolio_Proyectos!$AP215="","",Portafolio_Proyectos!$A215),"")</f>
        <v/>
      </c>
      <c r="H644" s="5" t="str">
        <f>IFERROR(IF(Portafolio_Proyectos!$AP215="","",Portafolio_Proyectos!$E215),"")</f>
        <v/>
      </c>
    </row>
    <row r="645" spans="1:8" x14ac:dyDescent="0.35">
      <c r="A645" s="5" t="str">
        <f>IFERROR(IF(Portafolio_Proyectos!$AQ215="","","CAP-"&amp;ROW()-1),"")</f>
        <v/>
      </c>
      <c r="B645" s="5" t="str">
        <f>IFERROR(IF(Portafolio_Proyectos!$AQ215="","",Portafolio_Proyectos!$AQ215),"")</f>
        <v/>
      </c>
      <c r="C645" s="5" t="str">
        <f>IFERROR(IF(Portafolio_Proyectos!$AQ215="","","Consolidada"),"")</f>
        <v/>
      </c>
      <c r="D645" s="5" t="str">
        <f>IFERROR(IF(Portafolio_Proyectos!$AQ215="","",Portafolio_Proyectos!$C215),"")</f>
        <v/>
      </c>
      <c r="E645" s="5" t="str">
        <f>IFERROR(IF(Portafolio_Proyectos!$AQ215="","",Portafolio_Proyectos!$B215),"")</f>
        <v/>
      </c>
      <c r="F645" s="5" t="str">
        <f>IFERROR(IF(Portafolio_Proyectos!$AQ215="","",Portafolio_Proyectos!$D215),"")</f>
        <v/>
      </c>
      <c r="G645" s="5" t="str">
        <f>IFERROR(IF(Portafolio_Proyectos!$AQ215="","",Portafolio_Proyectos!$A215),"")</f>
        <v/>
      </c>
      <c r="H645" s="5" t="str">
        <f>IFERROR(IF(Portafolio_Proyectos!$AQ215="","",Portafolio_Proyectos!$E215),"")</f>
        <v/>
      </c>
    </row>
    <row r="646" spans="1:8" x14ac:dyDescent="0.35">
      <c r="A646" s="5" t="str">
        <f>IFERROR(IF(Portafolio_Proyectos!$AR215="","","CAP-"&amp;ROW()-1),"")</f>
        <v/>
      </c>
      <c r="B646" s="5" t="str">
        <f>IFERROR(IF(Portafolio_Proyectos!$AR215="","",Portafolio_Proyectos!$AR215),"")</f>
        <v/>
      </c>
      <c r="C646" s="5" t="str">
        <f>IFERROR(IF(Portafolio_Proyectos!$AR215="","","Distintiva"),"")</f>
        <v/>
      </c>
      <c r="D646" s="5" t="str">
        <f>IFERROR(IF(Portafolio_Proyectos!$AR215="","",Portafolio_Proyectos!$C215),"")</f>
        <v/>
      </c>
      <c r="E646" s="5" t="str">
        <f>IFERROR(IF(Portafolio_Proyectos!$AR215="","",Portafolio_Proyectos!$B215),"")</f>
        <v/>
      </c>
      <c r="F646" s="5" t="str">
        <f>IFERROR(IF(Portafolio_Proyectos!$AR215="","",Portafolio_Proyectos!$D215),"")</f>
        <v/>
      </c>
      <c r="G646" s="5" t="str">
        <f>IFERROR(IF(Portafolio_Proyectos!$AR215="","",Portafolio_Proyectos!$A215),"")</f>
        <v/>
      </c>
      <c r="H646" s="5" t="str">
        <f>IFERROR(IF(Portafolio_Proyectos!$AR215="","",Portafolio_Proyectos!$E215),"")</f>
        <v/>
      </c>
    </row>
    <row r="647" spans="1:8" x14ac:dyDescent="0.35">
      <c r="A647" s="5" t="str">
        <f>IFERROR(IF(Portafolio_Proyectos!$AP216="","","CAP-"&amp;ROW()-1),"")</f>
        <v/>
      </c>
      <c r="B647" s="5" t="str">
        <f>IFERROR(IF(Portafolio_Proyectos!$AP216="","",Portafolio_Proyectos!$AP216),"")</f>
        <v/>
      </c>
      <c r="C647" s="5" t="str">
        <f>IFERROR(IF(Portafolio_Proyectos!$AP216="","","Emergente"),"")</f>
        <v/>
      </c>
      <c r="D647" s="5" t="str">
        <f>IFERROR(IF(Portafolio_Proyectos!$AP216="","",Portafolio_Proyectos!$C216),"")</f>
        <v/>
      </c>
      <c r="E647" s="5" t="str">
        <f>IFERROR(IF(Portafolio_Proyectos!$AP216="","",Portafolio_Proyectos!$B216),"")</f>
        <v/>
      </c>
      <c r="F647" s="5" t="str">
        <f>IFERROR(IF(Portafolio_Proyectos!$AP216="","",Portafolio_Proyectos!$D216),"")</f>
        <v/>
      </c>
      <c r="G647" s="5" t="str">
        <f>IFERROR(IF(Portafolio_Proyectos!$AP216="","",Portafolio_Proyectos!$A216),"")</f>
        <v/>
      </c>
      <c r="H647" s="5" t="str">
        <f>IFERROR(IF(Portafolio_Proyectos!$AP216="","",Portafolio_Proyectos!$E216),"")</f>
        <v/>
      </c>
    </row>
    <row r="648" spans="1:8" x14ac:dyDescent="0.35">
      <c r="A648" s="5" t="str">
        <f>IFERROR(IF(Portafolio_Proyectos!$AQ216="","","CAP-"&amp;ROW()-1),"")</f>
        <v/>
      </c>
      <c r="B648" s="5" t="str">
        <f>IFERROR(IF(Portafolio_Proyectos!$AQ216="","",Portafolio_Proyectos!$AQ216),"")</f>
        <v/>
      </c>
      <c r="C648" s="5" t="str">
        <f>IFERROR(IF(Portafolio_Proyectos!$AQ216="","","Consolidada"),"")</f>
        <v/>
      </c>
      <c r="D648" s="5" t="str">
        <f>IFERROR(IF(Portafolio_Proyectos!$AQ216="","",Portafolio_Proyectos!$C216),"")</f>
        <v/>
      </c>
      <c r="E648" s="5" t="str">
        <f>IFERROR(IF(Portafolio_Proyectos!$AQ216="","",Portafolio_Proyectos!$B216),"")</f>
        <v/>
      </c>
      <c r="F648" s="5" t="str">
        <f>IFERROR(IF(Portafolio_Proyectos!$AQ216="","",Portafolio_Proyectos!$D216),"")</f>
        <v/>
      </c>
      <c r="G648" s="5" t="str">
        <f>IFERROR(IF(Portafolio_Proyectos!$AQ216="","",Portafolio_Proyectos!$A216),"")</f>
        <v/>
      </c>
      <c r="H648" s="5" t="str">
        <f>IFERROR(IF(Portafolio_Proyectos!$AQ216="","",Portafolio_Proyectos!$E216),"")</f>
        <v/>
      </c>
    </row>
    <row r="649" spans="1:8" x14ac:dyDescent="0.35">
      <c r="A649" s="5" t="str">
        <f>IFERROR(IF(Portafolio_Proyectos!$AR216="","","CAP-"&amp;ROW()-1),"")</f>
        <v/>
      </c>
      <c r="B649" s="5" t="str">
        <f>IFERROR(IF(Portafolio_Proyectos!$AR216="","",Portafolio_Proyectos!$AR216),"")</f>
        <v/>
      </c>
      <c r="C649" s="5" t="str">
        <f>IFERROR(IF(Portafolio_Proyectos!$AR216="","","Distintiva"),"")</f>
        <v/>
      </c>
      <c r="D649" s="5" t="str">
        <f>IFERROR(IF(Portafolio_Proyectos!$AR216="","",Portafolio_Proyectos!$C216),"")</f>
        <v/>
      </c>
      <c r="E649" s="5" t="str">
        <f>IFERROR(IF(Portafolio_Proyectos!$AR216="","",Portafolio_Proyectos!$B216),"")</f>
        <v/>
      </c>
      <c r="F649" s="5" t="str">
        <f>IFERROR(IF(Portafolio_Proyectos!$AR216="","",Portafolio_Proyectos!$D216),"")</f>
        <v/>
      </c>
      <c r="G649" s="5" t="str">
        <f>IFERROR(IF(Portafolio_Proyectos!$AR216="","",Portafolio_Proyectos!$A216),"")</f>
        <v/>
      </c>
      <c r="H649" s="5" t="str">
        <f>IFERROR(IF(Portafolio_Proyectos!$AR216="","",Portafolio_Proyectos!$E216),"")</f>
        <v/>
      </c>
    </row>
    <row r="650" spans="1:8" x14ac:dyDescent="0.35">
      <c r="A650" s="5" t="str">
        <f>IFERROR(IF(Portafolio_Proyectos!$AP217="","","CAP-"&amp;ROW()-1),"")</f>
        <v/>
      </c>
      <c r="B650" s="5" t="str">
        <f>IFERROR(IF(Portafolio_Proyectos!$AP217="","",Portafolio_Proyectos!$AP217),"")</f>
        <v/>
      </c>
      <c r="C650" s="5" t="str">
        <f>IFERROR(IF(Portafolio_Proyectos!$AP217="","","Emergente"),"")</f>
        <v/>
      </c>
      <c r="D650" s="5" t="str">
        <f>IFERROR(IF(Portafolio_Proyectos!$AP217="","",Portafolio_Proyectos!$C217),"")</f>
        <v/>
      </c>
      <c r="E650" s="5" t="str">
        <f>IFERROR(IF(Portafolio_Proyectos!$AP217="","",Portafolio_Proyectos!$B217),"")</f>
        <v/>
      </c>
      <c r="F650" s="5" t="str">
        <f>IFERROR(IF(Portafolio_Proyectos!$AP217="","",Portafolio_Proyectos!$D217),"")</f>
        <v/>
      </c>
      <c r="G650" s="5" t="str">
        <f>IFERROR(IF(Portafolio_Proyectos!$AP217="","",Portafolio_Proyectos!$A217),"")</f>
        <v/>
      </c>
      <c r="H650" s="5" t="str">
        <f>IFERROR(IF(Portafolio_Proyectos!$AP217="","",Portafolio_Proyectos!$E217),"")</f>
        <v/>
      </c>
    </row>
    <row r="651" spans="1:8" x14ac:dyDescent="0.35">
      <c r="A651" s="5" t="str">
        <f>IFERROR(IF(Portafolio_Proyectos!$AQ217="","","CAP-"&amp;ROW()-1),"")</f>
        <v/>
      </c>
      <c r="B651" s="5" t="str">
        <f>IFERROR(IF(Portafolio_Proyectos!$AQ217="","",Portafolio_Proyectos!$AQ217),"")</f>
        <v/>
      </c>
      <c r="C651" s="5" t="str">
        <f>IFERROR(IF(Portafolio_Proyectos!$AQ217="","","Consolidada"),"")</f>
        <v/>
      </c>
      <c r="D651" s="5" t="str">
        <f>IFERROR(IF(Portafolio_Proyectos!$AQ217="","",Portafolio_Proyectos!$C217),"")</f>
        <v/>
      </c>
      <c r="E651" s="5" t="str">
        <f>IFERROR(IF(Portafolio_Proyectos!$AQ217="","",Portafolio_Proyectos!$B217),"")</f>
        <v/>
      </c>
      <c r="F651" s="5" t="str">
        <f>IFERROR(IF(Portafolio_Proyectos!$AQ217="","",Portafolio_Proyectos!$D217),"")</f>
        <v/>
      </c>
      <c r="G651" s="5" t="str">
        <f>IFERROR(IF(Portafolio_Proyectos!$AQ217="","",Portafolio_Proyectos!$A217),"")</f>
        <v/>
      </c>
      <c r="H651" s="5" t="str">
        <f>IFERROR(IF(Portafolio_Proyectos!$AQ217="","",Portafolio_Proyectos!$E217),"")</f>
        <v/>
      </c>
    </row>
    <row r="652" spans="1:8" x14ac:dyDescent="0.35">
      <c r="A652" s="5" t="str">
        <f>IFERROR(IF(Portafolio_Proyectos!$AR217="","","CAP-"&amp;ROW()-1),"")</f>
        <v/>
      </c>
      <c r="B652" s="5" t="str">
        <f>IFERROR(IF(Portafolio_Proyectos!$AR217="","",Portafolio_Proyectos!$AR217),"")</f>
        <v/>
      </c>
      <c r="C652" s="5" t="str">
        <f>IFERROR(IF(Portafolio_Proyectos!$AR217="","","Distintiva"),"")</f>
        <v/>
      </c>
      <c r="D652" s="5" t="str">
        <f>IFERROR(IF(Portafolio_Proyectos!$AR217="","",Portafolio_Proyectos!$C217),"")</f>
        <v/>
      </c>
      <c r="E652" s="5" t="str">
        <f>IFERROR(IF(Portafolio_Proyectos!$AR217="","",Portafolio_Proyectos!$B217),"")</f>
        <v/>
      </c>
      <c r="F652" s="5" t="str">
        <f>IFERROR(IF(Portafolio_Proyectos!$AR217="","",Portafolio_Proyectos!$D217),"")</f>
        <v/>
      </c>
      <c r="G652" s="5" t="str">
        <f>IFERROR(IF(Portafolio_Proyectos!$AR217="","",Portafolio_Proyectos!$A217),"")</f>
        <v/>
      </c>
      <c r="H652" s="5" t="str">
        <f>IFERROR(IF(Portafolio_Proyectos!$AR217="","",Portafolio_Proyectos!$E217),"")</f>
        <v/>
      </c>
    </row>
    <row r="653" spans="1:8" x14ac:dyDescent="0.35">
      <c r="A653" s="5" t="str">
        <f>IFERROR(IF(Portafolio_Proyectos!$AP218="","","CAP-"&amp;ROW()-1),"")</f>
        <v/>
      </c>
      <c r="B653" s="5" t="str">
        <f>IFERROR(IF(Portafolio_Proyectos!$AP218="","",Portafolio_Proyectos!$AP218),"")</f>
        <v/>
      </c>
      <c r="C653" s="5" t="str">
        <f>IFERROR(IF(Portafolio_Proyectos!$AP218="","","Emergente"),"")</f>
        <v/>
      </c>
      <c r="D653" s="5" t="str">
        <f>IFERROR(IF(Portafolio_Proyectos!$AP218="","",Portafolio_Proyectos!$C218),"")</f>
        <v/>
      </c>
      <c r="E653" s="5" t="str">
        <f>IFERROR(IF(Portafolio_Proyectos!$AP218="","",Portafolio_Proyectos!$B218),"")</f>
        <v/>
      </c>
      <c r="F653" s="5" t="str">
        <f>IFERROR(IF(Portafolio_Proyectos!$AP218="","",Portafolio_Proyectos!$D218),"")</f>
        <v/>
      </c>
      <c r="G653" s="5" t="str">
        <f>IFERROR(IF(Portafolio_Proyectos!$AP218="","",Portafolio_Proyectos!$A218),"")</f>
        <v/>
      </c>
      <c r="H653" s="5" t="str">
        <f>IFERROR(IF(Portafolio_Proyectos!$AP218="","",Portafolio_Proyectos!$E218),"")</f>
        <v/>
      </c>
    </row>
    <row r="654" spans="1:8" x14ac:dyDescent="0.35">
      <c r="A654" s="5" t="str">
        <f>IFERROR(IF(Portafolio_Proyectos!$AQ218="","","CAP-"&amp;ROW()-1),"")</f>
        <v/>
      </c>
      <c r="B654" s="5" t="str">
        <f>IFERROR(IF(Portafolio_Proyectos!$AQ218="","",Portafolio_Proyectos!$AQ218),"")</f>
        <v/>
      </c>
      <c r="C654" s="5" t="str">
        <f>IFERROR(IF(Portafolio_Proyectos!$AQ218="","","Consolidada"),"")</f>
        <v/>
      </c>
      <c r="D654" s="5" t="str">
        <f>IFERROR(IF(Portafolio_Proyectos!$AQ218="","",Portafolio_Proyectos!$C218),"")</f>
        <v/>
      </c>
      <c r="E654" s="5" t="str">
        <f>IFERROR(IF(Portafolio_Proyectos!$AQ218="","",Portafolio_Proyectos!$B218),"")</f>
        <v/>
      </c>
      <c r="F654" s="5" t="str">
        <f>IFERROR(IF(Portafolio_Proyectos!$AQ218="","",Portafolio_Proyectos!$D218),"")</f>
        <v/>
      </c>
      <c r="G654" s="5" t="str">
        <f>IFERROR(IF(Portafolio_Proyectos!$AQ218="","",Portafolio_Proyectos!$A218),"")</f>
        <v/>
      </c>
      <c r="H654" s="5" t="str">
        <f>IFERROR(IF(Portafolio_Proyectos!$AQ218="","",Portafolio_Proyectos!$E218),"")</f>
        <v/>
      </c>
    </row>
    <row r="655" spans="1:8" x14ac:dyDescent="0.35">
      <c r="A655" s="5" t="str">
        <f>IFERROR(IF(Portafolio_Proyectos!$AR218="","","CAP-"&amp;ROW()-1),"")</f>
        <v/>
      </c>
      <c r="B655" s="5" t="str">
        <f>IFERROR(IF(Portafolio_Proyectos!$AR218="","",Portafolio_Proyectos!$AR218),"")</f>
        <v/>
      </c>
      <c r="C655" s="5" t="str">
        <f>IFERROR(IF(Portafolio_Proyectos!$AR218="","","Distintiva"),"")</f>
        <v/>
      </c>
      <c r="D655" s="5" t="str">
        <f>IFERROR(IF(Portafolio_Proyectos!$AR218="","",Portafolio_Proyectos!$C218),"")</f>
        <v/>
      </c>
      <c r="E655" s="5" t="str">
        <f>IFERROR(IF(Portafolio_Proyectos!$AR218="","",Portafolio_Proyectos!$B218),"")</f>
        <v/>
      </c>
      <c r="F655" s="5" t="str">
        <f>IFERROR(IF(Portafolio_Proyectos!$AR218="","",Portafolio_Proyectos!$D218),"")</f>
        <v/>
      </c>
      <c r="G655" s="5" t="str">
        <f>IFERROR(IF(Portafolio_Proyectos!$AR218="","",Portafolio_Proyectos!$A218),"")</f>
        <v/>
      </c>
      <c r="H655" s="5" t="str">
        <f>IFERROR(IF(Portafolio_Proyectos!$AR218="","",Portafolio_Proyectos!$E218),"")</f>
        <v/>
      </c>
    </row>
    <row r="656" spans="1:8" x14ac:dyDescent="0.35">
      <c r="A656" s="5" t="str">
        <f>IFERROR(IF(Portafolio_Proyectos!$AP219="","","CAP-"&amp;ROW()-1),"")</f>
        <v/>
      </c>
      <c r="B656" s="5" t="str">
        <f>IFERROR(IF(Portafolio_Proyectos!$AP219="","",Portafolio_Proyectos!$AP219),"")</f>
        <v/>
      </c>
      <c r="C656" s="5" t="str">
        <f>IFERROR(IF(Portafolio_Proyectos!$AP219="","","Emergente"),"")</f>
        <v/>
      </c>
      <c r="D656" s="5" t="str">
        <f>IFERROR(IF(Portafolio_Proyectos!$AP219="","",Portafolio_Proyectos!$C219),"")</f>
        <v/>
      </c>
      <c r="E656" s="5" t="str">
        <f>IFERROR(IF(Portafolio_Proyectos!$AP219="","",Portafolio_Proyectos!$B219),"")</f>
        <v/>
      </c>
      <c r="F656" s="5" t="str">
        <f>IFERROR(IF(Portafolio_Proyectos!$AP219="","",Portafolio_Proyectos!$D219),"")</f>
        <v/>
      </c>
      <c r="G656" s="5" t="str">
        <f>IFERROR(IF(Portafolio_Proyectos!$AP219="","",Portafolio_Proyectos!$A219),"")</f>
        <v/>
      </c>
      <c r="H656" s="5" t="str">
        <f>IFERROR(IF(Portafolio_Proyectos!$AP219="","",Portafolio_Proyectos!$E219),"")</f>
        <v/>
      </c>
    </row>
    <row r="657" spans="1:8" x14ac:dyDescent="0.35">
      <c r="A657" s="5" t="str">
        <f>IFERROR(IF(Portafolio_Proyectos!$AQ219="","","CAP-"&amp;ROW()-1),"")</f>
        <v/>
      </c>
      <c r="B657" s="5" t="str">
        <f>IFERROR(IF(Portafolio_Proyectos!$AQ219="","",Portafolio_Proyectos!$AQ219),"")</f>
        <v/>
      </c>
      <c r="C657" s="5" t="str">
        <f>IFERROR(IF(Portafolio_Proyectos!$AQ219="","","Consolidada"),"")</f>
        <v/>
      </c>
      <c r="D657" s="5" t="str">
        <f>IFERROR(IF(Portafolio_Proyectos!$AQ219="","",Portafolio_Proyectos!$C219),"")</f>
        <v/>
      </c>
      <c r="E657" s="5" t="str">
        <f>IFERROR(IF(Portafolio_Proyectos!$AQ219="","",Portafolio_Proyectos!$B219),"")</f>
        <v/>
      </c>
      <c r="F657" s="5" t="str">
        <f>IFERROR(IF(Portafolio_Proyectos!$AQ219="","",Portafolio_Proyectos!$D219),"")</f>
        <v/>
      </c>
      <c r="G657" s="5" t="str">
        <f>IFERROR(IF(Portafolio_Proyectos!$AQ219="","",Portafolio_Proyectos!$A219),"")</f>
        <v/>
      </c>
      <c r="H657" s="5" t="str">
        <f>IFERROR(IF(Portafolio_Proyectos!$AQ219="","",Portafolio_Proyectos!$E219),"")</f>
        <v/>
      </c>
    </row>
    <row r="658" spans="1:8" x14ac:dyDescent="0.35">
      <c r="A658" s="5" t="str">
        <f>IFERROR(IF(Portafolio_Proyectos!$AR219="","","CAP-"&amp;ROW()-1),"")</f>
        <v/>
      </c>
      <c r="B658" s="5" t="str">
        <f>IFERROR(IF(Portafolio_Proyectos!$AR219="","",Portafolio_Proyectos!$AR219),"")</f>
        <v/>
      </c>
      <c r="C658" s="5" t="str">
        <f>IFERROR(IF(Portafolio_Proyectos!$AR219="","","Distintiva"),"")</f>
        <v/>
      </c>
      <c r="D658" s="5" t="str">
        <f>IFERROR(IF(Portafolio_Proyectos!$AR219="","",Portafolio_Proyectos!$C219),"")</f>
        <v/>
      </c>
      <c r="E658" s="5" t="str">
        <f>IFERROR(IF(Portafolio_Proyectos!$AR219="","",Portafolio_Proyectos!$B219),"")</f>
        <v/>
      </c>
      <c r="F658" s="5" t="str">
        <f>IFERROR(IF(Portafolio_Proyectos!$AR219="","",Portafolio_Proyectos!$D219),"")</f>
        <v/>
      </c>
      <c r="G658" s="5" t="str">
        <f>IFERROR(IF(Portafolio_Proyectos!$AR219="","",Portafolio_Proyectos!$A219),"")</f>
        <v/>
      </c>
      <c r="H658" s="5" t="str">
        <f>IFERROR(IF(Portafolio_Proyectos!$AR219="","",Portafolio_Proyectos!$E219),"")</f>
        <v/>
      </c>
    </row>
    <row r="659" spans="1:8" x14ac:dyDescent="0.35">
      <c r="A659" s="5" t="str">
        <f>IFERROR(IF(Portafolio_Proyectos!$AP220="","","CAP-"&amp;ROW()-1),"")</f>
        <v/>
      </c>
      <c r="B659" s="5" t="str">
        <f>IFERROR(IF(Portafolio_Proyectos!$AP220="","",Portafolio_Proyectos!$AP220),"")</f>
        <v/>
      </c>
      <c r="C659" s="5" t="str">
        <f>IFERROR(IF(Portafolio_Proyectos!$AP220="","","Emergente"),"")</f>
        <v/>
      </c>
      <c r="D659" s="5" t="str">
        <f>IFERROR(IF(Portafolio_Proyectos!$AP220="","",Portafolio_Proyectos!$C220),"")</f>
        <v/>
      </c>
      <c r="E659" s="5" t="str">
        <f>IFERROR(IF(Portafolio_Proyectos!$AP220="","",Portafolio_Proyectos!$B220),"")</f>
        <v/>
      </c>
      <c r="F659" s="5" t="str">
        <f>IFERROR(IF(Portafolio_Proyectos!$AP220="","",Portafolio_Proyectos!$D220),"")</f>
        <v/>
      </c>
      <c r="G659" s="5" t="str">
        <f>IFERROR(IF(Portafolio_Proyectos!$AP220="","",Portafolio_Proyectos!$A220),"")</f>
        <v/>
      </c>
      <c r="H659" s="5" t="str">
        <f>IFERROR(IF(Portafolio_Proyectos!$AP220="","",Portafolio_Proyectos!$E220),"")</f>
        <v/>
      </c>
    </row>
    <row r="660" spans="1:8" x14ac:dyDescent="0.35">
      <c r="A660" s="5" t="str">
        <f>IFERROR(IF(Portafolio_Proyectos!$AQ220="","","CAP-"&amp;ROW()-1),"")</f>
        <v/>
      </c>
      <c r="B660" s="5" t="str">
        <f>IFERROR(IF(Portafolio_Proyectos!$AQ220="","",Portafolio_Proyectos!$AQ220),"")</f>
        <v/>
      </c>
      <c r="C660" s="5" t="str">
        <f>IFERROR(IF(Portafolio_Proyectos!$AQ220="","","Consolidada"),"")</f>
        <v/>
      </c>
      <c r="D660" s="5" t="str">
        <f>IFERROR(IF(Portafolio_Proyectos!$AQ220="","",Portafolio_Proyectos!$C220),"")</f>
        <v/>
      </c>
      <c r="E660" s="5" t="str">
        <f>IFERROR(IF(Portafolio_Proyectos!$AQ220="","",Portafolio_Proyectos!$B220),"")</f>
        <v/>
      </c>
      <c r="F660" s="5" t="str">
        <f>IFERROR(IF(Portafolio_Proyectos!$AQ220="","",Portafolio_Proyectos!$D220),"")</f>
        <v/>
      </c>
      <c r="G660" s="5" t="str">
        <f>IFERROR(IF(Portafolio_Proyectos!$AQ220="","",Portafolio_Proyectos!$A220),"")</f>
        <v/>
      </c>
      <c r="H660" s="5" t="str">
        <f>IFERROR(IF(Portafolio_Proyectos!$AQ220="","",Portafolio_Proyectos!$E220),"")</f>
        <v/>
      </c>
    </row>
    <row r="661" spans="1:8" x14ac:dyDescent="0.35">
      <c r="A661" s="5" t="str">
        <f>IFERROR(IF(Portafolio_Proyectos!$AR220="","","CAP-"&amp;ROW()-1),"")</f>
        <v/>
      </c>
      <c r="B661" s="5" t="str">
        <f>IFERROR(IF(Portafolio_Proyectos!$AR220="","",Portafolio_Proyectos!$AR220),"")</f>
        <v/>
      </c>
      <c r="C661" s="5" t="str">
        <f>IFERROR(IF(Portafolio_Proyectos!$AR220="","","Distintiva"),"")</f>
        <v/>
      </c>
      <c r="D661" s="5" t="str">
        <f>IFERROR(IF(Portafolio_Proyectos!$AR220="","",Portafolio_Proyectos!$C220),"")</f>
        <v/>
      </c>
      <c r="E661" s="5" t="str">
        <f>IFERROR(IF(Portafolio_Proyectos!$AR220="","",Portafolio_Proyectos!$B220),"")</f>
        <v/>
      </c>
      <c r="F661" s="5" t="str">
        <f>IFERROR(IF(Portafolio_Proyectos!$AR220="","",Portafolio_Proyectos!$D220),"")</f>
        <v/>
      </c>
      <c r="G661" s="5" t="str">
        <f>IFERROR(IF(Portafolio_Proyectos!$AR220="","",Portafolio_Proyectos!$A220),"")</f>
        <v/>
      </c>
      <c r="H661" s="5" t="str">
        <f>IFERROR(IF(Portafolio_Proyectos!$AR220="","",Portafolio_Proyectos!$E220),"")</f>
        <v/>
      </c>
    </row>
    <row r="662" spans="1:8" x14ac:dyDescent="0.35">
      <c r="A662" s="5" t="str">
        <f>IFERROR(IF(Portafolio_Proyectos!$AP221="","","CAP-"&amp;ROW()-1),"")</f>
        <v/>
      </c>
      <c r="B662" s="5" t="str">
        <f>IFERROR(IF(Portafolio_Proyectos!$AP221="","",Portafolio_Proyectos!$AP221),"")</f>
        <v/>
      </c>
      <c r="C662" s="5" t="str">
        <f>IFERROR(IF(Portafolio_Proyectos!$AP221="","","Emergente"),"")</f>
        <v/>
      </c>
      <c r="D662" s="5" t="str">
        <f>IFERROR(IF(Portafolio_Proyectos!$AP221="","",Portafolio_Proyectos!$C221),"")</f>
        <v/>
      </c>
      <c r="E662" s="5" t="str">
        <f>IFERROR(IF(Portafolio_Proyectos!$AP221="","",Portafolio_Proyectos!$B221),"")</f>
        <v/>
      </c>
      <c r="F662" s="5" t="str">
        <f>IFERROR(IF(Portafolio_Proyectos!$AP221="","",Portafolio_Proyectos!$D221),"")</f>
        <v/>
      </c>
      <c r="G662" s="5" t="str">
        <f>IFERROR(IF(Portafolio_Proyectos!$AP221="","",Portafolio_Proyectos!$A221),"")</f>
        <v/>
      </c>
      <c r="H662" s="5" t="str">
        <f>IFERROR(IF(Portafolio_Proyectos!$AP221="","",Portafolio_Proyectos!$E221),"")</f>
        <v/>
      </c>
    </row>
    <row r="663" spans="1:8" x14ac:dyDescent="0.35">
      <c r="A663" s="5" t="str">
        <f>IFERROR(IF(Portafolio_Proyectos!$AQ221="","","CAP-"&amp;ROW()-1),"")</f>
        <v/>
      </c>
      <c r="B663" s="5" t="str">
        <f>IFERROR(IF(Portafolio_Proyectos!$AQ221="","",Portafolio_Proyectos!$AQ221),"")</f>
        <v/>
      </c>
      <c r="C663" s="5" t="str">
        <f>IFERROR(IF(Portafolio_Proyectos!$AQ221="","","Consolidada"),"")</f>
        <v/>
      </c>
      <c r="D663" s="5" t="str">
        <f>IFERROR(IF(Portafolio_Proyectos!$AQ221="","",Portafolio_Proyectos!$C221),"")</f>
        <v/>
      </c>
      <c r="E663" s="5" t="str">
        <f>IFERROR(IF(Portafolio_Proyectos!$AQ221="","",Portafolio_Proyectos!$B221),"")</f>
        <v/>
      </c>
      <c r="F663" s="5" t="str">
        <f>IFERROR(IF(Portafolio_Proyectos!$AQ221="","",Portafolio_Proyectos!$D221),"")</f>
        <v/>
      </c>
      <c r="G663" s="5" t="str">
        <f>IFERROR(IF(Portafolio_Proyectos!$AQ221="","",Portafolio_Proyectos!$A221),"")</f>
        <v/>
      </c>
      <c r="H663" s="5" t="str">
        <f>IFERROR(IF(Portafolio_Proyectos!$AQ221="","",Portafolio_Proyectos!$E221),"")</f>
        <v/>
      </c>
    </row>
    <row r="664" spans="1:8" x14ac:dyDescent="0.35">
      <c r="A664" s="5" t="str">
        <f>IFERROR(IF(Portafolio_Proyectos!$AR221="","","CAP-"&amp;ROW()-1),"")</f>
        <v/>
      </c>
      <c r="B664" s="5" t="str">
        <f>IFERROR(IF(Portafolio_Proyectos!$AR221="","",Portafolio_Proyectos!$AR221),"")</f>
        <v/>
      </c>
      <c r="C664" s="5" t="str">
        <f>IFERROR(IF(Portafolio_Proyectos!$AR221="","","Distintiva"),"")</f>
        <v/>
      </c>
      <c r="D664" s="5" t="str">
        <f>IFERROR(IF(Portafolio_Proyectos!$AR221="","",Portafolio_Proyectos!$C221),"")</f>
        <v/>
      </c>
      <c r="E664" s="5" t="str">
        <f>IFERROR(IF(Portafolio_Proyectos!$AR221="","",Portafolio_Proyectos!$B221),"")</f>
        <v/>
      </c>
      <c r="F664" s="5" t="str">
        <f>IFERROR(IF(Portafolio_Proyectos!$AR221="","",Portafolio_Proyectos!$D221),"")</f>
        <v/>
      </c>
      <c r="G664" s="5" t="str">
        <f>IFERROR(IF(Portafolio_Proyectos!$AR221="","",Portafolio_Proyectos!$A221),"")</f>
        <v/>
      </c>
      <c r="H664" s="5" t="str">
        <f>IFERROR(IF(Portafolio_Proyectos!$AR221="","",Portafolio_Proyectos!$E221),"")</f>
        <v/>
      </c>
    </row>
    <row r="665" spans="1:8" x14ac:dyDescent="0.35">
      <c r="A665" s="5" t="str">
        <f>IFERROR(IF(Portafolio_Proyectos!$AP222="","","CAP-"&amp;ROW()-1),"")</f>
        <v/>
      </c>
      <c r="B665" s="5" t="str">
        <f>IFERROR(IF(Portafolio_Proyectos!$AP222="","",Portafolio_Proyectos!$AP222),"")</f>
        <v/>
      </c>
      <c r="C665" s="5" t="str">
        <f>IFERROR(IF(Portafolio_Proyectos!$AP222="","","Emergente"),"")</f>
        <v/>
      </c>
      <c r="D665" s="5" t="str">
        <f>IFERROR(IF(Portafolio_Proyectos!$AP222="","",Portafolio_Proyectos!$C222),"")</f>
        <v/>
      </c>
      <c r="E665" s="5" t="str">
        <f>IFERROR(IF(Portafolio_Proyectos!$AP222="","",Portafolio_Proyectos!$B222),"")</f>
        <v/>
      </c>
      <c r="F665" s="5" t="str">
        <f>IFERROR(IF(Portafolio_Proyectos!$AP222="","",Portafolio_Proyectos!$D222),"")</f>
        <v/>
      </c>
      <c r="G665" s="5" t="str">
        <f>IFERROR(IF(Portafolio_Proyectos!$AP222="","",Portafolio_Proyectos!$A222),"")</f>
        <v/>
      </c>
      <c r="H665" s="5" t="str">
        <f>IFERROR(IF(Portafolio_Proyectos!$AP222="","",Portafolio_Proyectos!$E222),"")</f>
        <v/>
      </c>
    </row>
    <row r="666" spans="1:8" x14ac:dyDescent="0.35">
      <c r="A666" s="5" t="str">
        <f>IFERROR(IF(Portafolio_Proyectos!$AQ222="","","CAP-"&amp;ROW()-1),"")</f>
        <v/>
      </c>
      <c r="B666" s="5" t="str">
        <f>IFERROR(IF(Portafolio_Proyectos!$AQ222="","",Portafolio_Proyectos!$AQ222),"")</f>
        <v/>
      </c>
      <c r="C666" s="5" t="str">
        <f>IFERROR(IF(Portafolio_Proyectos!$AQ222="","","Consolidada"),"")</f>
        <v/>
      </c>
      <c r="D666" s="5" t="str">
        <f>IFERROR(IF(Portafolio_Proyectos!$AQ222="","",Portafolio_Proyectos!$C222),"")</f>
        <v/>
      </c>
      <c r="E666" s="5" t="str">
        <f>IFERROR(IF(Portafolio_Proyectos!$AQ222="","",Portafolio_Proyectos!$B222),"")</f>
        <v/>
      </c>
      <c r="F666" s="5" t="str">
        <f>IFERROR(IF(Portafolio_Proyectos!$AQ222="","",Portafolio_Proyectos!$D222),"")</f>
        <v/>
      </c>
      <c r="G666" s="5" t="str">
        <f>IFERROR(IF(Portafolio_Proyectos!$AQ222="","",Portafolio_Proyectos!$A222),"")</f>
        <v/>
      </c>
      <c r="H666" s="5" t="str">
        <f>IFERROR(IF(Portafolio_Proyectos!$AQ222="","",Portafolio_Proyectos!$E222),"")</f>
        <v/>
      </c>
    </row>
    <row r="667" spans="1:8" x14ac:dyDescent="0.35">
      <c r="A667" s="5" t="str">
        <f>IFERROR(IF(Portafolio_Proyectos!$AR222="","","CAP-"&amp;ROW()-1),"")</f>
        <v/>
      </c>
      <c r="B667" s="5" t="str">
        <f>IFERROR(IF(Portafolio_Proyectos!$AR222="","",Portafolio_Proyectos!$AR222),"")</f>
        <v/>
      </c>
      <c r="C667" s="5" t="str">
        <f>IFERROR(IF(Portafolio_Proyectos!$AR222="","","Distintiva"),"")</f>
        <v/>
      </c>
      <c r="D667" s="5" t="str">
        <f>IFERROR(IF(Portafolio_Proyectos!$AR222="","",Portafolio_Proyectos!$C222),"")</f>
        <v/>
      </c>
      <c r="E667" s="5" t="str">
        <f>IFERROR(IF(Portafolio_Proyectos!$AR222="","",Portafolio_Proyectos!$B222),"")</f>
        <v/>
      </c>
      <c r="F667" s="5" t="str">
        <f>IFERROR(IF(Portafolio_Proyectos!$AR222="","",Portafolio_Proyectos!$D222),"")</f>
        <v/>
      </c>
      <c r="G667" s="5" t="str">
        <f>IFERROR(IF(Portafolio_Proyectos!$AR222="","",Portafolio_Proyectos!$A222),"")</f>
        <v/>
      </c>
      <c r="H667" s="5" t="str">
        <f>IFERROR(IF(Portafolio_Proyectos!$AR222="","",Portafolio_Proyectos!$E222),"")</f>
        <v/>
      </c>
    </row>
    <row r="668" spans="1:8" x14ac:dyDescent="0.35">
      <c r="A668" s="5" t="str">
        <f>IFERROR(IF(Portafolio_Proyectos!$AP223="","","CAP-"&amp;ROW()-1),"")</f>
        <v/>
      </c>
      <c r="B668" s="5" t="str">
        <f>IFERROR(IF(Portafolio_Proyectos!$AP223="","",Portafolio_Proyectos!$AP223),"")</f>
        <v/>
      </c>
      <c r="C668" s="5" t="str">
        <f>IFERROR(IF(Portafolio_Proyectos!$AP223="","","Emergente"),"")</f>
        <v/>
      </c>
      <c r="D668" s="5" t="str">
        <f>IFERROR(IF(Portafolio_Proyectos!$AP223="","",Portafolio_Proyectos!$C223),"")</f>
        <v/>
      </c>
      <c r="E668" s="5" t="str">
        <f>IFERROR(IF(Portafolio_Proyectos!$AP223="","",Portafolio_Proyectos!$B223),"")</f>
        <v/>
      </c>
      <c r="F668" s="5" t="str">
        <f>IFERROR(IF(Portafolio_Proyectos!$AP223="","",Portafolio_Proyectos!$D223),"")</f>
        <v/>
      </c>
      <c r="G668" s="5" t="str">
        <f>IFERROR(IF(Portafolio_Proyectos!$AP223="","",Portafolio_Proyectos!$A223),"")</f>
        <v/>
      </c>
      <c r="H668" s="5" t="str">
        <f>IFERROR(IF(Portafolio_Proyectos!$AP223="","",Portafolio_Proyectos!$E223),"")</f>
        <v/>
      </c>
    </row>
    <row r="669" spans="1:8" x14ac:dyDescent="0.35">
      <c r="A669" s="5" t="str">
        <f>IFERROR(IF(Portafolio_Proyectos!$AQ223="","","CAP-"&amp;ROW()-1),"")</f>
        <v/>
      </c>
      <c r="B669" s="5" t="str">
        <f>IFERROR(IF(Portafolio_Proyectos!$AQ223="","",Portafolio_Proyectos!$AQ223),"")</f>
        <v/>
      </c>
      <c r="C669" s="5" t="str">
        <f>IFERROR(IF(Portafolio_Proyectos!$AQ223="","","Consolidada"),"")</f>
        <v/>
      </c>
      <c r="D669" s="5" t="str">
        <f>IFERROR(IF(Portafolio_Proyectos!$AQ223="","",Portafolio_Proyectos!$C223),"")</f>
        <v/>
      </c>
      <c r="E669" s="5" t="str">
        <f>IFERROR(IF(Portafolio_Proyectos!$AQ223="","",Portafolio_Proyectos!$B223),"")</f>
        <v/>
      </c>
      <c r="F669" s="5" t="str">
        <f>IFERROR(IF(Portafolio_Proyectos!$AQ223="","",Portafolio_Proyectos!$D223),"")</f>
        <v/>
      </c>
      <c r="G669" s="5" t="str">
        <f>IFERROR(IF(Portafolio_Proyectos!$AQ223="","",Portafolio_Proyectos!$A223),"")</f>
        <v/>
      </c>
      <c r="H669" s="5" t="str">
        <f>IFERROR(IF(Portafolio_Proyectos!$AQ223="","",Portafolio_Proyectos!$E223),"")</f>
        <v/>
      </c>
    </row>
    <row r="670" spans="1:8" x14ac:dyDescent="0.35">
      <c r="A670" s="5" t="str">
        <f>IFERROR(IF(Portafolio_Proyectos!$AR223="","","CAP-"&amp;ROW()-1),"")</f>
        <v/>
      </c>
      <c r="B670" s="5" t="str">
        <f>IFERROR(IF(Portafolio_Proyectos!$AR223="","",Portafolio_Proyectos!$AR223),"")</f>
        <v/>
      </c>
      <c r="C670" s="5" t="str">
        <f>IFERROR(IF(Portafolio_Proyectos!$AR223="","","Distintiva"),"")</f>
        <v/>
      </c>
      <c r="D670" s="5" t="str">
        <f>IFERROR(IF(Portafolio_Proyectos!$AR223="","",Portafolio_Proyectos!$C223),"")</f>
        <v/>
      </c>
      <c r="E670" s="5" t="str">
        <f>IFERROR(IF(Portafolio_Proyectos!$AR223="","",Portafolio_Proyectos!$B223),"")</f>
        <v/>
      </c>
      <c r="F670" s="5" t="str">
        <f>IFERROR(IF(Portafolio_Proyectos!$AR223="","",Portafolio_Proyectos!$D223),"")</f>
        <v/>
      </c>
      <c r="G670" s="5" t="str">
        <f>IFERROR(IF(Portafolio_Proyectos!$AR223="","",Portafolio_Proyectos!$A223),"")</f>
        <v/>
      </c>
      <c r="H670" s="5" t="str">
        <f>IFERROR(IF(Portafolio_Proyectos!$AR223="","",Portafolio_Proyectos!$E223),"")</f>
        <v/>
      </c>
    </row>
    <row r="671" spans="1:8" x14ac:dyDescent="0.35">
      <c r="A671" s="5" t="str">
        <f>IFERROR(IF(Portafolio_Proyectos!$AP224="","","CAP-"&amp;ROW()-1),"")</f>
        <v/>
      </c>
      <c r="B671" s="5" t="str">
        <f>IFERROR(IF(Portafolio_Proyectos!$AP224="","",Portafolio_Proyectos!$AP224),"")</f>
        <v/>
      </c>
      <c r="C671" s="5" t="str">
        <f>IFERROR(IF(Portafolio_Proyectos!$AP224="","","Emergente"),"")</f>
        <v/>
      </c>
      <c r="D671" s="5" t="str">
        <f>IFERROR(IF(Portafolio_Proyectos!$AP224="","",Portafolio_Proyectos!$C224),"")</f>
        <v/>
      </c>
      <c r="E671" s="5" t="str">
        <f>IFERROR(IF(Portafolio_Proyectos!$AP224="","",Portafolio_Proyectos!$B224),"")</f>
        <v/>
      </c>
      <c r="F671" s="5" t="str">
        <f>IFERROR(IF(Portafolio_Proyectos!$AP224="","",Portafolio_Proyectos!$D224),"")</f>
        <v/>
      </c>
      <c r="G671" s="5" t="str">
        <f>IFERROR(IF(Portafolio_Proyectos!$AP224="","",Portafolio_Proyectos!$A224),"")</f>
        <v/>
      </c>
      <c r="H671" s="5" t="str">
        <f>IFERROR(IF(Portafolio_Proyectos!$AP224="","",Portafolio_Proyectos!$E224),"")</f>
        <v/>
      </c>
    </row>
    <row r="672" spans="1:8" x14ac:dyDescent="0.35">
      <c r="A672" s="5" t="str">
        <f>IFERROR(IF(Portafolio_Proyectos!$AQ224="","","CAP-"&amp;ROW()-1),"")</f>
        <v/>
      </c>
      <c r="B672" s="5" t="str">
        <f>IFERROR(IF(Portafolio_Proyectos!$AQ224="","",Portafolio_Proyectos!$AQ224),"")</f>
        <v/>
      </c>
      <c r="C672" s="5" t="str">
        <f>IFERROR(IF(Portafolio_Proyectos!$AQ224="","","Consolidada"),"")</f>
        <v/>
      </c>
      <c r="D672" s="5" t="str">
        <f>IFERROR(IF(Portafolio_Proyectos!$AQ224="","",Portafolio_Proyectos!$C224),"")</f>
        <v/>
      </c>
      <c r="E672" s="5" t="str">
        <f>IFERROR(IF(Portafolio_Proyectos!$AQ224="","",Portafolio_Proyectos!$B224),"")</f>
        <v/>
      </c>
      <c r="F672" s="5" t="str">
        <f>IFERROR(IF(Portafolio_Proyectos!$AQ224="","",Portafolio_Proyectos!$D224),"")</f>
        <v/>
      </c>
      <c r="G672" s="5" t="str">
        <f>IFERROR(IF(Portafolio_Proyectos!$AQ224="","",Portafolio_Proyectos!$A224),"")</f>
        <v/>
      </c>
      <c r="H672" s="5" t="str">
        <f>IFERROR(IF(Portafolio_Proyectos!$AQ224="","",Portafolio_Proyectos!$E224),"")</f>
        <v/>
      </c>
    </row>
    <row r="673" spans="1:8" x14ac:dyDescent="0.35">
      <c r="A673" s="5" t="str">
        <f>IFERROR(IF(Portafolio_Proyectos!$AR224="","","CAP-"&amp;ROW()-1),"")</f>
        <v/>
      </c>
      <c r="B673" s="5" t="str">
        <f>IFERROR(IF(Portafolio_Proyectos!$AR224="","",Portafolio_Proyectos!$AR224),"")</f>
        <v/>
      </c>
      <c r="C673" s="5" t="str">
        <f>IFERROR(IF(Portafolio_Proyectos!$AR224="","","Distintiva"),"")</f>
        <v/>
      </c>
      <c r="D673" s="5" t="str">
        <f>IFERROR(IF(Portafolio_Proyectos!$AR224="","",Portafolio_Proyectos!$C224),"")</f>
        <v/>
      </c>
      <c r="E673" s="5" t="str">
        <f>IFERROR(IF(Portafolio_Proyectos!$AR224="","",Portafolio_Proyectos!$B224),"")</f>
        <v/>
      </c>
      <c r="F673" s="5" t="str">
        <f>IFERROR(IF(Portafolio_Proyectos!$AR224="","",Portafolio_Proyectos!$D224),"")</f>
        <v/>
      </c>
      <c r="G673" s="5" t="str">
        <f>IFERROR(IF(Portafolio_Proyectos!$AR224="","",Portafolio_Proyectos!$A224),"")</f>
        <v/>
      </c>
      <c r="H673" s="5" t="str">
        <f>IFERROR(IF(Portafolio_Proyectos!$AR224="","",Portafolio_Proyectos!$E224),"")</f>
        <v/>
      </c>
    </row>
    <row r="674" spans="1:8" x14ac:dyDescent="0.35">
      <c r="A674" s="5" t="str">
        <f>IFERROR(IF(Portafolio_Proyectos!$AP225="","","CAP-"&amp;ROW()-1),"")</f>
        <v/>
      </c>
      <c r="B674" s="5" t="str">
        <f>IFERROR(IF(Portafolio_Proyectos!$AP225="","",Portafolio_Proyectos!$AP225),"")</f>
        <v/>
      </c>
      <c r="C674" s="5" t="str">
        <f>IFERROR(IF(Portafolio_Proyectos!$AP225="","","Emergente"),"")</f>
        <v/>
      </c>
      <c r="D674" s="5" t="str">
        <f>IFERROR(IF(Portafolio_Proyectos!$AP225="","",Portafolio_Proyectos!$C225),"")</f>
        <v/>
      </c>
      <c r="E674" s="5" t="str">
        <f>IFERROR(IF(Portafolio_Proyectos!$AP225="","",Portafolio_Proyectos!$B225),"")</f>
        <v/>
      </c>
      <c r="F674" s="5" t="str">
        <f>IFERROR(IF(Portafolio_Proyectos!$AP225="","",Portafolio_Proyectos!$D225),"")</f>
        <v/>
      </c>
      <c r="G674" s="5" t="str">
        <f>IFERROR(IF(Portafolio_Proyectos!$AP225="","",Portafolio_Proyectos!$A225),"")</f>
        <v/>
      </c>
      <c r="H674" s="5" t="str">
        <f>IFERROR(IF(Portafolio_Proyectos!$AP225="","",Portafolio_Proyectos!$E225),"")</f>
        <v/>
      </c>
    </row>
    <row r="675" spans="1:8" x14ac:dyDescent="0.35">
      <c r="A675" s="5" t="str">
        <f>IFERROR(IF(Portafolio_Proyectos!$AQ225="","","CAP-"&amp;ROW()-1),"")</f>
        <v/>
      </c>
      <c r="B675" s="5" t="str">
        <f>IFERROR(IF(Portafolio_Proyectos!$AQ225="","",Portafolio_Proyectos!$AQ225),"")</f>
        <v/>
      </c>
      <c r="C675" s="5" t="str">
        <f>IFERROR(IF(Portafolio_Proyectos!$AQ225="","","Consolidada"),"")</f>
        <v/>
      </c>
      <c r="D675" s="5" t="str">
        <f>IFERROR(IF(Portafolio_Proyectos!$AQ225="","",Portafolio_Proyectos!$C225),"")</f>
        <v/>
      </c>
      <c r="E675" s="5" t="str">
        <f>IFERROR(IF(Portafolio_Proyectos!$AQ225="","",Portafolio_Proyectos!$B225),"")</f>
        <v/>
      </c>
      <c r="F675" s="5" t="str">
        <f>IFERROR(IF(Portafolio_Proyectos!$AQ225="","",Portafolio_Proyectos!$D225),"")</f>
        <v/>
      </c>
      <c r="G675" s="5" t="str">
        <f>IFERROR(IF(Portafolio_Proyectos!$AQ225="","",Portafolio_Proyectos!$A225),"")</f>
        <v/>
      </c>
      <c r="H675" s="5" t="str">
        <f>IFERROR(IF(Portafolio_Proyectos!$AQ225="","",Portafolio_Proyectos!$E225),"")</f>
        <v/>
      </c>
    </row>
    <row r="676" spans="1:8" x14ac:dyDescent="0.35">
      <c r="A676" s="5" t="str">
        <f>IFERROR(IF(Portafolio_Proyectos!$AR225="","","CAP-"&amp;ROW()-1),"")</f>
        <v/>
      </c>
      <c r="B676" s="5" t="str">
        <f>IFERROR(IF(Portafolio_Proyectos!$AR225="","",Portafolio_Proyectos!$AR225),"")</f>
        <v/>
      </c>
      <c r="C676" s="5" t="str">
        <f>IFERROR(IF(Portafolio_Proyectos!$AR225="","","Distintiva"),"")</f>
        <v/>
      </c>
      <c r="D676" s="5" t="str">
        <f>IFERROR(IF(Portafolio_Proyectos!$AR225="","",Portafolio_Proyectos!$C225),"")</f>
        <v/>
      </c>
      <c r="E676" s="5" t="str">
        <f>IFERROR(IF(Portafolio_Proyectos!$AR225="","",Portafolio_Proyectos!$B225),"")</f>
        <v/>
      </c>
      <c r="F676" s="5" t="str">
        <f>IFERROR(IF(Portafolio_Proyectos!$AR225="","",Portafolio_Proyectos!$D225),"")</f>
        <v/>
      </c>
      <c r="G676" s="5" t="str">
        <f>IFERROR(IF(Portafolio_Proyectos!$AR225="","",Portafolio_Proyectos!$A225),"")</f>
        <v/>
      </c>
      <c r="H676" s="5" t="str">
        <f>IFERROR(IF(Portafolio_Proyectos!$AR225="","",Portafolio_Proyectos!$E225),"")</f>
        <v/>
      </c>
    </row>
    <row r="677" spans="1:8" x14ac:dyDescent="0.35">
      <c r="A677" s="5" t="str">
        <f>IFERROR(IF(Portafolio_Proyectos!$AP226="","","CAP-"&amp;ROW()-1),"")</f>
        <v/>
      </c>
      <c r="B677" s="5" t="str">
        <f>IFERROR(IF(Portafolio_Proyectos!$AP226="","",Portafolio_Proyectos!$AP226),"")</f>
        <v/>
      </c>
      <c r="C677" s="5" t="str">
        <f>IFERROR(IF(Portafolio_Proyectos!$AP226="","","Emergente"),"")</f>
        <v/>
      </c>
      <c r="D677" s="5" t="str">
        <f>IFERROR(IF(Portafolio_Proyectos!$AP226="","",Portafolio_Proyectos!$C226),"")</f>
        <v/>
      </c>
      <c r="E677" s="5" t="str">
        <f>IFERROR(IF(Portafolio_Proyectos!$AP226="","",Portafolio_Proyectos!$B226),"")</f>
        <v/>
      </c>
      <c r="F677" s="5" t="str">
        <f>IFERROR(IF(Portafolio_Proyectos!$AP226="","",Portafolio_Proyectos!$D226),"")</f>
        <v/>
      </c>
      <c r="G677" s="5" t="str">
        <f>IFERROR(IF(Portafolio_Proyectos!$AP226="","",Portafolio_Proyectos!$A226),"")</f>
        <v/>
      </c>
      <c r="H677" s="5" t="str">
        <f>IFERROR(IF(Portafolio_Proyectos!$AP226="","",Portafolio_Proyectos!$E226),"")</f>
        <v/>
      </c>
    </row>
    <row r="678" spans="1:8" x14ac:dyDescent="0.35">
      <c r="A678" s="5" t="str">
        <f>IFERROR(IF(Portafolio_Proyectos!$AQ226="","","CAP-"&amp;ROW()-1),"")</f>
        <v/>
      </c>
      <c r="B678" s="5" t="str">
        <f>IFERROR(IF(Portafolio_Proyectos!$AQ226="","",Portafolio_Proyectos!$AQ226),"")</f>
        <v/>
      </c>
      <c r="C678" s="5" t="str">
        <f>IFERROR(IF(Portafolio_Proyectos!$AQ226="","","Consolidada"),"")</f>
        <v/>
      </c>
      <c r="D678" s="5" t="str">
        <f>IFERROR(IF(Portafolio_Proyectos!$AQ226="","",Portafolio_Proyectos!$C226),"")</f>
        <v/>
      </c>
      <c r="E678" s="5" t="str">
        <f>IFERROR(IF(Portafolio_Proyectos!$AQ226="","",Portafolio_Proyectos!$B226),"")</f>
        <v/>
      </c>
      <c r="F678" s="5" t="str">
        <f>IFERROR(IF(Portafolio_Proyectos!$AQ226="","",Portafolio_Proyectos!$D226),"")</f>
        <v/>
      </c>
      <c r="G678" s="5" t="str">
        <f>IFERROR(IF(Portafolio_Proyectos!$AQ226="","",Portafolio_Proyectos!$A226),"")</f>
        <v/>
      </c>
      <c r="H678" s="5" t="str">
        <f>IFERROR(IF(Portafolio_Proyectos!$AQ226="","",Portafolio_Proyectos!$E226),"")</f>
        <v/>
      </c>
    </row>
    <row r="679" spans="1:8" x14ac:dyDescent="0.35">
      <c r="A679" s="5" t="str">
        <f>IFERROR(IF(Portafolio_Proyectos!$AR226="","","CAP-"&amp;ROW()-1),"")</f>
        <v/>
      </c>
      <c r="B679" s="5" t="str">
        <f>IFERROR(IF(Portafolio_Proyectos!$AR226="","",Portafolio_Proyectos!$AR226),"")</f>
        <v/>
      </c>
      <c r="C679" s="5" t="str">
        <f>IFERROR(IF(Portafolio_Proyectos!$AR226="","","Distintiva"),"")</f>
        <v/>
      </c>
      <c r="D679" s="5" t="str">
        <f>IFERROR(IF(Portafolio_Proyectos!$AR226="","",Portafolio_Proyectos!$C226),"")</f>
        <v/>
      </c>
      <c r="E679" s="5" t="str">
        <f>IFERROR(IF(Portafolio_Proyectos!$AR226="","",Portafolio_Proyectos!$B226),"")</f>
        <v/>
      </c>
      <c r="F679" s="5" t="str">
        <f>IFERROR(IF(Portafolio_Proyectos!$AR226="","",Portafolio_Proyectos!$D226),"")</f>
        <v/>
      </c>
      <c r="G679" s="5" t="str">
        <f>IFERROR(IF(Portafolio_Proyectos!$AR226="","",Portafolio_Proyectos!$A226),"")</f>
        <v/>
      </c>
      <c r="H679" s="5" t="str">
        <f>IFERROR(IF(Portafolio_Proyectos!$AR226="","",Portafolio_Proyectos!$E226),"")</f>
        <v/>
      </c>
    </row>
    <row r="680" spans="1:8" x14ac:dyDescent="0.35">
      <c r="A680" s="5" t="str">
        <f>IFERROR(IF(Portafolio_Proyectos!$AP227="","","CAP-"&amp;ROW()-1),"")</f>
        <v/>
      </c>
      <c r="B680" s="5" t="str">
        <f>IFERROR(IF(Portafolio_Proyectos!$AP227="","",Portafolio_Proyectos!$AP227),"")</f>
        <v/>
      </c>
      <c r="C680" s="5" t="str">
        <f>IFERROR(IF(Portafolio_Proyectos!$AP227="","","Emergente"),"")</f>
        <v/>
      </c>
      <c r="D680" s="5" t="str">
        <f>IFERROR(IF(Portafolio_Proyectos!$AP227="","",Portafolio_Proyectos!$C227),"")</f>
        <v/>
      </c>
      <c r="E680" s="5" t="str">
        <f>IFERROR(IF(Portafolio_Proyectos!$AP227="","",Portafolio_Proyectos!$B227),"")</f>
        <v/>
      </c>
      <c r="F680" s="5" t="str">
        <f>IFERROR(IF(Portafolio_Proyectos!$AP227="","",Portafolio_Proyectos!$D227),"")</f>
        <v/>
      </c>
      <c r="G680" s="5" t="str">
        <f>IFERROR(IF(Portafolio_Proyectos!$AP227="","",Portafolio_Proyectos!$A227),"")</f>
        <v/>
      </c>
      <c r="H680" s="5" t="str">
        <f>IFERROR(IF(Portafolio_Proyectos!$AP227="","",Portafolio_Proyectos!$E227),"")</f>
        <v/>
      </c>
    </row>
    <row r="681" spans="1:8" x14ac:dyDescent="0.35">
      <c r="A681" s="5" t="str">
        <f>IFERROR(IF(Portafolio_Proyectos!$AQ227="","","CAP-"&amp;ROW()-1),"")</f>
        <v/>
      </c>
      <c r="B681" s="5" t="str">
        <f>IFERROR(IF(Portafolio_Proyectos!$AQ227="","",Portafolio_Proyectos!$AQ227),"")</f>
        <v/>
      </c>
      <c r="C681" s="5" t="str">
        <f>IFERROR(IF(Portafolio_Proyectos!$AQ227="","","Consolidada"),"")</f>
        <v/>
      </c>
      <c r="D681" s="5" t="str">
        <f>IFERROR(IF(Portafolio_Proyectos!$AQ227="","",Portafolio_Proyectos!$C227),"")</f>
        <v/>
      </c>
      <c r="E681" s="5" t="str">
        <f>IFERROR(IF(Portafolio_Proyectos!$AQ227="","",Portafolio_Proyectos!$B227),"")</f>
        <v/>
      </c>
      <c r="F681" s="5" t="str">
        <f>IFERROR(IF(Portafolio_Proyectos!$AQ227="","",Portafolio_Proyectos!$D227),"")</f>
        <v/>
      </c>
      <c r="G681" s="5" t="str">
        <f>IFERROR(IF(Portafolio_Proyectos!$AQ227="","",Portafolio_Proyectos!$A227),"")</f>
        <v/>
      </c>
      <c r="H681" s="5" t="str">
        <f>IFERROR(IF(Portafolio_Proyectos!$AQ227="","",Portafolio_Proyectos!$E227),"")</f>
        <v/>
      </c>
    </row>
    <row r="682" spans="1:8" x14ac:dyDescent="0.35">
      <c r="A682" s="5" t="str">
        <f>IFERROR(IF(Portafolio_Proyectos!$AR227="","","CAP-"&amp;ROW()-1),"")</f>
        <v/>
      </c>
      <c r="B682" s="5" t="str">
        <f>IFERROR(IF(Portafolio_Proyectos!$AR227="","",Portafolio_Proyectos!$AR227),"")</f>
        <v/>
      </c>
      <c r="C682" s="5" t="str">
        <f>IFERROR(IF(Portafolio_Proyectos!$AR227="","","Distintiva"),"")</f>
        <v/>
      </c>
      <c r="D682" s="5" t="str">
        <f>IFERROR(IF(Portafolio_Proyectos!$AR227="","",Portafolio_Proyectos!$C227),"")</f>
        <v/>
      </c>
      <c r="E682" s="5" t="str">
        <f>IFERROR(IF(Portafolio_Proyectos!$AR227="","",Portafolio_Proyectos!$B227),"")</f>
        <v/>
      </c>
      <c r="F682" s="5" t="str">
        <f>IFERROR(IF(Portafolio_Proyectos!$AR227="","",Portafolio_Proyectos!$D227),"")</f>
        <v/>
      </c>
      <c r="G682" s="5" t="str">
        <f>IFERROR(IF(Portafolio_Proyectos!$AR227="","",Portafolio_Proyectos!$A227),"")</f>
        <v/>
      </c>
      <c r="H682" s="5" t="str">
        <f>IFERROR(IF(Portafolio_Proyectos!$AR227="","",Portafolio_Proyectos!$E227),"")</f>
        <v/>
      </c>
    </row>
    <row r="683" spans="1:8" x14ac:dyDescent="0.35">
      <c r="A683" s="5" t="str">
        <f>IFERROR(IF(Portafolio_Proyectos!$AP228="","","CAP-"&amp;ROW()-1),"")</f>
        <v/>
      </c>
      <c r="B683" s="5" t="str">
        <f>IFERROR(IF(Portafolio_Proyectos!$AP228="","",Portafolio_Proyectos!$AP228),"")</f>
        <v/>
      </c>
      <c r="C683" s="5" t="str">
        <f>IFERROR(IF(Portafolio_Proyectos!$AP228="","","Emergente"),"")</f>
        <v/>
      </c>
      <c r="D683" s="5" t="str">
        <f>IFERROR(IF(Portafolio_Proyectos!$AP228="","",Portafolio_Proyectos!$C228),"")</f>
        <v/>
      </c>
      <c r="E683" s="5" t="str">
        <f>IFERROR(IF(Portafolio_Proyectos!$AP228="","",Portafolio_Proyectos!$B228),"")</f>
        <v/>
      </c>
      <c r="F683" s="5" t="str">
        <f>IFERROR(IF(Portafolio_Proyectos!$AP228="","",Portafolio_Proyectos!$D228),"")</f>
        <v/>
      </c>
      <c r="G683" s="5" t="str">
        <f>IFERROR(IF(Portafolio_Proyectos!$AP228="","",Portafolio_Proyectos!$A228),"")</f>
        <v/>
      </c>
      <c r="H683" s="5" t="str">
        <f>IFERROR(IF(Portafolio_Proyectos!$AP228="","",Portafolio_Proyectos!$E228),"")</f>
        <v/>
      </c>
    </row>
    <row r="684" spans="1:8" x14ac:dyDescent="0.35">
      <c r="A684" s="5" t="str">
        <f>IFERROR(IF(Portafolio_Proyectos!$AQ228="","","CAP-"&amp;ROW()-1),"")</f>
        <v/>
      </c>
      <c r="B684" s="5" t="str">
        <f>IFERROR(IF(Portafolio_Proyectos!$AQ228="","",Portafolio_Proyectos!$AQ228),"")</f>
        <v/>
      </c>
      <c r="C684" s="5" t="str">
        <f>IFERROR(IF(Portafolio_Proyectos!$AQ228="","","Consolidada"),"")</f>
        <v/>
      </c>
      <c r="D684" s="5" t="str">
        <f>IFERROR(IF(Portafolio_Proyectos!$AQ228="","",Portafolio_Proyectos!$C228),"")</f>
        <v/>
      </c>
      <c r="E684" s="5" t="str">
        <f>IFERROR(IF(Portafolio_Proyectos!$AQ228="","",Portafolio_Proyectos!$B228),"")</f>
        <v/>
      </c>
      <c r="F684" s="5" t="str">
        <f>IFERROR(IF(Portafolio_Proyectos!$AQ228="","",Portafolio_Proyectos!$D228),"")</f>
        <v/>
      </c>
      <c r="G684" s="5" t="str">
        <f>IFERROR(IF(Portafolio_Proyectos!$AQ228="","",Portafolio_Proyectos!$A228),"")</f>
        <v/>
      </c>
      <c r="H684" s="5" t="str">
        <f>IFERROR(IF(Portafolio_Proyectos!$AQ228="","",Portafolio_Proyectos!$E228),"")</f>
        <v/>
      </c>
    </row>
    <row r="685" spans="1:8" x14ac:dyDescent="0.35">
      <c r="A685" s="5" t="str">
        <f>IFERROR(IF(Portafolio_Proyectos!$AR228="","","CAP-"&amp;ROW()-1),"")</f>
        <v/>
      </c>
      <c r="B685" s="5" t="str">
        <f>IFERROR(IF(Portafolio_Proyectos!$AR228="","",Portafolio_Proyectos!$AR228),"")</f>
        <v/>
      </c>
      <c r="C685" s="5" t="str">
        <f>IFERROR(IF(Portafolio_Proyectos!$AR228="","","Distintiva"),"")</f>
        <v/>
      </c>
      <c r="D685" s="5" t="str">
        <f>IFERROR(IF(Portafolio_Proyectos!$AR228="","",Portafolio_Proyectos!$C228),"")</f>
        <v/>
      </c>
      <c r="E685" s="5" t="str">
        <f>IFERROR(IF(Portafolio_Proyectos!$AR228="","",Portafolio_Proyectos!$B228),"")</f>
        <v/>
      </c>
      <c r="F685" s="5" t="str">
        <f>IFERROR(IF(Portafolio_Proyectos!$AR228="","",Portafolio_Proyectos!$D228),"")</f>
        <v/>
      </c>
      <c r="G685" s="5" t="str">
        <f>IFERROR(IF(Portafolio_Proyectos!$AR228="","",Portafolio_Proyectos!$A228),"")</f>
        <v/>
      </c>
      <c r="H685" s="5" t="str">
        <f>IFERROR(IF(Portafolio_Proyectos!$AR228="","",Portafolio_Proyectos!$E228),"")</f>
        <v/>
      </c>
    </row>
    <row r="686" spans="1:8" x14ac:dyDescent="0.35">
      <c r="A686" s="5" t="str">
        <f>IFERROR(IF(Portafolio_Proyectos!$AP229="","","CAP-"&amp;ROW()-1),"")</f>
        <v/>
      </c>
      <c r="B686" s="5" t="str">
        <f>IFERROR(IF(Portafolio_Proyectos!$AP229="","",Portafolio_Proyectos!$AP229),"")</f>
        <v/>
      </c>
      <c r="C686" s="5" t="str">
        <f>IFERROR(IF(Portafolio_Proyectos!$AP229="","","Emergente"),"")</f>
        <v/>
      </c>
      <c r="D686" s="5" t="str">
        <f>IFERROR(IF(Portafolio_Proyectos!$AP229="","",Portafolio_Proyectos!$C229),"")</f>
        <v/>
      </c>
      <c r="E686" s="5" t="str">
        <f>IFERROR(IF(Portafolio_Proyectos!$AP229="","",Portafolio_Proyectos!$B229),"")</f>
        <v/>
      </c>
      <c r="F686" s="5" t="str">
        <f>IFERROR(IF(Portafolio_Proyectos!$AP229="","",Portafolio_Proyectos!$D229),"")</f>
        <v/>
      </c>
      <c r="G686" s="5" t="str">
        <f>IFERROR(IF(Portafolio_Proyectos!$AP229="","",Portafolio_Proyectos!$A229),"")</f>
        <v/>
      </c>
      <c r="H686" s="5" t="str">
        <f>IFERROR(IF(Portafolio_Proyectos!$AP229="","",Portafolio_Proyectos!$E229),"")</f>
        <v/>
      </c>
    </row>
    <row r="687" spans="1:8" x14ac:dyDescent="0.35">
      <c r="A687" s="5" t="str">
        <f>IFERROR(IF(Portafolio_Proyectos!$AQ229="","","CAP-"&amp;ROW()-1),"")</f>
        <v/>
      </c>
      <c r="B687" s="5" t="str">
        <f>IFERROR(IF(Portafolio_Proyectos!$AQ229="","",Portafolio_Proyectos!$AQ229),"")</f>
        <v/>
      </c>
      <c r="C687" s="5" t="str">
        <f>IFERROR(IF(Portafolio_Proyectos!$AQ229="","","Consolidada"),"")</f>
        <v/>
      </c>
      <c r="D687" s="5" t="str">
        <f>IFERROR(IF(Portafolio_Proyectos!$AQ229="","",Portafolio_Proyectos!$C229),"")</f>
        <v/>
      </c>
      <c r="E687" s="5" t="str">
        <f>IFERROR(IF(Portafolio_Proyectos!$AQ229="","",Portafolio_Proyectos!$B229),"")</f>
        <v/>
      </c>
      <c r="F687" s="5" t="str">
        <f>IFERROR(IF(Portafolio_Proyectos!$AQ229="","",Portafolio_Proyectos!$D229),"")</f>
        <v/>
      </c>
      <c r="G687" s="5" t="str">
        <f>IFERROR(IF(Portafolio_Proyectos!$AQ229="","",Portafolio_Proyectos!$A229),"")</f>
        <v/>
      </c>
      <c r="H687" s="5" t="str">
        <f>IFERROR(IF(Portafolio_Proyectos!$AQ229="","",Portafolio_Proyectos!$E229),"")</f>
        <v/>
      </c>
    </row>
    <row r="688" spans="1:8" x14ac:dyDescent="0.35">
      <c r="A688" s="5" t="str">
        <f>IFERROR(IF(Portafolio_Proyectos!$AR229="","","CAP-"&amp;ROW()-1),"")</f>
        <v/>
      </c>
      <c r="B688" s="5" t="str">
        <f>IFERROR(IF(Portafolio_Proyectos!$AR229="","",Portafolio_Proyectos!$AR229),"")</f>
        <v/>
      </c>
      <c r="C688" s="5" t="str">
        <f>IFERROR(IF(Portafolio_Proyectos!$AR229="","","Distintiva"),"")</f>
        <v/>
      </c>
      <c r="D688" s="5" t="str">
        <f>IFERROR(IF(Portafolio_Proyectos!$AR229="","",Portafolio_Proyectos!$C229),"")</f>
        <v/>
      </c>
      <c r="E688" s="5" t="str">
        <f>IFERROR(IF(Portafolio_Proyectos!$AR229="","",Portafolio_Proyectos!$B229),"")</f>
        <v/>
      </c>
      <c r="F688" s="5" t="str">
        <f>IFERROR(IF(Portafolio_Proyectos!$AR229="","",Portafolio_Proyectos!$D229),"")</f>
        <v/>
      </c>
      <c r="G688" s="5" t="str">
        <f>IFERROR(IF(Portafolio_Proyectos!$AR229="","",Portafolio_Proyectos!$A229),"")</f>
        <v/>
      </c>
      <c r="H688" s="5" t="str">
        <f>IFERROR(IF(Portafolio_Proyectos!$AR229="","",Portafolio_Proyectos!$E229),"")</f>
        <v/>
      </c>
    </row>
    <row r="689" spans="1:8" x14ac:dyDescent="0.35">
      <c r="A689" s="5" t="str">
        <f>IFERROR(IF(Portafolio_Proyectos!$AP230="","","CAP-"&amp;ROW()-1),"")</f>
        <v/>
      </c>
      <c r="B689" s="5" t="str">
        <f>IFERROR(IF(Portafolio_Proyectos!$AP230="","",Portafolio_Proyectos!$AP230),"")</f>
        <v/>
      </c>
      <c r="C689" s="5" t="str">
        <f>IFERROR(IF(Portafolio_Proyectos!$AP230="","","Emergente"),"")</f>
        <v/>
      </c>
      <c r="D689" s="5" t="str">
        <f>IFERROR(IF(Portafolio_Proyectos!$AP230="","",Portafolio_Proyectos!$C230),"")</f>
        <v/>
      </c>
      <c r="E689" s="5" t="str">
        <f>IFERROR(IF(Portafolio_Proyectos!$AP230="","",Portafolio_Proyectos!$B230),"")</f>
        <v/>
      </c>
      <c r="F689" s="5" t="str">
        <f>IFERROR(IF(Portafolio_Proyectos!$AP230="","",Portafolio_Proyectos!$D230),"")</f>
        <v/>
      </c>
      <c r="G689" s="5" t="str">
        <f>IFERROR(IF(Portafolio_Proyectos!$AP230="","",Portafolio_Proyectos!$A230),"")</f>
        <v/>
      </c>
      <c r="H689" s="5" t="str">
        <f>IFERROR(IF(Portafolio_Proyectos!$AP230="","",Portafolio_Proyectos!$E230),"")</f>
        <v/>
      </c>
    </row>
    <row r="690" spans="1:8" x14ac:dyDescent="0.35">
      <c r="A690" s="5" t="str">
        <f>IFERROR(IF(Portafolio_Proyectos!$AQ230="","","CAP-"&amp;ROW()-1),"")</f>
        <v/>
      </c>
      <c r="B690" s="5" t="str">
        <f>IFERROR(IF(Portafolio_Proyectos!$AQ230="","",Portafolio_Proyectos!$AQ230),"")</f>
        <v/>
      </c>
      <c r="C690" s="5" t="str">
        <f>IFERROR(IF(Portafolio_Proyectos!$AQ230="","","Consolidada"),"")</f>
        <v/>
      </c>
      <c r="D690" s="5" t="str">
        <f>IFERROR(IF(Portafolio_Proyectos!$AQ230="","",Portafolio_Proyectos!$C230),"")</f>
        <v/>
      </c>
      <c r="E690" s="5" t="str">
        <f>IFERROR(IF(Portafolio_Proyectos!$AQ230="","",Portafolio_Proyectos!$B230),"")</f>
        <v/>
      </c>
      <c r="F690" s="5" t="str">
        <f>IFERROR(IF(Portafolio_Proyectos!$AQ230="","",Portafolio_Proyectos!$D230),"")</f>
        <v/>
      </c>
      <c r="G690" s="5" t="str">
        <f>IFERROR(IF(Portafolio_Proyectos!$AQ230="","",Portafolio_Proyectos!$A230),"")</f>
        <v/>
      </c>
      <c r="H690" s="5" t="str">
        <f>IFERROR(IF(Portafolio_Proyectos!$AQ230="","",Portafolio_Proyectos!$E230),"")</f>
        <v/>
      </c>
    </row>
    <row r="691" spans="1:8" x14ac:dyDescent="0.35">
      <c r="A691" s="5" t="str">
        <f>IFERROR(IF(Portafolio_Proyectos!$AR230="","","CAP-"&amp;ROW()-1),"")</f>
        <v/>
      </c>
      <c r="B691" s="5" t="str">
        <f>IFERROR(IF(Portafolio_Proyectos!$AR230="","",Portafolio_Proyectos!$AR230),"")</f>
        <v/>
      </c>
      <c r="C691" s="5" t="str">
        <f>IFERROR(IF(Portafolio_Proyectos!$AR230="","","Distintiva"),"")</f>
        <v/>
      </c>
      <c r="D691" s="5" t="str">
        <f>IFERROR(IF(Portafolio_Proyectos!$AR230="","",Portafolio_Proyectos!$C230),"")</f>
        <v/>
      </c>
      <c r="E691" s="5" t="str">
        <f>IFERROR(IF(Portafolio_Proyectos!$AR230="","",Portafolio_Proyectos!$B230),"")</f>
        <v/>
      </c>
      <c r="F691" s="5" t="str">
        <f>IFERROR(IF(Portafolio_Proyectos!$AR230="","",Portafolio_Proyectos!$D230),"")</f>
        <v/>
      </c>
      <c r="G691" s="5" t="str">
        <f>IFERROR(IF(Portafolio_Proyectos!$AR230="","",Portafolio_Proyectos!$A230),"")</f>
        <v/>
      </c>
      <c r="H691" s="5" t="str">
        <f>IFERROR(IF(Portafolio_Proyectos!$AR230="","",Portafolio_Proyectos!$E230),"")</f>
        <v/>
      </c>
    </row>
    <row r="692" spans="1:8" x14ac:dyDescent="0.35">
      <c r="A692" s="5" t="str">
        <f>IFERROR(IF(Portafolio_Proyectos!$AP231="","","CAP-"&amp;ROW()-1),"")</f>
        <v/>
      </c>
      <c r="B692" s="5" t="str">
        <f>IFERROR(IF(Portafolio_Proyectos!$AP231="","",Portafolio_Proyectos!$AP231),"")</f>
        <v/>
      </c>
      <c r="C692" s="5" t="str">
        <f>IFERROR(IF(Portafolio_Proyectos!$AP231="","","Emergente"),"")</f>
        <v/>
      </c>
      <c r="D692" s="5" t="str">
        <f>IFERROR(IF(Portafolio_Proyectos!$AP231="","",Portafolio_Proyectos!$C231),"")</f>
        <v/>
      </c>
      <c r="E692" s="5" t="str">
        <f>IFERROR(IF(Portafolio_Proyectos!$AP231="","",Portafolio_Proyectos!$B231),"")</f>
        <v/>
      </c>
      <c r="F692" s="5" t="str">
        <f>IFERROR(IF(Portafolio_Proyectos!$AP231="","",Portafolio_Proyectos!$D231),"")</f>
        <v/>
      </c>
      <c r="G692" s="5" t="str">
        <f>IFERROR(IF(Portafolio_Proyectos!$AP231="","",Portafolio_Proyectos!$A231),"")</f>
        <v/>
      </c>
      <c r="H692" s="5" t="str">
        <f>IFERROR(IF(Portafolio_Proyectos!$AP231="","",Portafolio_Proyectos!$E231),"")</f>
        <v/>
      </c>
    </row>
    <row r="693" spans="1:8" x14ac:dyDescent="0.35">
      <c r="A693" s="5" t="str">
        <f>IFERROR(IF(Portafolio_Proyectos!$AQ231="","","CAP-"&amp;ROW()-1),"")</f>
        <v/>
      </c>
      <c r="B693" s="5" t="str">
        <f>IFERROR(IF(Portafolio_Proyectos!$AQ231="","",Portafolio_Proyectos!$AQ231),"")</f>
        <v/>
      </c>
      <c r="C693" s="5" t="str">
        <f>IFERROR(IF(Portafolio_Proyectos!$AQ231="","","Consolidada"),"")</f>
        <v/>
      </c>
      <c r="D693" s="5" t="str">
        <f>IFERROR(IF(Portafolio_Proyectos!$AQ231="","",Portafolio_Proyectos!$C231),"")</f>
        <v/>
      </c>
      <c r="E693" s="5" t="str">
        <f>IFERROR(IF(Portafolio_Proyectos!$AQ231="","",Portafolio_Proyectos!$B231),"")</f>
        <v/>
      </c>
      <c r="F693" s="5" t="str">
        <f>IFERROR(IF(Portafolio_Proyectos!$AQ231="","",Portafolio_Proyectos!$D231),"")</f>
        <v/>
      </c>
      <c r="G693" s="5" t="str">
        <f>IFERROR(IF(Portafolio_Proyectos!$AQ231="","",Portafolio_Proyectos!$A231),"")</f>
        <v/>
      </c>
      <c r="H693" s="5" t="str">
        <f>IFERROR(IF(Portafolio_Proyectos!$AQ231="","",Portafolio_Proyectos!$E231),"")</f>
        <v/>
      </c>
    </row>
    <row r="694" spans="1:8" x14ac:dyDescent="0.35">
      <c r="A694" s="5" t="str">
        <f>IFERROR(IF(Portafolio_Proyectos!$AR231="","","CAP-"&amp;ROW()-1),"")</f>
        <v/>
      </c>
      <c r="B694" s="5" t="str">
        <f>IFERROR(IF(Portafolio_Proyectos!$AR231="","",Portafolio_Proyectos!$AR231),"")</f>
        <v/>
      </c>
      <c r="C694" s="5" t="str">
        <f>IFERROR(IF(Portafolio_Proyectos!$AR231="","","Distintiva"),"")</f>
        <v/>
      </c>
      <c r="D694" s="5" t="str">
        <f>IFERROR(IF(Portafolio_Proyectos!$AR231="","",Portafolio_Proyectos!$C231),"")</f>
        <v/>
      </c>
      <c r="E694" s="5" t="str">
        <f>IFERROR(IF(Portafolio_Proyectos!$AR231="","",Portafolio_Proyectos!$B231),"")</f>
        <v/>
      </c>
      <c r="F694" s="5" t="str">
        <f>IFERROR(IF(Portafolio_Proyectos!$AR231="","",Portafolio_Proyectos!$D231),"")</f>
        <v/>
      </c>
      <c r="G694" s="5" t="str">
        <f>IFERROR(IF(Portafolio_Proyectos!$AR231="","",Portafolio_Proyectos!$A231),"")</f>
        <v/>
      </c>
      <c r="H694" s="5" t="str">
        <f>IFERROR(IF(Portafolio_Proyectos!$AR231="","",Portafolio_Proyectos!$E231),"")</f>
        <v/>
      </c>
    </row>
    <row r="695" spans="1:8" x14ac:dyDescent="0.35">
      <c r="A695" s="5" t="str">
        <f>IFERROR(IF(Portafolio_Proyectos!$AP232="","","CAP-"&amp;ROW()-1),"")</f>
        <v/>
      </c>
      <c r="B695" s="5" t="str">
        <f>IFERROR(IF(Portafolio_Proyectos!$AP232="","",Portafolio_Proyectos!$AP232),"")</f>
        <v/>
      </c>
      <c r="C695" s="5" t="str">
        <f>IFERROR(IF(Portafolio_Proyectos!$AP232="","","Emergente"),"")</f>
        <v/>
      </c>
      <c r="D695" s="5" t="str">
        <f>IFERROR(IF(Portafolio_Proyectos!$AP232="","",Portafolio_Proyectos!$C232),"")</f>
        <v/>
      </c>
      <c r="E695" s="5" t="str">
        <f>IFERROR(IF(Portafolio_Proyectos!$AP232="","",Portafolio_Proyectos!$B232),"")</f>
        <v/>
      </c>
      <c r="F695" s="5" t="str">
        <f>IFERROR(IF(Portafolio_Proyectos!$AP232="","",Portafolio_Proyectos!$D232),"")</f>
        <v/>
      </c>
      <c r="G695" s="5" t="str">
        <f>IFERROR(IF(Portafolio_Proyectos!$AP232="","",Portafolio_Proyectos!$A232),"")</f>
        <v/>
      </c>
      <c r="H695" s="5" t="str">
        <f>IFERROR(IF(Portafolio_Proyectos!$AP232="","",Portafolio_Proyectos!$E232),"")</f>
        <v/>
      </c>
    </row>
    <row r="696" spans="1:8" x14ac:dyDescent="0.35">
      <c r="A696" s="5" t="str">
        <f>IFERROR(IF(Portafolio_Proyectos!$AQ232="","","CAP-"&amp;ROW()-1),"")</f>
        <v/>
      </c>
      <c r="B696" s="5" t="str">
        <f>IFERROR(IF(Portafolio_Proyectos!$AQ232="","",Portafolio_Proyectos!$AQ232),"")</f>
        <v/>
      </c>
      <c r="C696" s="5" t="str">
        <f>IFERROR(IF(Portafolio_Proyectos!$AQ232="","","Consolidada"),"")</f>
        <v/>
      </c>
      <c r="D696" s="5" t="str">
        <f>IFERROR(IF(Portafolio_Proyectos!$AQ232="","",Portafolio_Proyectos!$C232),"")</f>
        <v/>
      </c>
      <c r="E696" s="5" t="str">
        <f>IFERROR(IF(Portafolio_Proyectos!$AQ232="","",Portafolio_Proyectos!$B232),"")</f>
        <v/>
      </c>
      <c r="F696" s="5" t="str">
        <f>IFERROR(IF(Portafolio_Proyectos!$AQ232="","",Portafolio_Proyectos!$D232),"")</f>
        <v/>
      </c>
      <c r="G696" s="5" t="str">
        <f>IFERROR(IF(Portafolio_Proyectos!$AQ232="","",Portafolio_Proyectos!$A232),"")</f>
        <v/>
      </c>
      <c r="H696" s="5" t="str">
        <f>IFERROR(IF(Portafolio_Proyectos!$AQ232="","",Portafolio_Proyectos!$E232),"")</f>
        <v/>
      </c>
    </row>
    <row r="697" spans="1:8" x14ac:dyDescent="0.35">
      <c r="A697" s="5" t="str">
        <f>IFERROR(IF(Portafolio_Proyectos!$AR232="","","CAP-"&amp;ROW()-1),"")</f>
        <v/>
      </c>
      <c r="B697" s="5" t="str">
        <f>IFERROR(IF(Portafolio_Proyectos!$AR232="","",Portafolio_Proyectos!$AR232),"")</f>
        <v/>
      </c>
      <c r="C697" s="5" t="str">
        <f>IFERROR(IF(Portafolio_Proyectos!$AR232="","","Distintiva"),"")</f>
        <v/>
      </c>
      <c r="D697" s="5" t="str">
        <f>IFERROR(IF(Portafolio_Proyectos!$AR232="","",Portafolio_Proyectos!$C232),"")</f>
        <v/>
      </c>
      <c r="E697" s="5" t="str">
        <f>IFERROR(IF(Portafolio_Proyectos!$AR232="","",Portafolio_Proyectos!$B232),"")</f>
        <v/>
      </c>
      <c r="F697" s="5" t="str">
        <f>IFERROR(IF(Portafolio_Proyectos!$AR232="","",Portafolio_Proyectos!$D232),"")</f>
        <v/>
      </c>
      <c r="G697" s="5" t="str">
        <f>IFERROR(IF(Portafolio_Proyectos!$AR232="","",Portafolio_Proyectos!$A232),"")</f>
        <v/>
      </c>
      <c r="H697" s="5" t="str">
        <f>IFERROR(IF(Portafolio_Proyectos!$AR232="","",Portafolio_Proyectos!$E232),"")</f>
        <v/>
      </c>
    </row>
    <row r="698" spans="1:8" x14ac:dyDescent="0.35">
      <c r="A698" s="5" t="str">
        <f>IFERROR(IF(Portafolio_Proyectos!$AP233="","","CAP-"&amp;ROW()-1),"")</f>
        <v/>
      </c>
      <c r="B698" s="5" t="str">
        <f>IFERROR(IF(Portafolio_Proyectos!$AP233="","",Portafolio_Proyectos!$AP233),"")</f>
        <v/>
      </c>
      <c r="C698" s="5" t="str">
        <f>IFERROR(IF(Portafolio_Proyectos!$AP233="","","Emergente"),"")</f>
        <v/>
      </c>
      <c r="D698" s="5" t="str">
        <f>IFERROR(IF(Portafolio_Proyectos!$AP233="","",Portafolio_Proyectos!$C233),"")</f>
        <v/>
      </c>
      <c r="E698" s="5" t="str">
        <f>IFERROR(IF(Portafolio_Proyectos!$AP233="","",Portafolio_Proyectos!$B233),"")</f>
        <v/>
      </c>
      <c r="F698" s="5" t="str">
        <f>IFERROR(IF(Portafolio_Proyectos!$AP233="","",Portafolio_Proyectos!$D233),"")</f>
        <v/>
      </c>
      <c r="G698" s="5" t="str">
        <f>IFERROR(IF(Portafolio_Proyectos!$AP233="","",Portafolio_Proyectos!$A233),"")</f>
        <v/>
      </c>
      <c r="H698" s="5" t="str">
        <f>IFERROR(IF(Portafolio_Proyectos!$AP233="","",Portafolio_Proyectos!$E233),"")</f>
        <v/>
      </c>
    </row>
    <row r="699" spans="1:8" x14ac:dyDescent="0.35">
      <c r="A699" s="5" t="str">
        <f>IFERROR(IF(Portafolio_Proyectos!$AQ233="","","CAP-"&amp;ROW()-1),"")</f>
        <v/>
      </c>
      <c r="B699" s="5" t="str">
        <f>IFERROR(IF(Portafolio_Proyectos!$AQ233="","",Portafolio_Proyectos!$AQ233),"")</f>
        <v/>
      </c>
      <c r="C699" s="5" t="str">
        <f>IFERROR(IF(Portafolio_Proyectos!$AQ233="","","Consolidada"),"")</f>
        <v/>
      </c>
      <c r="D699" s="5" t="str">
        <f>IFERROR(IF(Portafolio_Proyectos!$AQ233="","",Portafolio_Proyectos!$C233),"")</f>
        <v/>
      </c>
      <c r="E699" s="5" t="str">
        <f>IFERROR(IF(Portafolio_Proyectos!$AQ233="","",Portafolio_Proyectos!$B233),"")</f>
        <v/>
      </c>
      <c r="F699" s="5" t="str">
        <f>IFERROR(IF(Portafolio_Proyectos!$AQ233="","",Portafolio_Proyectos!$D233),"")</f>
        <v/>
      </c>
      <c r="G699" s="5" t="str">
        <f>IFERROR(IF(Portafolio_Proyectos!$AQ233="","",Portafolio_Proyectos!$A233),"")</f>
        <v/>
      </c>
      <c r="H699" s="5" t="str">
        <f>IFERROR(IF(Portafolio_Proyectos!$AQ233="","",Portafolio_Proyectos!$E233),"")</f>
        <v/>
      </c>
    </row>
    <row r="700" spans="1:8" x14ac:dyDescent="0.35">
      <c r="A700" s="5" t="str">
        <f>IFERROR(IF(Portafolio_Proyectos!$AR233="","","CAP-"&amp;ROW()-1),"")</f>
        <v/>
      </c>
      <c r="B700" s="5" t="str">
        <f>IFERROR(IF(Portafolio_Proyectos!$AR233="","",Portafolio_Proyectos!$AR233),"")</f>
        <v/>
      </c>
      <c r="C700" s="5" t="str">
        <f>IFERROR(IF(Portafolio_Proyectos!$AR233="","","Distintiva"),"")</f>
        <v/>
      </c>
      <c r="D700" s="5" t="str">
        <f>IFERROR(IF(Portafolio_Proyectos!$AR233="","",Portafolio_Proyectos!$C233),"")</f>
        <v/>
      </c>
      <c r="E700" s="5" t="str">
        <f>IFERROR(IF(Portafolio_Proyectos!$AR233="","",Portafolio_Proyectos!$B233),"")</f>
        <v/>
      </c>
      <c r="F700" s="5" t="str">
        <f>IFERROR(IF(Portafolio_Proyectos!$AR233="","",Portafolio_Proyectos!$D233),"")</f>
        <v/>
      </c>
      <c r="G700" s="5" t="str">
        <f>IFERROR(IF(Portafolio_Proyectos!$AR233="","",Portafolio_Proyectos!$A233),"")</f>
        <v/>
      </c>
      <c r="H700" s="5" t="str">
        <f>IFERROR(IF(Portafolio_Proyectos!$AR233="","",Portafolio_Proyectos!$E233),"")</f>
        <v/>
      </c>
    </row>
    <row r="701" spans="1:8" x14ac:dyDescent="0.35">
      <c r="A701" s="5" t="str">
        <f>IFERROR(IF(Portafolio_Proyectos!$AP234="","","CAP-"&amp;ROW()-1),"")</f>
        <v/>
      </c>
      <c r="B701" s="5" t="str">
        <f>IFERROR(IF(Portafolio_Proyectos!$AP234="","",Portafolio_Proyectos!$AP234),"")</f>
        <v/>
      </c>
      <c r="C701" s="5" t="str">
        <f>IFERROR(IF(Portafolio_Proyectos!$AP234="","","Emergente"),"")</f>
        <v/>
      </c>
      <c r="D701" s="5" t="str">
        <f>IFERROR(IF(Portafolio_Proyectos!$AP234="","",Portafolio_Proyectos!$C234),"")</f>
        <v/>
      </c>
      <c r="E701" s="5" t="str">
        <f>IFERROR(IF(Portafolio_Proyectos!$AP234="","",Portafolio_Proyectos!$B234),"")</f>
        <v/>
      </c>
      <c r="F701" s="5" t="str">
        <f>IFERROR(IF(Portafolio_Proyectos!$AP234="","",Portafolio_Proyectos!$D234),"")</f>
        <v/>
      </c>
      <c r="G701" s="5" t="str">
        <f>IFERROR(IF(Portafolio_Proyectos!$AP234="","",Portafolio_Proyectos!$A234),"")</f>
        <v/>
      </c>
      <c r="H701" s="5" t="str">
        <f>IFERROR(IF(Portafolio_Proyectos!$AP234="","",Portafolio_Proyectos!$E234),"")</f>
        <v/>
      </c>
    </row>
    <row r="702" spans="1:8" x14ac:dyDescent="0.35">
      <c r="A702" s="5" t="str">
        <f>IFERROR(IF(Portafolio_Proyectos!$AQ234="","","CAP-"&amp;ROW()-1),"")</f>
        <v/>
      </c>
      <c r="B702" s="5" t="str">
        <f>IFERROR(IF(Portafolio_Proyectos!$AQ234="","",Portafolio_Proyectos!$AQ234),"")</f>
        <v/>
      </c>
      <c r="C702" s="5" t="str">
        <f>IFERROR(IF(Portafolio_Proyectos!$AQ234="","","Consolidada"),"")</f>
        <v/>
      </c>
      <c r="D702" s="5" t="str">
        <f>IFERROR(IF(Portafolio_Proyectos!$AQ234="","",Portafolio_Proyectos!$C234),"")</f>
        <v/>
      </c>
      <c r="E702" s="5" t="str">
        <f>IFERROR(IF(Portafolio_Proyectos!$AQ234="","",Portafolio_Proyectos!$B234),"")</f>
        <v/>
      </c>
      <c r="F702" s="5" t="str">
        <f>IFERROR(IF(Portafolio_Proyectos!$AQ234="","",Portafolio_Proyectos!$D234),"")</f>
        <v/>
      </c>
      <c r="G702" s="5" t="str">
        <f>IFERROR(IF(Portafolio_Proyectos!$AQ234="","",Portafolio_Proyectos!$A234),"")</f>
        <v/>
      </c>
      <c r="H702" s="5" t="str">
        <f>IFERROR(IF(Portafolio_Proyectos!$AQ234="","",Portafolio_Proyectos!$E234),"")</f>
        <v/>
      </c>
    </row>
    <row r="703" spans="1:8" x14ac:dyDescent="0.35">
      <c r="A703" s="5" t="str">
        <f>IFERROR(IF(Portafolio_Proyectos!$AR234="","","CAP-"&amp;ROW()-1),"")</f>
        <v/>
      </c>
      <c r="B703" s="5" t="str">
        <f>IFERROR(IF(Portafolio_Proyectos!$AR234="","",Portafolio_Proyectos!$AR234),"")</f>
        <v/>
      </c>
      <c r="C703" s="5" t="str">
        <f>IFERROR(IF(Portafolio_Proyectos!$AR234="","","Distintiva"),"")</f>
        <v/>
      </c>
      <c r="D703" s="5" t="str">
        <f>IFERROR(IF(Portafolio_Proyectos!$AR234="","",Portafolio_Proyectos!$C234),"")</f>
        <v/>
      </c>
      <c r="E703" s="5" t="str">
        <f>IFERROR(IF(Portafolio_Proyectos!$AR234="","",Portafolio_Proyectos!$B234),"")</f>
        <v/>
      </c>
      <c r="F703" s="5" t="str">
        <f>IFERROR(IF(Portafolio_Proyectos!$AR234="","",Portafolio_Proyectos!$D234),"")</f>
        <v/>
      </c>
      <c r="G703" s="5" t="str">
        <f>IFERROR(IF(Portafolio_Proyectos!$AR234="","",Portafolio_Proyectos!$A234),"")</f>
        <v/>
      </c>
      <c r="H703" s="5" t="str">
        <f>IFERROR(IF(Portafolio_Proyectos!$AR234="","",Portafolio_Proyectos!$E234),"")</f>
        <v/>
      </c>
    </row>
    <row r="704" spans="1:8" x14ac:dyDescent="0.35">
      <c r="A704" s="5" t="str">
        <f>IFERROR(IF(Portafolio_Proyectos!$AP235="","","CAP-"&amp;ROW()-1),"")</f>
        <v/>
      </c>
      <c r="B704" s="5" t="str">
        <f>IFERROR(IF(Portafolio_Proyectos!$AP235="","",Portafolio_Proyectos!$AP235),"")</f>
        <v/>
      </c>
      <c r="C704" s="5" t="str">
        <f>IFERROR(IF(Portafolio_Proyectos!$AP235="","","Emergente"),"")</f>
        <v/>
      </c>
      <c r="D704" s="5" t="str">
        <f>IFERROR(IF(Portafolio_Proyectos!$AP235="","",Portafolio_Proyectos!$C235),"")</f>
        <v/>
      </c>
      <c r="E704" s="5" t="str">
        <f>IFERROR(IF(Portafolio_Proyectos!$AP235="","",Portafolio_Proyectos!$B235),"")</f>
        <v/>
      </c>
      <c r="F704" s="5" t="str">
        <f>IFERROR(IF(Portafolio_Proyectos!$AP235="","",Portafolio_Proyectos!$D235),"")</f>
        <v/>
      </c>
      <c r="G704" s="5" t="str">
        <f>IFERROR(IF(Portafolio_Proyectos!$AP235="","",Portafolio_Proyectos!$A235),"")</f>
        <v/>
      </c>
      <c r="H704" s="5" t="str">
        <f>IFERROR(IF(Portafolio_Proyectos!$AP235="","",Portafolio_Proyectos!$E235),"")</f>
        <v/>
      </c>
    </row>
    <row r="705" spans="1:8" x14ac:dyDescent="0.35">
      <c r="A705" s="5" t="str">
        <f>IFERROR(IF(Portafolio_Proyectos!$AQ235="","","CAP-"&amp;ROW()-1),"")</f>
        <v/>
      </c>
      <c r="B705" s="5" t="str">
        <f>IFERROR(IF(Portafolio_Proyectos!$AQ235="","",Portafolio_Proyectos!$AQ235),"")</f>
        <v/>
      </c>
      <c r="C705" s="5" t="str">
        <f>IFERROR(IF(Portafolio_Proyectos!$AQ235="","","Consolidada"),"")</f>
        <v/>
      </c>
      <c r="D705" s="5" t="str">
        <f>IFERROR(IF(Portafolio_Proyectos!$AQ235="","",Portafolio_Proyectos!$C235),"")</f>
        <v/>
      </c>
      <c r="E705" s="5" t="str">
        <f>IFERROR(IF(Portafolio_Proyectos!$AQ235="","",Portafolio_Proyectos!$B235),"")</f>
        <v/>
      </c>
      <c r="F705" s="5" t="str">
        <f>IFERROR(IF(Portafolio_Proyectos!$AQ235="","",Portafolio_Proyectos!$D235),"")</f>
        <v/>
      </c>
      <c r="G705" s="5" t="str">
        <f>IFERROR(IF(Portafolio_Proyectos!$AQ235="","",Portafolio_Proyectos!$A235),"")</f>
        <v/>
      </c>
      <c r="H705" s="5" t="str">
        <f>IFERROR(IF(Portafolio_Proyectos!$AQ235="","",Portafolio_Proyectos!$E235),"")</f>
        <v/>
      </c>
    </row>
    <row r="706" spans="1:8" x14ac:dyDescent="0.35">
      <c r="A706" s="5" t="str">
        <f>IFERROR(IF(Portafolio_Proyectos!$AR235="","","CAP-"&amp;ROW()-1),"")</f>
        <v/>
      </c>
      <c r="B706" s="5" t="str">
        <f>IFERROR(IF(Portafolio_Proyectos!$AR235="","",Portafolio_Proyectos!$AR235),"")</f>
        <v/>
      </c>
      <c r="C706" s="5" t="str">
        <f>IFERROR(IF(Portafolio_Proyectos!$AR235="","","Distintiva"),"")</f>
        <v/>
      </c>
      <c r="D706" s="5" t="str">
        <f>IFERROR(IF(Portafolio_Proyectos!$AR235="","",Portafolio_Proyectos!$C235),"")</f>
        <v/>
      </c>
      <c r="E706" s="5" t="str">
        <f>IFERROR(IF(Portafolio_Proyectos!$AR235="","",Portafolio_Proyectos!$B235),"")</f>
        <v/>
      </c>
      <c r="F706" s="5" t="str">
        <f>IFERROR(IF(Portafolio_Proyectos!$AR235="","",Portafolio_Proyectos!$D235),"")</f>
        <v/>
      </c>
      <c r="G706" s="5" t="str">
        <f>IFERROR(IF(Portafolio_Proyectos!$AR235="","",Portafolio_Proyectos!$A235),"")</f>
        <v/>
      </c>
      <c r="H706" s="5" t="str">
        <f>IFERROR(IF(Portafolio_Proyectos!$AR235="","",Portafolio_Proyectos!$E235),"")</f>
        <v/>
      </c>
    </row>
    <row r="707" spans="1:8" x14ac:dyDescent="0.35">
      <c r="A707" s="5" t="str">
        <f>IFERROR(IF(Portafolio_Proyectos!$AP236="","","CAP-"&amp;ROW()-1),"")</f>
        <v/>
      </c>
      <c r="B707" s="5" t="str">
        <f>IFERROR(IF(Portafolio_Proyectos!$AP236="","",Portafolio_Proyectos!$AP236),"")</f>
        <v/>
      </c>
      <c r="C707" s="5" t="str">
        <f>IFERROR(IF(Portafolio_Proyectos!$AP236="","","Emergente"),"")</f>
        <v/>
      </c>
      <c r="D707" s="5" t="str">
        <f>IFERROR(IF(Portafolio_Proyectos!$AP236="","",Portafolio_Proyectos!$C236),"")</f>
        <v/>
      </c>
      <c r="E707" s="5" t="str">
        <f>IFERROR(IF(Portafolio_Proyectos!$AP236="","",Portafolio_Proyectos!$B236),"")</f>
        <v/>
      </c>
      <c r="F707" s="5" t="str">
        <f>IFERROR(IF(Portafolio_Proyectos!$AP236="","",Portafolio_Proyectos!$D236),"")</f>
        <v/>
      </c>
      <c r="G707" s="5" t="str">
        <f>IFERROR(IF(Portafolio_Proyectos!$AP236="","",Portafolio_Proyectos!$A236),"")</f>
        <v/>
      </c>
      <c r="H707" s="5" t="str">
        <f>IFERROR(IF(Portafolio_Proyectos!$AP236="","",Portafolio_Proyectos!$E236),"")</f>
        <v/>
      </c>
    </row>
    <row r="708" spans="1:8" x14ac:dyDescent="0.35">
      <c r="A708" s="5" t="str">
        <f>IFERROR(IF(Portafolio_Proyectos!$AQ236="","","CAP-"&amp;ROW()-1),"")</f>
        <v/>
      </c>
      <c r="B708" s="5" t="str">
        <f>IFERROR(IF(Portafolio_Proyectos!$AQ236="","",Portafolio_Proyectos!$AQ236),"")</f>
        <v/>
      </c>
      <c r="C708" s="5" t="str">
        <f>IFERROR(IF(Portafolio_Proyectos!$AQ236="","","Consolidada"),"")</f>
        <v/>
      </c>
      <c r="D708" s="5" t="str">
        <f>IFERROR(IF(Portafolio_Proyectos!$AQ236="","",Portafolio_Proyectos!$C236),"")</f>
        <v/>
      </c>
      <c r="E708" s="5" t="str">
        <f>IFERROR(IF(Portafolio_Proyectos!$AQ236="","",Portafolio_Proyectos!$B236),"")</f>
        <v/>
      </c>
      <c r="F708" s="5" t="str">
        <f>IFERROR(IF(Portafolio_Proyectos!$AQ236="","",Portafolio_Proyectos!$D236),"")</f>
        <v/>
      </c>
      <c r="G708" s="5" t="str">
        <f>IFERROR(IF(Portafolio_Proyectos!$AQ236="","",Portafolio_Proyectos!$A236),"")</f>
        <v/>
      </c>
      <c r="H708" s="5" t="str">
        <f>IFERROR(IF(Portafolio_Proyectos!$AQ236="","",Portafolio_Proyectos!$E236),"")</f>
        <v/>
      </c>
    </row>
    <row r="709" spans="1:8" x14ac:dyDescent="0.35">
      <c r="A709" s="5" t="str">
        <f>IFERROR(IF(Portafolio_Proyectos!$AR236="","","CAP-"&amp;ROW()-1),"")</f>
        <v/>
      </c>
      <c r="B709" s="5" t="str">
        <f>IFERROR(IF(Portafolio_Proyectos!$AR236="","",Portafolio_Proyectos!$AR236),"")</f>
        <v/>
      </c>
      <c r="C709" s="5" t="str">
        <f>IFERROR(IF(Portafolio_Proyectos!$AR236="","","Distintiva"),"")</f>
        <v/>
      </c>
      <c r="D709" s="5" t="str">
        <f>IFERROR(IF(Portafolio_Proyectos!$AR236="","",Portafolio_Proyectos!$C236),"")</f>
        <v/>
      </c>
      <c r="E709" s="5" t="str">
        <f>IFERROR(IF(Portafolio_Proyectos!$AR236="","",Portafolio_Proyectos!$B236),"")</f>
        <v/>
      </c>
      <c r="F709" s="5" t="str">
        <f>IFERROR(IF(Portafolio_Proyectos!$AR236="","",Portafolio_Proyectos!$D236),"")</f>
        <v/>
      </c>
      <c r="G709" s="5" t="str">
        <f>IFERROR(IF(Portafolio_Proyectos!$AR236="","",Portafolio_Proyectos!$A236),"")</f>
        <v/>
      </c>
      <c r="H709" s="5" t="str">
        <f>IFERROR(IF(Portafolio_Proyectos!$AR236="","",Portafolio_Proyectos!$E236),"")</f>
        <v/>
      </c>
    </row>
    <row r="710" spans="1:8" x14ac:dyDescent="0.35">
      <c r="A710" s="5" t="str">
        <f>IFERROR(IF(Portafolio_Proyectos!$AP237="","","CAP-"&amp;ROW()-1),"")</f>
        <v/>
      </c>
      <c r="B710" s="5" t="str">
        <f>IFERROR(IF(Portafolio_Proyectos!$AP237="","",Portafolio_Proyectos!$AP237),"")</f>
        <v/>
      </c>
      <c r="C710" s="5" t="str">
        <f>IFERROR(IF(Portafolio_Proyectos!$AP237="","","Emergente"),"")</f>
        <v/>
      </c>
      <c r="D710" s="5" t="str">
        <f>IFERROR(IF(Portafolio_Proyectos!$AP237="","",Portafolio_Proyectos!$C237),"")</f>
        <v/>
      </c>
      <c r="E710" s="5" t="str">
        <f>IFERROR(IF(Portafolio_Proyectos!$AP237="","",Portafolio_Proyectos!$B237),"")</f>
        <v/>
      </c>
      <c r="F710" s="5" t="str">
        <f>IFERROR(IF(Portafolio_Proyectos!$AP237="","",Portafolio_Proyectos!$D237),"")</f>
        <v/>
      </c>
      <c r="G710" s="5" t="str">
        <f>IFERROR(IF(Portafolio_Proyectos!$AP237="","",Portafolio_Proyectos!$A237),"")</f>
        <v/>
      </c>
      <c r="H710" s="5" t="str">
        <f>IFERROR(IF(Portafolio_Proyectos!$AP237="","",Portafolio_Proyectos!$E237),"")</f>
        <v/>
      </c>
    </row>
    <row r="711" spans="1:8" x14ac:dyDescent="0.35">
      <c r="A711" s="5" t="str">
        <f>IFERROR(IF(Portafolio_Proyectos!$AQ237="","","CAP-"&amp;ROW()-1),"")</f>
        <v/>
      </c>
      <c r="B711" s="5" t="str">
        <f>IFERROR(IF(Portafolio_Proyectos!$AQ237="","",Portafolio_Proyectos!$AQ237),"")</f>
        <v/>
      </c>
      <c r="C711" s="5" t="str">
        <f>IFERROR(IF(Portafolio_Proyectos!$AQ237="","","Consolidada"),"")</f>
        <v/>
      </c>
      <c r="D711" s="5" t="str">
        <f>IFERROR(IF(Portafolio_Proyectos!$AQ237="","",Portafolio_Proyectos!$C237),"")</f>
        <v/>
      </c>
      <c r="E711" s="5" t="str">
        <f>IFERROR(IF(Portafolio_Proyectos!$AQ237="","",Portafolio_Proyectos!$B237),"")</f>
        <v/>
      </c>
      <c r="F711" s="5" t="str">
        <f>IFERROR(IF(Portafolio_Proyectos!$AQ237="","",Portafolio_Proyectos!$D237),"")</f>
        <v/>
      </c>
      <c r="G711" s="5" t="str">
        <f>IFERROR(IF(Portafolio_Proyectos!$AQ237="","",Portafolio_Proyectos!$A237),"")</f>
        <v/>
      </c>
      <c r="H711" s="5" t="str">
        <f>IFERROR(IF(Portafolio_Proyectos!$AQ237="","",Portafolio_Proyectos!$E237),"")</f>
        <v/>
      </c>
    </row>
    <row r="712" spans="1:8" x14ac:dyDescent="0.35">
      <c r="A712" s="5" t="str">
        <f>IFERROR(IF(Portafolio_Proyectos!$AR237="","","CAP-"&amp;ROW()-1),"")</f>
        <v/>
      </c>
      <c r="B712" s="5" t="str">
        <f>IFERROR(IF(Portafolio_Proyectos!$AR237="","",Portafolio_Proyectos!$AR237),"")</f>
        <v/>
      </c>
      <c r="C712" s="5" t="str">
        <f>IFERROR(IF(Portafolio_Proyectos!$AR237="","","Distintiva"),"")</f>
        <v/>
      </c>
      <c r="D712" s="5" t="str">
        <f>IFERROR(IF(Portafolio_Proyectos!$AR237="","",Portafolio_Proyectos!$C237),"")</f>
        <v/>
      </c>
      <c r="E712" s="5" t="str">
        <f>IFERROR(IF(Portafolio_Proyectos!$AR237="","",Portafolio_Proyectos!$B237),"")</f>
        <v/>
      </c>
      <c r="F712" s="5" t="str">
        <f>IFERROR(IF(Portafolio_Proyectos!$AR237="","",Portafolio_Proyectos!$D237),"")</f>
        <v/>
      </c>
      <c r="G712" s="5" t="str">
        <f>IFERROR(IF(Portafolio_Proyectos!$AR237="","",Portafolio_Proyectos!$A237),"")</f>
        <v/>
      </c>
      <c r="H712" s="5" t="str">
        <f>IFERROR(IF(Portafolio_Proyectos!$AR237="","",Portafolio_Proyectos!$E237),"")</f>
        <v/>
      </c>
    </row>
    <row r="713" spans="1:8" x14ac:dyDescent="0.35">
      <c r="A713" s="5" t="str">
        <f>IFERROR(IF(Portafolio_Proyectos!$AP238="","","CAP-"&amp;ROW()-1),"")</f>
        <v/>
      </c>
      <c r="B713" s="5" t="str">
        <f>IFERROR(IF(Portafolio_Proyectos!$AP238="","",Portafolio_Proyectos!$AP238),"")</f>
        <v/>
      </c>
      <c r="C713" s="5" t="str">
        <f>IFERROR(IF(Portafolio_Proyectos!$AP238="","","Emergente"),"")</f>
        <v/>
      </c>
      <c r="D713" s="5" t="str">
        <f>IFERROR(IF(Portafolio_Proyectos!$AP238="","",Portafolio_Proyectos!$C238),"")</f>
        <v/>
      </c>
      <c r="E713" s="5" t="str">
        <f>IFERROR(IF(Portafolio_Proyectos!$AP238="","",Portafolio_Proyectos!$B238),"")</f>
        <v/>
      </c>
      <c r="F713" s="5" t="str">
        <f>IFERROR(IF(Portafolio_Proyectos!$AP238="","",Portafolio_Proyectos!$D238),"")</f>
        <v/>
      </c>
      <c r="G713" s="5" t="str">
        <f>IFERROR(IF(Portafolio_Proyectos!$AP238="","",Portafolio_Proyectos!$A238),"")</f>
        <v/>
      </c>
      <c r="H713" s="5" t="str">
        <f>IFERROR(IF(Portafolio_Proyectos!$AP238="","",Portafolio_Proyectos!$E238),"")</f>
        <v/>
      </c>
    </row>
    <row r="714" spans="1:8" x14ac:dyDescent="0.35">
      <c r="A714" s="5" t="str">
        <f>IFERROR(IF(Portafolio_Proyectos!$AQ238="","","CAP-"&amp;ROW()-1),"")</f>
        <v/>
      </c>
      <c r="B714" s="5" t="str">
        <f>IFERROR(IF(Portafolio_Proyectos!$AQ238="","",Portafolio_Proyectos!$AQ238),"")</f>
        <v/>
      </c>
      <c r="C714" s="5" t="str">
        <f>IFERROR(IF(Portafolio_Proyectos!$AQ238="","","Consolidada"),"")</f>
        <v/>
      </c>
      <c r="D714" s="5" t="str">
        <f>IFERROR(IF(Portafolio_Proyectos!$AQ238="","",Portafolio_Proyectos!$C238),"")</f>
        <v/>
      </c>
      <c r="E714" s="5" t="str">
        <f>IFERROR(IF(Portafolio_Proyectos!$AQ238="","",Portafolio_Proyectos!$B238),"")</f>
        <v/>
      </c>
      <c r="F714" s="5" t="str">
        <f>IFERROR(IF(Portafolio_Proyectos!$AQ238="","",Portafolio_Proyectos!$D238),"")</f>
        <v/>
      </c>
      <c r="G714" s="5" t="str">
        <f>IFERROR(IF(Portafolio_Proyectos!$AQ238="","",Portafolio_Proyectos!$A238),"")</f>
        <v/>
      </c>
      <c r="H714" s="5" t="str">
        <f>IFERROR(IF(Portafolio_Proyectos!$AQ238="","",Portafolio_Proyectos!$E238),"")</f>
        <v/>
      </c>
    </row>
    <row r="715" spans="1:8" x14ac:dyDescent="0.35">
      <c r="A715" s="5" t="str">
        <f>IFERROR(IF(Portafolio_Proyectos!$AR238="","","CAP-"&amp;ROW()-1),"")</f>
        <v/>
      </c>
      <c r="B715" s="5" t="str">
        <f>IFERROR(IF(Portafolio_Proyectos!$AR238="","",Portafolio_Proyectos!$AR238),"")</f>
        <v/>
      </c>
      <c r="C715" s="5" t="str">
        <f>IFERROR(IF(Portafolio_Proyectos!$AR238="","","Distintiva"),"")</f>
        <v/>
      </c>
      <c r="D715" s="5" t="str">
        <f>IFERROR(IF(Portafolio_Proyectos!$AR238="","",Portafolio_Proyectos!$C238),"")</f>
        <v/>
      </c>
      <c r="E715" s="5" t="str">
        <f>IFERROR(IF(Portafolio_Proyectos!$AR238="","",Portafolio_Proyectos!$B238),"")</f>
        <v/>
      </c>
      <c r="F715" s="5" t="str">
        <f>IFERROR(IF(Portafolio_Proyectos!$AR238="","",Portafolio_Proyectos!$D238),"")</f>
        <v/>
      </c>
      <c r="G715" s="5" t="str">
        <f>IFERROR(IF(Portafolio_Proyectos!$AR238="","",Portafolio_Proyectos!$A238),"")</f>
        <v/>
      </c>
      <c r="H715" s="5" t="str">
        <f>IFERROR(IF(Portafolio_Proyectos!$AR238="","",Portafolio_Proyectos!$E238),"")</f>
        <v/>
      </c>
    </row>
    <row r="716" spans="1:8" x14ac:dyDescent="0.35">
      <c r="A716" s="5" t="str">
        <f>IFERROR(IF(Portafolio_Proyectos!$AP239="","","CAP-"&amp;ROW()-1),"")</f>
        <v/>
      </c>
      <c r="B716" s="5" t="str">
        <f>IFERROR(IF(Portafolio_Proyectos!$AP239="","",Portafolio_Proyectos!$AP239),"")</f>
        <v/>
      </c>
      <c r="C716" s="5" t="str">
        <f>IFERROR(IF(Portafolio_Proyectos!$AP239="","","Emergente"),"")</f>
        <v/>
      </c>
      <c r="D716" s="5" t="str">
        <f>IFERROR(IF(Portafolio_Proyectos!$AP239="","",Portafolio_Proyectos!$C239),"")</f>
        <v/>
      </c>
      <c r="E716" s="5" t="str">
        <f>IFERROR(IF(Portafolio_Proyectos!$AP239="","",Portafolio_Proyectos!$B239),"")</f>
        <v/>
      </c>
      <c r="F716" s="5" t="str">
        <f>IFERROR(IF(Portafolio_Proyectos!$AP239="","",Portafolio_Proyectos!$D239),"")</f>
        <v/>
      </c>
      <c r="G716" s="5" t="str">
        <f>IFERROR(IF(Portafolio_Proyectos!$AP239="","",Portafolio_Proyectos!$A239),"")</f>
        <v/>
      </c>
      <c r="H716" s="5" t="str">
        <f>IFERROR(IF(Portafolio_Proyectos!$AP239="","",Portafolio_Proyectos!$E239),"")</f>
        <v/>
      </c>
    </row>
    <row r="717" spans="1:8" x14ac:dyDescent="0.35">
      <c r="A717" s="5" t="str">
        <f>IFERROR(IF(Portafolio_Proyectos!$AQ239="","","CAP-"&amp;ROW()-1),"")</f>
        <v/>
      </c>
      <c r="B717" s="5" t="str">
        <f>IFERROR(IF(Portafolio_Proyectos!$AQ239="","",Portafolio_Proyectos!$AQ239),"")</f>
        <v/>
      </c>
      <c r="C717" s="5" t="str">
        <f>IFERROR(IF(Portafolio_Proyectos!$AQ239="","","Consolidada"),"")</f>
        <v/>
      </c>
      <c r="D717" s="5" t="str">
        <f>IFERROR(IF(Portafolio_Proyectos!$AQ239="","",Portafolio_Proyectos!$C239),"")</f>
        <v/>
      </c>
      <c r="E717" s="5" t="str">
        <f>IFERROR(IF(Portafolio_Proyectos!$AQ239="","",Portafolio_Proyectos!$B239),"")</f>
        <v/>
      </c>
      <c r="F717" s="5" t="str">
        <f>IFERROR(IF(Portafolio_Proyectos!$AQ239="","",Portafolio_Proyectos!$D239),"")</f>
        <v/>
      </c>
      <c r="G717" s="5" t="str">
        <f>IFERROR(IF(Portafolio_Proyectos!$AQ239="","",Portafolio_Proyectos!$A239),"")</f>
        <v/>
      </c>
      <c r="H717" s="5" t="str">
        <f>IFERROR(IF(Portafolio_Proyectos!$AQ239="","",Portafolio_Proyectos!$E239),"")</f>
        <v/>
      </c>
    </row>
    <row r="718" spans="1:8" x14ac:dyDescent="0.35">
      <c r="A718" s="5" t="str">
        <f>IFERROR(IF(Portafolio_Proyectos!$AR239="","","CAP-"&amp;ROW()-1),"")</f>
        <v/>
      </c>
      <c r="B718" s="5" t="str">
        <f>IFERROR(IF(Portafolio_Proyectos!$AR239="","",Portafolio_Proyectos!$AR239),"")</f>
        <v/>
      </c>
      <c r="C718" s="5" t="str">
        <f>IFERROR(IF(Portafolio_Proyectos!$AR239="","","Distintiva"),"")</f>
        <v/>
      </c>
      <c r="D718" s="5" t="str">
        <f>IFERROR(IF(Portafolio_Proyectos!$AR239="","",Portafolio_Proyectos!$C239),"")</f>
        <v/>
      </c>
      <c r="E718" s="5" t="str">
        <f>IFERROR(IF(Portafolio_Proyectos!$AR239="","",Portafolio_Proyectos!$B239),"")</f>
        <v/>
      </c>
      <c r="F718" s="5" t="str">
        <f>IFERROR(IF(Portafolio_Proyectos!$AR239="","",Portafolio_Proyectos!$D239),"")</f>
        <v/>
      </c>
      <c r="G718" s="5" t="str">
        <f>IFERROR(IF(Portafolio_Proyectos!$AR239="","",Portafolio_Proyectos!$A239),"")</f>
        <v/>
      </c>
      <c r="H718" s="5" t="str">
        <f>IFERROR(IF(Portafolio_Proyectos!$AR239="","",Portafolio_Proyectos!$E239),"")</f>
        <v/>
      </c>
    </row>
    <row r="719" spans="1:8" x14ac:dyDescent="0.35">
      <c r="A719" s="5" t="str">
        <f>IFERROR(IF(Portafolio_Proyectos!$AP240="","","CAP-"&amp;ROW()-1),"")</f>
        <v/>
      </c>
      <c r="B719" s="5" t="str">
        <f>IFERROR(IF(Portafolio_Proyectos!$AP240="","",Portafolio_Proyectos!$AP240),"")</f>
        <v/>
      </c>
      <c r="C719" s="5" t="str">
        <f>IFERROR(IF(Portafolio_Proyectos!$AP240="","","Emergente"),"")</f>
        <v/>
      </c>
      <c r="D719" s="5" t="str">
        <f>IFERROR(IF(Portafolio_Proyectos!$AP240="","",Portafolio_Proyectos!$C240),"")</f>
        <v/>
      </c>
      <c r="E719" s="5" t="str">
        <f>IFERROR(IF(Portafolio_Proyectos!$AP240="","",Portafolio_Proyectos!$B240),"")</f>
        <v/>
      </c>
      <c r="F719" s="5" t="str">
        <f>IFERROR(IF(Portafolio_Proyectos!$AP240="","",Portafolio_Proyectos!$D240),"")</f>
        <v/>
      </c>
      <c r="G719" s="5" t="str">
        <f>IFERROR(IF(Portafolio_Proyectos!$AP240="","",Portafolio_Proyectos!$A240),"")</f>
        <v/>
      </c>
      <c r="H719" s="5" t="str">
        <f>IFERROR(IF(Portafolio_Proyectos!$AP240="","",Portafolio_Proyectos!$E240),"")</f>
        <v/>
      </c>
    </row>
    <row r="720" spans="1:8" x14ac:dyDescent="0.35">
      <c r="A720" s="5" t="str">
        <f>IFERROR(IF(Portafolio_Proyectos!$AQ240="","","CAP-"&amp;ROW()-1),"")</f>
        <v/>
      </c>
      <c r="B720" s="5" t="str">
        <f>IFERROR(IF(Portafolio_Proyectos!$AQ240="","",Portafolio_Proyectos!$AQ240),"")</f>
        <v/>
      </c>
      <c r="C720" s="5" t="str">
        <f>IFERROR(IF(Portafolio_Proyectos!$AQ240="","","Consolidada"),"")</f>
        <v/>
      </c>
      <c r="D720" s="5" t="str">
        <f>IFERROR(IF(Portafolio_Proyectos!$AQ240="","",Portafolio_Proyectos!$C240),"")</f>
        <v/>
      </c>
      <c r="E720" s="5" t="str">
        <f>IFERROR(IF(Portafolio_Proyectos!$AQ240="","",Portafolio_Proyectos!$B240),"")</f>
        <v/>
      </c>
      <c r="F720" s="5" t="str">
        <f>IFERROR(IF(Portafolio_Proyectos!$AQ240="","",Portafolio_Proyectos!$D240),"")</f>
        <v/>
      </c>
      <c r="G720" s="5" t="str">
        <f>IFERROR(IF(Portafolio_Proyectos!$AQ240="","",Portafolio_Proyectos!$A240),"")</f>
        <v/>
      </c>
      <c r="H720" s="5" t="str">
        <f>IFERROR(IF(Portafolio_Proyectos!$AQ240="","",Portafolio_Proyectos!$E240),"")</f>
        <v/>
      </c>
    </row>
    <row r="721" spans="1:8" x14ac:dyDescent="0.35">
      <c r="A721" s="5" t="str">
        <f>IFERROR(IF(Portafolio_Proyectos!$AR240="","","CAP-"&amp;ROW()-1),"")</f>
        <v/>
      </c>
      <c r="B721" s="5" t="str">
        <f>IFERROR(IF(Portafolio_Proyectos!$AR240="","",Portafolio_Proyectos!$AR240),"")</f>
        <v/>
      </c>
      <c r="C721" s="5" t="str">
        <f>IFERROR(IF(Portafolio_Proyectos!$AR240="","","Distintiva"),"")</f>
        <v/>
      </c>
      <c r="D721" s="5" t="str">
        <f>IFERROR(IF(Portafolio_Proyectos!$AR240="","",Portafolio_Proyectos!$C240),"")</f>
        <v/>
      </c>
      <c r="E721" s="5" t="str">
        <f>IFERROR(IF(Portafolio_Proyectos!$AR240="","",Portafolio_Proyectos!$B240),"")</f>
        <v/>
      </c>
      <c r="F721" s="5" t="str">
        <f>IFERROR(IF(Portafolio_Proyectos!$AR240="","",Portafolio_Proyectos!$D240),"")</f>
        <v/>
      </c>
      <c r="G721" s="5" t="str">
        <f>IFERROR(IF(Portafolio_Proyectos!$AR240="","",Portafolio_Proyectos!$A240),"")</f>
        <v/>
      </c>
      <c r="H721" s="5" t="str">
        <f>IFERROR(IF(Portafolio_Proyectos!$AR240="","",Portafolio_Proyectos!$E240),"")</f>
        <v/>
      </c>
    </row>
    <row r="722" spans="1:8" x14ac:dyDescent="0.35">
      <c r="A722" s="5" t="str">
        <f>IFERROR(IF(Portafolio_Proyectos!$AP241="","","CAP-"&amp;ROW()-1),"")</f>
        <v/>
      </c>
      <c r="B722" s="5" t="str">
        <f>IFERROR(IF(Portafolio_Proyectos!$AP241="","",Portafolio_Proyectos!$AP241),"")</f>
        <v/>
      </c>
      <c r="C722" s="5" t="str">
        <f>IFERROR(IF(Portafolio_Proyectos!$AP241="","","Emergente"),"")</f>
        <v/>
      </c>
      <c r="D722" s="5" t="str">
        <f>IFERROR(IF(Portafolio_Proyectos!$AP241="","",Portafolio_Proyectos!$C241),"")</f>
        <v/>
      </c>
      <c r="E722" s="5" t="str">
        <f>IFERROR(IF(Portafolio_Proyectos!$AP241="","",Portafolio_Proyectos!$B241),"")</f>
        <v/>
      </c>
      <c r="F722" s="5" t="str">
        <f>IFERROR(IF(Portafolio_Proyectos!$AP241="","",Portafolio_Proyectos!$D241),"")</f>
        <v/>
      </c>
      <c r="G722" s="5" t="str">
        <f>IFERROR(IF(Portafolio_Proyectos!$AP241="","",Portafolio_Proyectos!$A241),"")</f>
        <v/>
      </c>
      <c r="H722" s="5" t="str">
        <f>IFERROR(IF(Portafolio_Proyectos!$AP241="","",Portafolio_Proyectos!$E241),"")</f>
        <v/>
      </c>
    </row>
    <row r="723" spans="1:8" x14ac:dyDescent="0.35">
      <c r="A723" s="5" t="str">
        <f>IFERROR(IF(Portafolio_Proyectos!$AQ241="","","CAP-"&amp;ROW()-1),"")</f>
        <v/>
      </c>
      <c r="B723" s="5" t="str">
        <f>IFERROR(IF(Portafolio_Proyectos!$AQ241="","",Portafolio_Proyectos!$AQ241),"")</f>
        <v/>
      </c>
      <c r="C723" s="5" t="str">
        <f>IFERROR(IF(Portafolio_Proyectos!$AQ241="","","Consolidada"),"")</f>
        <v/>
      </c>
      <c r="D723" s="5" t="str">
        <f>IFERROR(IF(Portafolio_Proyectos!$AQ241="","",Portafolio_Proyectos!$C241),"")</f>
        <v/>
      </c>
      <c r="E723" s="5" t="str">
        <f>IFERROR(IF(Portafolio_Proyectos!$AQ241="","",Portafolio_Proyectos!$B241),"")</f>
        <v/>
      </c>
      <c r="F723" s="5" t="str">
        <f>IFERROR(IF(Portafolio_Proyectos!$AQ241="","",Portafolio_Proyectos!$D241),"")</f>
        <v/>
      </c>
      <c r="G723" s="5" t="str">
        <f>IFERROR(IF(Portafolio_Proyectos!$AQ241="","",Portafolio_Proyectos!$A241),"")</f>
        <v/>
      </c>
      <c r="H723" s="5" t="str">
        <f>IFERROR(IF(Portafolio_Proyectos!$AQ241="","",Portafolio_Proyectos!$E241),"")</f>
        <v/>
      </c>
    </row>
    <row r="724" spans="1:8" x14ac:dyDescent="0.35">
      <c r="A724" s="5" t="str">
        <f>IFERROR(IF(Portafolio_Proyectos!$AR241="","","CAP-"&amp;ROW()-1),"")</f>
        <v/>
      </c>
      <c r="B724" s="5" t="str">
        <f>IFERROR(IF(Portafolio_Proyectos!$AR241="","",Portafolio_Proyectos!$AR241),"")</f>
        <v/>
      </c>
      <c r="C724" s="5" t="str">
        <f>IFERROR(IF(Portafolio_Proyectos!$AR241="","","Distintiva"),"")</f>
        <v/>
      </c>
      <c r="D724" s="5" t="str">
        <f>IFERROR(IF(Portafolio_Proyectos!$AR241="","",Portafolio_Proyectos!$C241),"")</f>
        <v/>
      </c>
      <c r="E724" s="5" t="str">
        <f>IFERROR(IF(Portafolio_Proyectos!$AR241="","",Portafolio_Proyectos!$B241),"")</f>
        <v/>
      </c>
      <c r="F724" s="5" t="str">
        <f>IFERROR(IF(Portafolio_Proyectos!$AR241="","",Portafolio_Proyectos!$D241),"")</f>
        <v/>
      </c>
      <c r="G724" s="5" t="str">
        <f>IFERROR(IF(Portafolio_Proyectos!$AR241="","",Portafolio_Proyectos!$A241),"")</f>
        <v/>
      </c>
      <c r="H724" s="5" t="str">
        <f>IFERROR(IF(Portafolio_Proyectos!$AR241="","",Portafolio_Proyectos!$E241),"")</f>
        <v/>
      </c>
    </row>
    <row r="725" spans="1:8" x14ac:dyDescent="0.35">
      <c r="A725" s="5" t="str">
        <f>IFERROR(IF(Portafolio_Proyectos!$AP242="","","CAP-"&amp;ROW()-1),"")</f>
        <v/>
      </c>
      <c r="B725" s="5" t="str">
        <f>IFERROR(IF(Portafolio_Proyectos!$AP242="","",Portafolio_Proyectos!$AP242),"")</f>
        <v/>
      </c>
      <c r="C725" s="5" t="str">
        <f>IFERROR(IF(Portafolio_Proyectos!$AP242="","","Emergente"),"")</f>
        <v/>
      </c>
      <c r="D725" s="5" t="str">
        <f>IFERROR(IF(Portafolio_Proyectos!$AP242="","",Portafolio_Proyectos!$C242),"")</f>
        <v/>
      </c>
      <c r="E725" s="5" t="str">
        <f>IFERROR(IF(Portafolio_Proyectos!$AP242="","",Portafolio_Proyectos!$B242),"")</f>
        <v/>
      </c>
      <c r="F725" s="5" t="str">
        <f>IFERROR(IF(Portafolio_Proyectos!$AP242="","",Portafolio_Proyectos!$D242),"")</f>
        <v/>
      </c>
      <c r="G725" s="5" t="str">
        <f>IFERROR(IF(Portafolio_Proyectos!$AP242="","",Portafolio_Proyectos!$A242),"")</f>
        <v/>
      </c>
      <c r="H725" s="5" t="str">
        <f>IFERROR(IF(Portafolio_Proyectos!$AP242="","",Portafolio_Proyectos!$E242),"")</f>
        <v/>
      </c>
    </row>
    <row r="726" spans="1:8" x14ac:dyDescent="0.35">
      <c r="A726" s="5" t="str">
        <f>IFERROR(IF(Portafolio_Proyectos!$AQ242="","","CAP-"&amp;ROW()-1),"")</f>
        <v/>
      </c>
      <c r="B726" s="5" t="str">
        <f>IFERROR(IF(Portafolio_Proyectos!$AQ242="","",Portafolio_Proyectos!$AQ242),"")</f>
        <v/>
      </c>
      <c r="C726" s="5" t="str">
        <f>IFERROR(IF(Portafolio_Proyectos!$AQ242="","","Consolidada"),"")</f>
        <v/>
      </c>
      <c r="D726" s="5" t="str">
        <f>IFERROR(IF(Portafolio_Proyectos!$AQ242="","",Portafolio_Proyectos!$C242),"")</f>
        <v/>
      </c>
      <c r="E726" s="5" t="str">
        <f>IFERROR(IF(Portafolio_Proyectos!$AQ242="","",Portafolio_Proyectos!$B242),"")</f>
        <v/>
      </c>
      <c r="F726" s="5" t="str">
        <f>IFERROR(IF(Portafolio_Proyectos!$AQ242="","",Portafolio_Proyectos!$D242),"")</f>
        <v/>
      </c>
      <c r="G726" s="5" t="str">
        <f>IFERROR(IF(Portafolio_Proyectos!$AQ242="","",Portafolio_Proyectos!$A242),"")</f>
        <v/>
      </c>
      <c r="H726" s="5" t="str">
        <f>IFERROR(IF(Portafolio_Proyectos!$AQ242="","",Portafolio_Proyectos!$E242),"")</f>
        <v/>
      </c>
    </row>
    <row r="727" spans="1:8" x14ac:dyDescent="0.35">
      <c r="A727" s="5" t="str">
        <f>IFERROR(IF(Portafolio_Proyectos!$AR242="","","CAP-"&amp;ROW()-1),"")</f>
        <v/>
      </c>
      <c r="B727" s="5" t="str">
        <f>IFERROR(IF(Portafolio_Proyectos!$AR242="","",Portafolio_Proyectos!$AR242),"")</f>
        <v/>
      </c>
      <c r="C727" s="5" t="str">
        <f>IFERROR(IF(Portafolio_Proyectos!$AR242="","","Distintiva"),"")</f>
        <v/>
      </c>
      <c r="D727" s="5" t="str">
        <f>IFERROR(IF(Portafolio_Proyectos!$AR242="","",Portafolio_Proyectos!$C242),"")</f>
        <v/>
      </c>
      <c r="E727" s="5" t="str">
        <f>IFERROR(IF(Portafolio_Proyectos!$AR242="","",Portafolio_Proyectos!$B242),"")</f>
        <v/>
      </c>
      <c r="F727" s="5" t="str">
        <f>IFERROR(IF(Portafolio_Proyectos!$AR242="","",Portafolio_Proyectos!$D242),"")</f>
        <v/>
      </c>
      <c r="G727" s="5" t="str">
        <f>IFERROR(IF(Portafolio_Proyectos!$AR242="","",Portafolio_Proyectos!$A242),"")</f>
        <v/>
      </c>
      <c r="H727" s="5" t="str">
        <f>IFERROR(IF(Portafolio_Proyectos!$AR242="","",Portafolio_Proyectos!$E242),"")</f>
        <v/>
      </c>
    </row>
    <row r="728" spans="1:8" x14ac:dyDescent="0.35">
      <c r="A728" s="5" t="str">
        <f>IFERROR(IF(Portafolio_Proyectos!$AP243="","","CAP-"&amp;ROW()-1),"")</f>
        <v/>
      </c>
      <c r="B728" s="5" t="str">
        <f>IFERROR(IF(Portafolio_Proyectos!$AP243="","",Portafolio_Proyectos!$AP243),"")</f>
        <v/>
      </c>
      <c r="C728" s="5" t="str">
        <f>IFERROR(IF(Portafolio_Proyectos!$AP243="","","Emergente"),"")</f>
        <v/>
      </c>
      <c r="D728" s="5" t="str">
        <f>IFERROR(IF(Portafolio_Proyectos!$AP243="","",Portafolio_Proyectos!$C243),"")</f>
        <v/>
      </c>
      <c r="E728" s="5" t="str">
        <f>IFERROR(IF(Portafolio_Proyectos!$AP243="","",Portafolio_Proyectos!$B243),"")</f>
        <v/>
      </c>
      <c r="F728" s="5" t="str">
        <f>IFERROR(IF(Portafolio_Proyectos!$AP243="","",Portafolio_Proyectos!$D243),"")</f>
        <v/>
      </c>
      <c r="G728" s="5" t="str">
        <f>IFERROR(IF(Portafolio_Proyectos!$AP243="","",Portafolio_Proyectos!$A243),"")</f>
        <v/>
      </c>
      <c r="H728" s="5" t="str">
        <f>IFERROR(IF(Portafolio_Proyectos!$AP243="","",Portafolio_Proyectos!$E243),"")</f>
        <v/>
      </c>
    </row>
    <row r="729" spans="1:8" x14ac:dyDescent="0.35">
      <c r="A729" s="5" t="str">
        <f>IFERROR(IF(Portafolio_Proyectos!$AQ243="","","CAP-"&amp;ROW()-1),"")</f>
        <v/>
      </c>
      <c r="B729" s="5" t="str">
        <f>IFERROR(IF(Portafolio_Proyectos!$AQ243="","",Portafolio_Proyectos!$AQ243),"")</f>
        <v/>
      </c>
      <c r="C729" s="5" t="str">
        <f>IFERROR(IF(Portafolio_Proyectos!$AQ243="","","Consolidada"),"")</f>
        <v/>
      </c>
      <c r="D729" s="5" t="str">
        <f>IFERROR(IF(Portafolio_Proyectos!$AQ243="","",Portafolio_Proyectos!$C243),"")</f>
        <v/>
      </c>
      <c r="E729" s="5" t="str">
        <f>IFERROR(IF(Portafolio_Proyectos!$AQ243="","",Portafolio_Proyectos!$B243),"")</f>
        <v/>
      </c>
      <c r="F729" s="5" t="str">
        <f>IFERROR(IF(Portafolio_Proyectos!$AQ243="","",Portafolio_Proyectos!$D243),"")</f>
        <v/>
      </c>
      <c r="G729" s="5" t="str">
        <f>IFERROR(IF(Portafolio_Proyectos!$AQ243="","",Portafolio_Proyectos!$A243),"")</f>
        <v/>
      </c>
      <c r="H729" s="5" t="str">
        <f>IFERROR(IF(Portafolio_Proyectos!$AQ243="","",Portafolio_Proyectos!$E243),"")</f>
        <v/>
      </c>
    </row>
    <row r="730" spans="1:8" x14ac:dyDescent="0.35">
      <c r="A730" s="5" t="str">
        <f>IFERROR(IF(Portafolio_Proyectos!$AR243="","","CAP-"&amp;ROW()-1),"")</f>
        <v/>
      </c>
      <c r="B730" s="5" t="str">
        <f>IFERROR(IF(Portafolio_Proyectos!$AR243="","",Portafolio_Proyectos!$AR243),"")</f>
        <v/>
      </c>
      <c r="C730" s="5" t="str">
        <f>IFERROR(IF(Portafolio_Proyectos!$AR243="","","Distintiva"),"")</f>
        <v/>
      </c>
      <c r="D730" s="5" t="str">
        <f>IFERROR(IF(Portafolio_Proyectos!$AR243="","",Portafolio_Proyectos!$C243),"")</f>
        <v/>
      </c>
      <c r="E730" s="5" t="str">
        <f>IFERROR(IF(Portafolio_Proyectos!$AR243="","",Portafolio_Proyectos!$B243),"")</f>
        <v/>
      </c>
      <c r="F730" s="5" t="str">
        <f>IFERROR(IF(Portafolio_Proyectos!$AR243="","",Portafolio_Proyectos!$D243),"")</f>
        <v/>
      </c>
      <c r="G730" s="5" t="str">
        <f>IFERROR(IF(Portafolio_Proyectos!$AR243="","",Portafolio_Proyectos!$A243),"")</f>
        <v/>
      </c>
      <c r="H730" s="5" t="str">
        <f>IFERROR(IF(Portafolio_Proyectos!$AR243="","",Portafolio_Proyectos!$E243),"")</f>
        <v/>
      </c>
    </row>
    <row r="731" spans="1:8" x14ac:dyDescent="0.35">
      <c r="A731" s="5" t="str">
        <f>IFERROR(IF(Portafolio_Proyectos!$AP244="","","CAP-"&amp;ROW()-1),"")</f>
        <v/>
      </c>
      <c r="B731" s="5" t="str">
        <f>IFERROR(IF(Portafolio_Proyectos!$AP244="","",Portafolio_Proyectos!$AP244),"")</f>
        <v/>
      </c>
      <c r="C731" s="5" t="str">
        <f>IFERROR(IF(Portafolio_Proyectos!$AP244="","","Emergente"),"")</f>
        <v/>
      </c>
      <c r="D731" s="5" t="str">
        <f>IFERROR(IF(Portafolio_Proyectos!$AP244="","",Portafolio_Proyectos!$C244),"")</f>
        <v/>
      </c>
      <c r="E731" s="5" t="str">
        <f>IFERROR(IF(Portafolio_Proyectos!$AP244="","",Portafolio_Proyectos!$B244),"")</f>
        <v/>
      </c>
      <c r="F731" s="5" t="str">
        <f>IFERROR(IF(Portafolio_Proyectos!$AP244="","",Portafolio_Proyectos!$D244),"")</f>
        <v/>
      </c>
      <c r="G731" s="5" t="str">
        <f>IFERROR(IF(Portafolio_Proyectos!$AP244="","",Portafolio_Proyectos!$A244),"")</f>
        <v/>
      </c>
      <c r="H731" s="5" t="str">
        <f>IFERROR(IF(Portafolio_Proyectos!$AP244="","",Portafolio_Proyectos!$E244),"")</f>
        <v/>
      </c>
    </row>
    <row r="732" spans="1:8" x14ac:dyDescent="0.35">
      <c r="A732" s="5" t="str">
        <f>IFERROR(IF(Portafolio_Proyectos!$AQ244="","","CAP-"&amp;ROW()-1),"")</f>
        <v/>
      </c>
      <c r="B732" s="5" t="str">
        <f>IFERROR(IF(Portafolio_Proyectos!$AQ244="","",Portafolio_Proyectos!$AQ244),"")</f>
        <v/>
      </c>
      <c r="C732" s="5" t="str">
        <f>IFERROR(IF(Portafolio_Proyectos!$AQ244="","","Consolidada"),"")</f>
        <v/>
      </c>
      <c r="D732" s="5" t="str">
        <f>IFERROR(IF(Portafolio_Proyectos!$AQ244="","",Portafolio_Proyectos!$C244),"")</f>
        <v/>
      </c>
      <c r="E732" s="5" t="str">
        <f>IFERROR(IF(Portafolio_Proyectos!$AQ244="","",Portafolio_Proyectos!$B244),"")</f>
        <v/>
      </c>
      <c r="F732" s="5" t="str">
        <f>IFERROR(IF(Portafolio_Proyectos!$AQ244="","",Portafolio_Proyectos!$D244),"")</f>
        <v/>
      </c>
      <c r="G732" s="5" t="str">
        <f>IFERROR(IF(Portafolio_Proyectos!$AQ244="","",Portafolio_Proyectos!$A244),"")</f>
        <v/>
      </c>
      <c r="H732" s="5" t="str">
        <f>IFERROR(IF(Portafolio_Proyectos!$AQ244="","",Portafolio_Proyectos!$E244),"")</f>
        <v/>
      </c>
    </row>
    <row r="733" spans="1:8" x14ac:dyDescent="0.35">
      <c r="A733" s="5" t="str">
        <f>IFERROR(IF(Portafolio_Proyectos!$AR244="","","CAP-"&amp;ROW()-1),"")</f>
        <v/>
      </c>
      <c r="B733" s="5" t="str">
        <f>IFERROR(IF(Portafolio_Proyectos!$AR244="","",Portafolio_Proyectos!$AR244),"")</f>
        <v/>
      </c>
      <c r="C733" s="5" t="str">
        <f>IFERROR(IF(Portafolio_Proyectos!$AR244="","","Distintiva"),"")</f>
        <v/>
      </c>
      <c r="D733" s="5" t="str">
        <f>IFERROR(IF(Portafolio_Proyectos!$AR244="","",Portafolio_Proyectos!$C244),"")</f>
        <v/>
      </c>
      <c r="E733" s="5" t="str">
        <f>IFERROR(IF(Portafolio_Proyectos!$AR244="","",Portafolio_Proyectos!$B244),"")</f>
        <v/>
      </c>
      <c r="F733" s="5" t="str">
        <f>IFERROR(IF(Portafolio_Proyectos!$AR244="","",Portafolio_Proyectos!$D244),"")</f>
        <v/>
      </c>
      <c r="G733" s="5" t="str">
        <f>IFERROR(IF(Portafolio_Proyectos!$AR244="","",Portafolio_Proyectos!$A244),"")</f>
        <v/>
      </c>
      <c r="H733" s="5" t="str">
        <f>IFERROR(IF(Portafolio_Proyectos!$AR244="","",Portafolio_Proyectos!$E244),"")</f>
        <v/>
      </c>
    </row>
    <row r="734" spans="1:8" x14ac:dyDescent="0.35">
      <c r="A734" s="5" t="str">
        <f>IFERROR(IF(Portafolio_Proyectos!$AP245="","","CAP-"&amp;ROW()-1),"")</f>
        <v/>
      </c>
      <c r="B734" s="5" t="str">
        <f>IFERROR(IF(Portafolio_Proyectos!$AP245="","",Portafolio_Proyectos!$AP245),"")</f>
        <v/>
      </c>
      <c r="C734" s="5" t="str">
        <f>IFERROR(IF(Portafolio_Proyectos!$AP245="","","Emergente"),"")</f>
        <v/>
      </c>
      <c r="D734" s="5" t="str">
        <f>IFERROR(IF(Portafolio_Proyectos!$AP245="","",Portafolio_Proyectos!$C245),"")</f>
        <v/>
      </c>
      <c r="E734" s="5" t="str">
        <f>IFERROR(IF(Portafolio_Proyectos!$AP245="","",Portafolio_Proyectos!$B245),"")</f>
        <v/>
      </c>
      <c r="F734" s="5" t="str">
        <f>IFERROR(IF(Portafolio_Proyectos!$AP245="","",Portafolio_Proyectos!$D245),"")</f>
        <v/>
      </c>
      <c r="G734" s="5" t="str">
        <f>IFERROR(IF(Portafolio_Proyectos!$AP245="","",Portafolio_Proyectos!$A245),"")</f>
        <v/>
      </c>
      <c r="H734" s="5" t="str">
        <f>IFERROR(IF(Portafolio_Proyectos!$AP245="","",Portafolio_Proyectos!$E245),"")</f>
        <v/>
      </c>
    </row>
    <row r="735" spans="1:8" x14ac:dyDescent="0.35">
      <c r="A735" s="5" t="str">
        <f>IFERROR(IF(Portafolio_Proyectos!$AQ245="","","CAP-"&amp;ROW()-1),"")</f>
        <v/>
      </c>
      <c r="B735" s="5" t="str">
        <f>IFERROR(IF(Portafolio_Proyectos!$AQ245="","",Portafolio_Proyectos!$AQ245),"")</f>
        <v/>
      </c>
      <c r="C735" s="5" t="str">
        <f>IFERROR(IF(Portafolio_Proyectos!$AQ245="","","Consolidada"),"")</f>
        <v/>
      </c>
      <c r="D735" s="5" t="str">
        <f>IFERROR(IF(Portafolio_Proyectos!$AQ245="","",Portafolio_Proyectos!$C245),"")</f>
        <v/>
      </c>
      <c r="E735" s="5" t="str">
        <f>IFERROR(IF(Portafolio_Proyectos!$AQ245="","",Portafolio_Proyectos!$B245),"")</f>
        <v/>
      </c>
      <c r="F735" s="5" t="str">
        <f>IFERROR(IF(Portafolio_Proyectos!$AQ245="","",Portafolio_Proyectos!$D245),"")</f>
        <v/>
      </c>
      <c r="G735" s="5" t="str">
        <f>IFERROR(IF(Portafolio_Proyectos!$AQ245="","",Portafolio_Proyectos!$A245),"")</f>
        <v/>
      </c>
      <c r="H735" s="5" t="str">
        <f>IFERROR(IF(Portafolio_Proyectos!$AQ245="","",Portafolio_Proyectos!$E245),"")</f>
        <v/>
      </c>
    </row>
    <row r="736" spans="1:8" x14ac:dyDescent="0.35">
      <c r="A736" s="5" t="str">
        <f>IFERROR(IF(Portafolio_Proyectos!$AR245="","","CAP-"&amp;ROW()-1),"")</f>
        <v/>
      </c>
      <c r="B736" s="5" t="str">
        <f>IFERROR(IF(Portafolio_Proyectos!$AR245="","",Portafolio_Proyectos!$AR245),"")</f>
        <v/>
      </c>
      <c r="C736" s="5" t="str">
        <f>IFERROR(IF(Portafolio_Proyectos!$AR245="","","Distintiva"),"")</f>
        <v/>
      </c>
      <c r="D736" s="5" t="str">
        <f>IFERROR(IF(Portafolio_Proyectos!$AR245="","",Portafolio_Proyectos!$C245),"")</f>
        <v/>
      </c>
      <c r="E736" s="5" t="str">
        <f>IFERROR(IF(Portafolio_Proyectos!$AR245="","",Portafolio_Proyectos!$B245),"")</f>
        <v/>
      </c>
      <c r="F736" s="5" t="str">
        <f>IFERROR(IF(Portafolio_Proyectos!$AR245="","",Portafolio_Proyectos!$D245),"")</f>
        <v/>
      </c>
      <c r="G736" s="5" t="str">
        <f>IFERROR(IF(Portafolio_Proyectos!$AR245="","",Portafolio_Proyectos!$A245),"")</f>
        <v/>
      </c>
      <c r="H736" s="5" t="str">
        <f>IFERROR(IF(Portafolio_Proyectos!$AR245="","",Portafolio_Proyectos!$E245),"")</f>
        <v/>
      </c>
    </row>
    <row r="737" spans="1:8" x14ac:dyDescent="0.35">
      <c r="A737" s="5" t="str">
        <f>IFERROR(IF(Portafolio_Proyectos!$AP246="","","CAP-"&amp;ROW()-1),"")</f>
        <v/>
      </c>
      <c r="B737" s="5" t="str">
        <f>IFERROR(IF(Portafolio_Proyectos!$AP246="","",Portafolio_Proyectos!$AP246),"")</f>
        <v/>
      </c>
      <c r="C737" s="5" t="str">
        <f>IFERROR(IF(Portafolio_Proyectos!$AP246="","","Emergente"),"")</f>
        <v/>
      </c>
      <c r="D737" s="5" t="str">
        <f>IFERROR(IF(Portafolio_Proyectos!$AP246="","",Portafolio_Proyectos!$C246),"")</f>
        <v/>
      </c>
      <c r="E737" s="5" t="str">
        <f>IFERROR(IF(Portafolio_Proyectos!$AP246="","",Portafolio_Proyectos!$B246),"")</f>
        <v/>
      </c>
      <c r="F737" s="5" t="str">
        <f>IFERROR(IF(Portafolio_Proyectos!$AP246="","",Portafolio_Proyectos!$D246),"")</f>
        <v/>
      </c>
      <c r="G737" s="5" t="str">
        <f>IFERROR(IF(Portafolio_Proyectos!$AP246="","",Portafolio_Proyectos!$A246),"")</f>
        <v/>
      </c>
      <c r="H737" s="5" t="str">
        <f>IFERROR(IF(Portafolio_Proyectos!$AP246="","",Portafolio_Proyectos!$E246),"")</f>
        <v/>
      </c>
    </row>
    <row r="738" spans="1:8" x14ac:dyDescent="0.35">
      <c r="A738" s="5" t="str">
        <f>IFERROR(IF(Portafolio_Proyectos!$AQ246="","","CAP-"&amp;ROW()-1),"")</f>
        <v/>
      </c>
      <c r="B738" s="5" t="str">
        <f>IFERROR(IF(Portafolio_Proyectos!$AQ246="","",Portafolio_Proyectos!$AQ246),"")</f>
        <v/>
      </c>
      <c r="C738" s="5" t="str">
        <f>IFERROR(IF(Portafolio_Proyectos!$AQ246="","","Consolidada"),"")</f>
        <v/>
      </c>
      <c r="D738" s="5" t="str">
        <f>IFERROR(IF(Portafolio_Proyectos!$AQ246="","",Portafolio_Proyectos!$C246),"")</f>
        <v/>
      </c>
      <c r="E738" s="5" t="str">
        <f>IFERROR(IF(Portafolio_Proyectos!$AQ246="","",Portafolio_Proyectos!$B246),"")</f>
        <v/>
      </c>
      <c r="F738" s="5" t="str">
        <f>IFERROR(IF(Portafolio_Proyectos!$AQ246="","",Portafolio_Proyectos!$D246),"")</f>
        <v/>
      </c>
      <c r="G738" s="5" t="str">
        <f>IFERROR(IF(Portafolio_Proyectos!$AQ246="","",Portafolio_Proyectos!$A246),"")</f>
        <v/>
      </c>
      <c r="H738" s="5" t="str">
        <f>IFERROR(IF(Portafolio_Proyectos!$AQ246="","",Portafolio_Proyectos!$E246),"")</f>
        <v/>
      </c>
    </row>
    <row r="739" spans="1:8" x14ac:dyDescent="0.35">
      <c r="A739" s="5" t="str">
        <f>IFERROR(IF(Portafolio_Proyectos!$AR246="","","CAP-"&amp;ROW()-1),"")</f>
        <v/>
      </c>
      <c r="B739" s="5" t="str">
        <f>IFERROR(IF(Portafolio_Proyectos!$AR246="","",Portafolio_Proyectos!$AR246),"")</f>
        <v/>
      </c>
      <c r="C739" s="5" t="str">
        <f>IFERROR(IF(Portafolio_Proyectos!$AR246="","","Distintiva"),"")</f>
        <v/>
      </c>
      <c r="D739" s="5" t="str">
        <f>IFERROR(IF(Portafolio_Proyectos!$AR246="","",Portafolio_Proyectos!$C246),"")</f>
        <v/>
      </c>
      <c r="E739" s="5" t="str">
        <f>IFERROR(IF(Portafolio_Proyectos!$AR246="","",Portafolio_Proyectos!$B246),"")</f>
        <v/>
      </c>
      <c r="F739" s="5" t="str">
        <f>IFERROR(IF(Portafolio_Proyectos!$AR246="","",Portafolio_Proyectos!$D246),"")</f>
        <v/>
      </c>
      <c r="G739" s="5" t="str">
        <f>IFERROR(IF(Portafolio_Proyectos!$AR246="","",Portafolio_Proyectos!$A246),"")</f>
        <v/>
      </c>
      <c r="H739" s="5" t="str">
        <f>IFERROR(IF(Portafolio_Proyectos!$AR246="","",Portafolio_Proyectos!$E246),"")</f>
        <v/>
      </c>
    </row>
    <row r="740" spans="1:8" x14ac:dyDescent="0.35">
      <c r="A740" s="5" t="str">
        <f>IFERROR(IF(Portafolio_Proyectos!$AP247="","","CAP-"&amp;ROW()-1),"")</f>
        <v/>
      </c>
      <c r="B740" s="5" t="str">
        <f>IFERROR(IF(Portafolio_Proyectos!$AP247="","",Portafolio_Proyectos!$AP247),"")</f>
        <v/>
      </c>
      <c r="C740" s="5" t="str">
        <f>IFERROR(IF(Portafolio_Proyectos!$AP247="","","Emergente"),"")</f>
        <v/>
      </c>
      <c r="D740" s="5" t="str">
        <f>IFERROR(IF(Portafolio_Proyectos!$AP247="","",Portafolio_Proyectos!$C247),"")</f>
        <v/>
      </c>
      <c r="E740" s="5" t="str">
        <f>IFERROR(IF(Portafolio_Proyectos!$AP247="","",Portafolio_Proyectos!$B247),"")</f>
        <v/>
      </c>
      <c r="F740" s="5" t="str">
        <f>IFERROR(IF(Portafolio_Proyectos!$AP247="","",Portafolio_Proyectos!$D247),"")</f>
        <v/>
      </c>
      <c r="G740" s="5" t="str">
        <f>IFERROR(IF(Portafolio_Proyectos!$AP247="","",Portafolio_Proyectos!$A247),"")</f>
        <v/>
      </c>
      <c r="H740" s="5" t="str">
        <f>IFERROR(IF(Portafolio_Proyectos!$AP247="","",Portafolio_Proyectos!$E247),"")</f>
        <v/>
      </c>
    </row>
    <row r="741" spans="1:8" x14ac:dyDescent="0.35">
      <c r="A741" s="5" t="str">
        <f>IFERROR(IF(Portafolio_Proyectos!$AQ247="","","CAP-"&amp;ROW()-1),"")</f>
        <v/>
      </c>
      <c r="B741" s="5" t="str">
        <f>IFERROR(IF(Portafolio_Proyectos!$AQ247="","",Portafolio_Proyectos!$AQ247),"")</f>
        <v/>
      </c>
      <c r="C741" s="5" t="str">
        <f>IFERROR(IF(Portafolio_Proyectos!$AQ247="","","Consolidada"),"")</f>
        <v/>
      </c>
      <c r="D741" s="5" t="str">
        <f>IFERROR(IF(Portafolio_Proyectos!$AQ247="","",Portafolio_Proyectos!$C247),"")</f>
        <v/>
      </c>
      <c r="E741" s="5" t="str">
        <f>IFERROR(IF(Portafolio_Proyectos!$AQ247="","",Portafolio_Proyectos!$B247),"")</f>
        <v/>
      </c>
      <c r="F741" s="5" t="str">
        <f>IFERROR(IF(Portafolio_Proyectos!$AQ247="","",Portafolio_Proyectos!$D247),"")</f>
        <v/>
      </c>
      <c r="G741" s="5" t="str">
        <f>IFERROR(IF(Portafolio_Proyectos!$AQ247="","",Portafolio_Proyectos!$A247),"")</f>
        <v/>
      </c>
      <c r="H741" s="5" t="str">
        <f>IFERROR(IF(Portafolio_Proyectos!$AQ247="","",Portafolio_Proyectos!$E247),"")</f>
        <v/>
      </c>
    </row>
    <row r="742" spans="1:8" x14ac:dyDescent="0.35">
      <c r="A742" s="5" t="str">
        <f>IFERROR(IF(Portafolio_Proyectos!$AR247="","","CAP-"&amp;ROW()-1),"")</f>
        <v/>
      </c>
      <c r="B742" s="5" t="str">
        <f>IFERROR(IF(Portafolio_Proyectos!$AR247="","",Portafolio_Proyectos!$AR247),"")</f>
        <v/>
      </c>
      <c r="C742" s="5" t="str">
        <f>IFERROR(IF(Portafolio_Proyectos!$AR247="","","Distintiva"),"")</f>
        <v/>
      </c>
      <c r="D742" s="5" t="str">
        <f>IFERROR(IF(Portafolio_Proyectos!$AR247="","",Portafolio_Proyectos!$C247),"")</f>
        <v/>
      </c>
      <c r="E742" s="5" t="str">
        <f>IFERROR(IF(Portafolio_Proyectos!$AR247="","",Portafolio_Proyectos!$B247),"")</f>
        <v/>
      </c>
      <c r="F742" s="5" t="str">
        <f>IFERROR(IF(Portafolio_Proyectos!$AR247="","",Portafolio_Proyectos!$D247),"")</f>
        <v/>
      </c>
      <c r="G742" s="5" t="str">
        <f>IFERROR(IF(Portafolio_Proyectos!$AR247="","",Portafolio_Proyectos!$A247),"")</f>
        <v/>
      </c>
      <c r="H742" s="5" t="str">
        <f>IFERROR(IF(Portafolio_Proyectos!$AR247="","",Portafolio_Proyectos!$E247),"")</f>
        <v/>
      </c>
    </row>
    <row r="743" spans="1:8" x14ac:dyDescent="0.35">
      <c r="A743" s="5" t="str">
        <f>IFERROR(IF(Portafolio_Proyectos!$AP248="","","CAP-"&amp;ROW()-1),"")</f>
        <v/>
      </c>
      <c r="B743" s="5" t="str">
        <f>IFERROR(IF(Portafolio_Proyectos!$AP248="","",Portafolio_Proyectos!$AP248),"")</f>
        <v/>
      </c>
      <c r="C743" s="5" t="str">
        <f>IFERROR(IF(Portafolio_Proyectos!$AP248="","","Emergente"),"")</f>
        <v/>
      </c>
      <c r="D743" s="5" t="str">
        <f>IFERROR(IF(Portafolio_Proyectos!$AP248="","",Portafolio_Proyectos!$C248),"")</f>
        <v/>
      </c>
      <c r="E743" s="5" t="str">
        <f>IFERROR(IF(Portafolio_Proyectos!$AP248="","",Portafolio_Proyectos!$B248),"")</f>
        <v/>
      </c>
      <c r="F743" s="5" t="str">
        <f>IFERROR(IF(Portafolio_Proyectos!$AP248="","",Portafolio_Proyectos!$D248),"")</f>
        <v/>
      </c>
      <c r="G743" s="5" t="str">
        <f>IFERROR(IF(Portafolio_Proyectos!$AP248="","",Portafolio_Proyectos!$A248),"")</f>
        <v/>
      </c>
      <c r="H743" s="5" t="str">
        <f>IFERROR(IF(Portafolio_Proyectos!$AP248="","",Portafolio_Proyectos!$E248),"")</f>
        <v/>
      </c>
    </row>
    <row r="744" spans="1:8" x14ac:dyDescent="0.35">
      <c r="A744" s="5" t="str">
        <f>IFERROR(IF(Portafolio_Proyectos!$AQ248="","","CAP-"&amp;ROW()-1),"")</f>
        <v/>
      </c>
      <c r="B744" s="5" t="str">
        <f>IFERROR(IF(Portafolio_Proyectos!$AQ248="","",Portafolio_Proyectos!$AQ248),"")</f>
        <v/>
      </c>
      <c r="C744" s="5" t="str">
        <f>IFERROR(IF(Portafolio_Proyectos!$AQ248="","","Consolidada"),"")</f>
        <v/>
      </c>
      <c r="D744" s="5" t="str">
        <f>IFERROR(IF(Portafolio_Proyectos!$AQ248="","",Portafolio_Proyectos!$C248),"")</f>
        <v/>
      </c>
      <c r="E744" s="5" t="str">
        <f>IFERROR(IF(Portafolio_Proyectos!$AQ248="","",Portafolio_Proyectos!$B248),"")</f>
        <v/>
      </c>
      <c r="F744" s="5" t="str">
        <f>IFERROR(IF(Portafolio_Proyectos!$AQ248="","",Portafolio_Proyectos!$D248),"")</f>
        <v/>
      </c>
      <c r="G744" s="5" t="str">
        <f>IFERROR(IF(Portafolio_Proyectos!$AQ248="","",Portafolio_Proyectos!$A248),"")</f>
        <v/>
      </c>
      <c r="H744" s="5" t="str">
        <f>IFERROR(IF(Portafolio_Proyectos!$AQ248="","",Portafolio_Proyectos!$E248),"")</f>
        <v/>
      </c>
    </row>
    <row r="745" spans="1:8" x14ac:dyDescent="0.35">
      <c r="A745" s="5" t="str">
        <f>IFERROR(IF(Portafolio_Proyectos!$AR248="","","CAP-"&amp;ROW()-1),"")</f>
        <v/>
      </c>
      <c r="B745" s="5" t="str">
        <f>IFERROR(IF(Portafolio_Proyectos!$AR248="","",Portafolio_Proyectos!$AR248),"")</f>
        <v/>
      </c>
      <c r="C745" s="5" t="str">
        <f>IFERROR(IF(Portafolio_Proyectos!$AR248="","","Distintiva"),"")</f>
        <v/>
      </c>
      <c r="D745" s="5" t="str">
        <f>IFERROR(IF(Portafolio_Proyectos!$AR248="","",Portafolio_Proyectos!$C248),"")</f>
        <v/>
      </c>
      <c r="E745" s="5" t="str">
        <f>IFERROR(IF(Portafolio_Proyectos!$AR248="","",Portafolio_Proyectos!$B248),"")</f>
        <v/>
      </c>
      <c r="F745" s="5" t="str">
        <f>IFERROR(IF(Portafolio_Proyectos!$AR248="","",Portafolio_Proyectos!$D248),"")</f>
        <v/>
      </c>
      <c r="G745" s="5" t="str">
        <f>IFERROR(IF(Portafolio_Proyectos!$AR248="","",Portafolio_Proyectos!$A248),"")</f>
        <v/>
      </c>
      <c r="H745" s="5" t="str">
        <f>IFERROR(IF(Portafolio_Proyectos!$AR248="","",Portafolio_Proyectos!$E248),"")</f>
        <v/>
      </c>
    </row>
    <row r="746" spans="1:8" x14ac:dyDescent="0.35">
      <c r="A746" s="5" t="str">
        <f>IFERROR(IF(Portafolio_Proyectos!$AP249="","","CAP-"&amp;ROW()-1),"")</f>
        <v/>
      </c>
      <c r="B746" s="5" t="str">
        <f>IFERROR(IF(Portafolio_Proyectos!$AP249="","",Portafolio_Proyectos!$AP249),"")</f>
        <v/>
      </c>
      <c r="C746" s="5" t="str">
        <f>IFERROR(IF(Portafolio_Proyectos!$AP249="","","Emergente"),"")</f>
        <v/>
      </c>
      <c r="D746" s="5" t="str">
        <f>IFERROR(IF(Portafolio_Proyectos!$AP249="","",Portafolio_Proyectos!$C249),"")</f>
        <v/>
      </c>
      <c r="E746" s="5" t="str">
        <f>IFERROR(IF(Portafolio_Proyectos!$AP249="","",Portafolio_Proyectos!$B249),"")</f>
        <v/>
      </c>
      <c r="F746" s="5" t="str">
        <f>IFERROR(IF(Portafolio_Proyectos!$AP249="","",Portafolio_Proyectos!$D249),"")</f>
        <v/>
      </c>
      <c r="G746" s="5" t="str">
        <f>IFERROR(IF(Portafolio_Proyectos!$AP249="","",Portafolio_Proyectos!$A249),"")</f>
        <v/>
      </c>
      <c r="H746" s="5" t="str">
        <f>IFERROR(IF(Portafolio_Proyectos!$AP249="","",Portafolio_Proyectos!$E249),"")</f>
        <v/>
      </c>
    </row>
    <row r="747" spans="1:8" x14ac:dyDescent="0.35">
      <c r="A747" s="5" t="str">
        <f>IFERROR(IF(Portafolio_Proyectos!$AQ249="","","CAP-"&amp;ROW()-1),"")</f>
        <v/>
      </c>
      <c r="B747" s="5" t="str">
        <f>IFERROR(IF(Portafolio_Proyectos!$AQ249="","",Portafolio_Proyectos!$AQ249),"")</f>
        <v/>
      </c>
      <c r="C747" s="5" t="str">
        <f>IFERROR(IF(Portafolio_Proyectos!$AQ249="","","Consolidada"),"")</f>
        <v/>
      </c>
      <c r="D747" s="5" t="str">
        <f>IFERROR(IF(Portafolio_Proyectos!$AQ249="","",Portafolio_Proyectos!$C249),"")</f>
        <v/>
      </c>
      <c r="E747" s="5" t="str">
        <f>IFERROR(IF(Portafolio_Proyectos!$AQ249="","",Portafolio_Proyectos!$B249),"")</f>
        <v/>
      </c>
      <c r="F747" s="5" t="str">
        <f>IFERROR(IF(Portafolio_Proyectos!$AQ249="","",Portafolio_Proyectos!$D249),"")</f>
        <v/>
      </c>
      <c r="G747" s="5" t="str">
        <f>IFERROR(IF(Portafolio_Proyectos!$AQ249="","",Portafolio_Proyectos!$A249),"")</f>
        <v/>
      </c>
      <c r="H747" s="5" t="str">
        <f>IFERROR(IF(Portafolio_Proyectos!$AQ249="","",Portafolio_Proyectos!$E249),"")</f>
        <v/>
      </c>
    </row>
    <row r="748" spans="1:8" x14ac:dyDescent="0.35">
      <c r="A748" s="5" t="str">
        <f>IFERROR(IF(Portafolio_Proyectos!$AR249="","","CAP-"&amp;ROW()-1),"")</f>
        <v/>
      </c>
      <c r="B748" s="5" t="str">
        <f>IFERROR(IF(Portafolio_Proyectos!$AR249="","",Portafolio_Proyectos!$AR249),"")</f>
        <v/>
      </c>
      <c r="C748" s="5" t="str">
        <f>IFERROR(IF(Portafolio_Proyectos!$AR249="","","Distintiva"),"")</f>
        <v/>
      </c>
      <c r="D748" s="5" t="str">
        <f>IFERROR(IF(Portafolio_Proyectos!$AR249="","",Portafolio_Proyectos!$C249),"")</f>
        <v/>
      </c>
      <c r="E748" s="5" t="str">
        <f>IFERROR(IF(Portafolio_Proyectos!$AR249="","",Portafolio_Proyectos!$B249),"")</f>
        <v/>
      </c>
      <c r="F748" s="5" t="str">
        <f>IFERROR(IF(Portafolio_Proyectos!$AR249="","",Portafolio_Proyectos!$D249),"")</f>
        <v/>
      </c>
      <c r="G748" s="5" t="str">
        <f>IFERROR(IF(Portafolio_Proyectos!$AR249="","",Portafolio_Proyectos!$A249),"")</f>
        <v/>
      </c>
      <c r="H748" s="5" t="str">
        <f>IFERROR(IF(Portafolio_Proyectos!$AR249="","",Portafolio_Proyectos!$E249),"")</f>
        <v/>
      </c>
    </row>
    <row r="749" spans="1:8" x14ac:dyDescent="0.35">
      <c r="A749" s="5" t="str">
        <f>IFERROR(IF(Portafolio_Proyectos!$AP250="","","CAP-"&amp;ROW()-1),"")</f>
        <v/>
      </c>
      <c r="B749" s="5" t="str">
        <f>IFERROR(IF(Portafolio_Proyectos!$AP250="","",Portafolio_Proyectos!$AP250),"")</f>
        <v/>
      </c>
      <c r="C749" s="5" t="str">
        <f>IFERROR(IF(Portafolio_Proyectos!$AP250="","","Emergente"),"")</f>
        <v/>
      </c>
      <c r="D749" s="5" t="str">
        <f>IFERROR(IF(Portafolio_Proyectos!$AP250="","",Portafolio_Proyectos!$C250),"")</f>
        <v/>
      </c>
      <c r="E749" s="5" t="str">
        <f>IFERROR(IF(Portafolio_Proyectos!$AP250="","",Portafolio_Proyectos!$B250),"")</f>
        <v/>
      </c>
      <c r="F749" s="5" t="str">
        <f>IFERROR(IF(Portafolio_Proyectos!$AP250="","",Portafolio_Proyectos!$D250),"")</f>
        <v/>
      </c>
      <c r="G749" s="5" t="str">
        <f>IFERROR(IF(Portafolio_Proyectos!$AP250="","",Portafolio_Proyectos!$A250),"")</f>
        <v/>
      </c>
      <c r="H749" s="5" t="str">
        <f>IFERROR(IF(Portafolio_Proyectos!$AP250="","",Portafolio_Proyectos!$E250),"")</f>
        <v/>
      </c>
    </row>
    <row r="750" spans="1:8" x14ac:dyDescent="0.35">
      <c r="A750" s="5" t="str">
        <f>IFERROR(IF(Portafolio_Proyectos!$AQ250="","","CAP-"&amp;ROW()-1),"")</f>
        <v/>
      </c>
      <c r="B750" s="5" t="str">
        <f>IFERROR(IF(Portafolio_Proyectos!$AQ250="","",Portafolio_Proyectos!$AQ250),"")</f>
        <v/>
      </c>
      <c r="C750" s="5" t="str">
        <f>IFERROR(IF(Portafolio_Proyectos!$AQ250="","","Consolidada"),"")</f>
        <v/>
      </c>
      <c r="D750" s="5" t="str">
        <f>IFERROR(IF(Portafolio_Proyectos!$AQ250="","",Portafolio_Proyectos!$C250),"")</f>
        <v/>
      </c>
      <c r="E750" s="5" t="str">
        <f>IFERROR(IF(Portafolio_Proyectos!$AQ250="","",Portafolio_Proyectos!$B250),"")</f>
        <v/>
      </c>
      <c r="F750" s="5" t="str">
        <f>IFERROR(IF(Portafolio_Proyectos!$AQ250="","",Portafolio_Proyectos!$D250),"")</f>
        <v/>
      </c>
      <c r="G750" s="5" t="str">
        <f>IFERROR(IF(Portafolio_Proyectos!$AQ250="","",Portafolio_Proyectos!$A250),"")</f>
        <v/>
      </c>
      <c r="H750" s="5" t="str">
        <f>IFERROR(IF(Portafolio_Proyectos!$AQ250="","",Portafolio_Proyectos!$E250),"")</f>
        <v/>
      </c>
    </row>
    <row r="751" spans="1:8" x14ac:dyDescent="0.35">
      <c r="A751" s="5" t="str">
        <f>IFERROR(IF(Portafolio_Proyectos!$AR250="","","CAP-"&amp;ROW()-1),"")</f>
        <v/>
      </c>
      <c r="B751" s="5" t="str">
        <f>IFERROR(IF(Portafolio_Proyectos!$AR250="","",Portafolio_Proyectos!$AR250),"")</f>
        <v/>
      </c>
      <c r="C751" s="5" t="str">
        <f>IFERROR(IF(Portafolio_Proyectos!$AR250="","","Distintiva"),"")</f>
        <v/>
      </c>
      <c r="D751" s="5" t="str">
        <f>IFERROR(IF(Portafolio_Proyectos!$AR250="","",Portafolio_Proyectos!$C250),"")</f>
        <v/>
      </c>
      <c r="E751" s="5" t="str">
        <f>IFERROR(IF(Portafolio_Proyectos!$AR250="","",Portafolio_Proyectos!$B250),"")</f>
        <v/>
      </c>
      <c r="F751" s="5" t="str">
        <f>IFERROR(IF(Portafolio_Proyectos!$AR250="","",Portafolio_Proyectos!$D250),"")</f>
        <v/>
      </c>
      <c r="G751" s="5" t="str">
        <f>IFERROR(IF(Portafolio_Proyectos!$AR250="","",Portafolio_Proyectos!$A250),"")</f>
        <v/>
      </c>
      <c r="H751" s="5" t="str">
        <f>IFERROR(IF(Portafolio_Proyectos!$AR250="","",Portafolio_Proyectos!$E250),"")</f>
        <v/>
      </c>
    </row>
    <row r="752" spans="1:8" x14ac:dyDescent="0.35">
      <c r="A752" s="5" t="str">
        <f>IFERROR(IF(Portafolio_Proyectos!$AP251="","","CAP-"&amp;ROW()-1),"")</f>
        <v/>
      </c>
      <c r="B752" s="5" t="str">
        <f>IFERROR(IF(Portafolio_Proyectos!$AP251="","",Portafolio_Proyectos!$AP251),"")</f>
        <v/>
      </c>
      <c r="C752" s="5" t="str">
        <f>IFERROR(IF(Portafolio_Proyectos!$AP251="","","Emergente"),"")</f>
        <v/>
      </c>
      <c r="D752" s="5" t="str">
        <f>IFERROR(IF(Portafolio_Proyectos!$AP251="","",Portafolio_Proyectos!$C251),"")</f>
        <v/>
      </c>
      <c r="E752" s="5" t="str">
        <f>IFERROR(IF(Portafolio_Proyectos!$AP251="","",Portafolio_Proyectos!$B251),"")</f>
        <v/>
      </c>
      <c r="F752" s="5" t="str">
        <f>IFERROR(IF(Portafolio_Proyectos!$AP251="","",Portafolio_Proyectos!$D251),"")</f>
        <v/>
      </c>
      <c r="G752" s="5" t="str">
        <f>IFERROR(IF(Portafolio_Proyectos!$AP251="","",Portafolio_Proyectos!$A251),"")</f>
        <v/>
      </c>
      <c r="H752" s="5" t="str">
        <f>IFERROR(IF(Portafolio_Proyectos!$AP251="","",Portafolio_Proyectos!$E251),"")</f>
        <v/>
      </c>
    </row>
    <row r="753" spans="1:8" x14ac:dyDescent="0.35">
      <c r="A753" s="5" t="str">
        <f>IFERROR(IF(Portafolio_Proyectos!$AQ251="","","CAP-"&amp;ROW()-1),"")</f>
        <v/>
      </c>
      <c r="B753" s="5" t="str">
        <f>IFERROR(IF(Portafolio_Proyectos!$AQ251="","",Portafolio_Proyectos!$AQ251),"")</f>
        <v/>
      </c>
      <c r="C753" s="5" t="str">
        <f>IFERROR(IF(Portafolio_Proyectos!$AQ251="","","Consolidada"),"")</f>
        <v/>
      </c>
      <c r="D753" s="5" t="str">
        <f>IFERROR(IF(Portafolio_Proyectos!$AQ251="","",Portafolio_Proyectos!$C251),"")</f>
        <v/>
      </c>
      <c r="E753" s="5" t="str">
        <f>IFERROR(IF(Portafolio_Proyectos!$AQ251="","",Portafolio_Proyectos!$B251),"")</f>
        <v/>
      </c>
      <c r="F753" s="5" t="str">
        <f>IFERROR(IF(Portafolio_Proyectos!$AQ251="","",Portafolio_Proyectos!$D251),"")</f>
        <v/>
      </c>
      <c r="G753" s="5" t="str">
        <f>IFERROR(IF(Portafolio_Proyectos!$AQ251="","",Portafolio_Proyectos!$A251),"")</f>
        <v/>
      </c>
      <c r="H753" s="5" t="str">
        <f>IFERROR(IF(Portafolio_Proyectos!$AQ251="","",Portafolio_Proyectos!$E251),"")</f>
        <v/>
      </c>
    </row>
    <row r="754" spans="1:8" x14ac:dyDescent="0.35">
      <c r="A754" s="5" t="str">
        <f>IFERROR(IF(Portafolio_Proyectos!$AR251="","","CAP-"&amp;ROW()-1),"")</f>
        <v/>
      </c>
      <c r="B754" s="5" t="str">
        <f>IFERROR(IF(Portafolio_Proyectos!$AR251="","",Portafolio_Proyectos!$AR251),"")</f>
        <v/>
      </c>
      <c r="C754" s="5" t="str">
        <f>IFERROR(IF(Portafolio_Proyectos!$AR251="","","Distintiva"),"")</f>
        <v/>
      </c>
      <c r="D754" s="5" t="str">
        <f>IFERROR(IF(Portafolio_Proyectos!$AR251="","",Portafolio_Proyectos!$C251),"")</f>
        <v/>
      </c>
      <c r="E754" s="5" t="str">
        <f>IFERROR(IF(Portafolio_Proyectos!$AR251="","",Portafolio_Proyectos!$B251),"")</f>
        <v/>
      </c>
      <c r="F754" s="5" t="str">
        <f>IFERROR(IF(Portafolio_Proyectos!$AR251="","",Portafolio_Proyectos!$D251),"")</f>
        <v/>
      </c>
      <c r="G754" s="5" t="str">
        <f>IFERROR(IF(Portafolio_Proyectos!$AR251="","",Portafolio_Proyectos!$A251),"")</f>
        <v/>
      </c>
      <c r="H754" s="5" t="str">
        <f>IFERROR(IF(Portafolio_Proyectos!$AR251="","",Portafolio_Proyectos!$E251),"")</f>
        <v/>
      </c>
    </row>
    <row r="755" spans="1:8" x14ac:dyDescent="0.35">
      <c r="A755" s="5" t="str">
        <f>IFERROR(IF(Portafolio_Proyectos!$AP252="","","CAP-"&amp;ROW()-1),"")</f>
        <v/>
      </c>
      <c r="B755" s="5" t="str">
        <f>IFERROR(IF(Portafolio_Proyectos!$AP252="","",Portafolio_Proyectos!$AP252),"")</f>
        <v/>
      </c>
      <c r="C755" s="5" t="str">
        <f>IFERROR(IF(Portafolio_Proyectos!$AP252="","","Emergente"),"")</f>
        <v/>
      </c>
      <c r="D755" s="5" t="str">
        <f>IFERROR(IF(Portafolio_Proyectos!$AP252="","",Portafolio_Proyectos!$C252),"")</f>
        <v/>
      </c>
      <c r="E755" s="5" t="str">
        <f>IFERROR(IF(Portafolio_Proyectos!$AP252="","",Portafolio_Proyectos!$B252),"")</f>
        <v/>
      </c>
      <c r="F755" s="5" t="str">
        <f>IFERROR(IF(Portafolio_Proyectos!$AP252="","",Portafolio_Proyectos!$D252),"")</f>
        <v/>
      </c>
      <c r="G755" s="5" t="str">
        <f>IFERROR(IF(Portafolio_Proyectos!$AP252="","",Portafolio_Proyectos!$A252),"")</f>
        <v/>
      </c>
      <c r="H755" s="5" t="str">
        <f>IFERROR(IF(Portafolio_Proyectos!$AP252="","",Portafolio_Proyectos!$E252),"")</f>
        <v/>
      </c>
    </row>
    <row r="756" spans="1:8" x14ac:dyDescent="0.35">
      <c r="A756" s="5" t="str">
        <f>IFERROR(IF(Portafolio_Proyectos!$AQ252="","","CAP-"&amp;ROW()-1),"")</f>
        <v/>
      </c>
      <c r="B756" s="5" t="str">
        <f>IFERROR(IF(Portafolio_Proyectos!$AQ252="","",Portafolio_Proyectos!$AQ252),"")</f>
        <v/>
      </c>
      <c r="C756" s="5" t="str">
        <f>IFERROR(IF(Portafolio_Proyectos!$AQ252="","","Consolidada"),"")</f>
        <v/>
      </c>
      <c r="D756" s="5" t="str">
        <f>IFERROR(IF(Portafolio_Proyectos!$AQ252="","",Portafolio_Proyectos!$C252),"")</f>
        <v/>
      </c>
      <c r="E756" s="5" t="str">
        <f>IFERROR(IF(Portafolio_Proyectos!$AQ252="","",Portafolio_Proyectos!$B252),"")</f>
        <v/>
      </c>
      <c r="F756" s="5" t="str">
        <f>IFERROR(IF(Portafolio_Proyectos!$AQ252="","",Portafolio_Proyectos!$D252),"")</f>
        <v/>
      </c>
      <c r="G756" s="5" t="str">
        <f>IFERROR(IF(Portafolio_Proyectos!$AQ252="","",Portafolio_Proyectos!$A252),"")</f>
        <v/>
      </c>
      <c r="H756" s="5" t="str">
        <f>IFERROR(IF(Portafolio_Proyectos!$AQ252="","",Portafolio_Proyectos!$E252),"")</f>
        <v/>
      </c>
    </row>
    <row r="757" spans="1:8" x14ac:dyDescent="0.35">
      <c r="A757" s="5" t="str">
        <f>IFERROR(IF(Portafolio_Proyectos!$AR252="","","CAP-"&amp;ROW()-1),"")</f>
        <v/>
      </c>
      <c r="B757" s="5" t="str">
        <f>IFERROR(IF(Portafolio_Proyectos!$AR252="","",Portafolio_Proyectos!$AR252),"")</f>
        <v/>
      </c>
      <c r="C757" s="5" t="str">
        <f>IFERROR(IF(Portafolio_Proyectos!$AR252="","","Distintiva"),"")</f>
        <v/>
      </c>
      <c r="D757" s="5" t="str">
        <f>IFERROR(IF(Portafolio_Proyectos!$AR252="","",Portafolio_Proyectos!$C252),"")</f>
        <v/>
      </c>
      <c r="E757" s="5" t="str">
        <f>IFERROR(IF(Portafolio_Proyectos!$AR252="","",Portafolio_Proyectos!$B252),"")</f>
        <v/>
      </c>
      <c r="F757" s="5" t="str">
        <f>IFERROR(IF(Portafolio_Proyectos!$AR252="","",Portafolio_Proyectos!$D252),"")</f>
        <v/>
      </c>
      <c r="G757" s="5" t="str">
        <f>IFERROR(IF(Portafolio_Proyectos!$AR252="","",Portafolio_Proyectos!$A252),"")</f>
        <v/>
      </c>
      <c r="H757" s="5" t="str">
        <f>IFERROR(IF(Portafolio_Proyectos!$AR252="","",Portafolio_Proyectos!$E252),"")</f>
        <v/>
      </c>
    </row>
    <row r="758" spans="1:8" x14ac:dyDescent="0.35">
      <c r="A758" s="5" t="str">
        <f>IFERROR(IF(Portafolio_Proyectos!$AP253="","","CAP-"&amp;ROW()-1),"")</f>
        <v/>
      </c>
      <c r="B758" s="5" t="str">
        <f>IFERROR(IF(Portafolio_Proyectos!$AP253="","",Portafolio_Proyectos!$AP253),"")</f>
        <v/>
      </c>
      <c r="C758" s="5" t="str">
        <f>IFERROR(IF(Portafolio_Proyectos!$AP253="","","Emergente"),"")</f>
        <v/>
      </c>
      <c r="D758" s="5" t="str">
        <f>IFERROR(IF(Portafolio_Proyectos!$AP253="","",Portafolio_Proyectos!$C253),"")</f>
        <v/>
      </c>
      <c r="E758" s="5" t="str">
        <f>IFERROR(IF(Portafolio_Proyectos!$AP253="","",Portafolio_Proyectos!$B253),"")</f>
        <v/>
      </c>
      <c r="F758" s="5" t="str">
        <f>IFERROR(IF(Portafolio_Proyectos!$AP253="","",Portafolio_Proyectos!$D253),"")</f>
        <v/>
      </c>
      <c r="G758" s="5" t="str">
        <f>IFERROR(IF(Portafolio_Proyectos!$AP253="","",Portafolio_Proyectos!$A253),"")</f>
        <v/>
      </c>
      <c r="H758" s="5" t="str">
        <f>IFERROR(IF(Portafolio_Proyectos!$AP253="","",Portafolio_Proyectos!$E253),"")</f>
        <v/>
      </c>
    </row>
    <row r="759" spans="1:8" x14ac:dyDescent="0.35">
      <c r="A759" s="5" t="str">
        <f>IFERROR(IF(Portafolio_Proyectos!$AQ253="","","CAP-"&amp;ROW()-1),"")</f>
        <v/>
      </c>
      <c r="B759" s="5" t="str">
        <f>IFERROR(IF(Portafolio_Proyectos!$AQ253="","",Portafolio_Proyectos!$AQ253),"")</f>
        <v/>
      </c>
      <c r="C759" s="5" t="str">
        <f>IFERROR(IF(Portafolio_Proyectos!$AQ253="","","Consolidada"),"")</f>
        <v/>
      </c>
      <c r="D759" s="5" t="str">
        <f>IFERROR(IF(Portafolio_Proyectos!$AQ253="","",Portafolio_Proyectos!$C253),"")</f>
        <v/>
      </c>
      <c r="E759" s="5" t="str">
        <f>IFERROR(IF(Portafolio_Proyectos!$AQ253="","",Portafolio_Proyectos!$B253),"")</f>
        <v/>
      </c>
      <c r="F759" s="5" t="str">
        <f>IFERROR(IF(Portafolio_Proyectos!$AQ253="","",Portafolio_Proyectos!$D253),"")</f>
        <v/>
      </c>
      <c r="G759" s="5" t="str">
        <f>IFERROR(IF(Portafolio_Proyectos!$AQ253="","",Portafolio_Proyectos!$A253),"")</f>
        <v/>
      </c>
      <c r="H759" s="5" t="str">
        <f>IFERROR(IF(Portafolio_Proyectos!$AQ253="","",Portafolio_Proyectos!$E253),"")</f>
        <v/>
      </c>
    </row>
    <row r="760" spans="1:8" x14ac:dyDescent="0.35">
      <c r="A760" s="5" t="str">
        <f>IFERROR(IF(Portafolio_Proyectos!$AR253="","","CAP-"&amp;ROW()-1),"")</f>
        <v/>
      </c>
      <c r="B760" s="5" t="str">
        <f>IFERROR(IF(Portafolio_Proyectos!$AR253="","",Portafolio_Proyectos!$AR253),"")</f>
        <v/>
      </c>
      <c r="C760" s="5" t="str">
        <f>IFERROR(IF(Portafolio_Proyectos!$AR253="","","Distintiva"),"")</f>
        <v/>
      </c>
      <c r="D760" s="5" t="str">
        <f>IFERROR(IF(Portafolio_Proyectos!$AR253="","",Portafolio_Proyectos!$C253),"")</f>
        <v/>
      </c>
      <c r="E760" s="5" t="str">
        <f>IFERROR(IF(Portafolio_Proyectos!$AR253="","",Portafolio_Proyectos!$B253),"")</f>
        <v/>
      </c>
      <c r="F760" s="5" t="str">
        <f>IFERROR(IF(Portafolio_Proyectos!$AR253="","",Portafolio_Proyectos!$D253),"")</f>
        <v/>
      </c>
      <c r="G760" s="5" t="str">
        <f>IFERROR(IF(Portafolio_Proyectos!$AR253="","",Portafolio_Proyectos!$A253),"")</f>
        <v/>
      </c>
      <c r="H760" s="5" t="str">
        <f>IFERROR(IF(Portafolio_Proyectos!$AR253="","",Portafolio_Proyectos!$E253),"")</f>
        <v/>
      </c>
    </row>
    <row r="761" spans="1:8" x14ac:dyDescent="0.35">
      <c r="A761" s="5" t="str">
        <f>IFERROR(IF(Portafolio_Proyectos!$AP254="","","CAP-"&amp;ROW()-1),"")</f>
        <v/>
      </c>
      <c r="B761" s="5" t="str">
        <f>IFERROR(IF(Portafolio_Proyectos!$AP254="","",Portafolio_Proyectos!$AP254),"")</f>
        <v/>
      </c>
      <c r="C761" s="5" t="str">
        <f>IFERROR(IF(Portafolio_Proyectos!$AP254="","","Emergente"),"")</f>
        <v/>
      </c>
      <c r="D761" s="5" t="str">
        <f>IFERROR(IF(Portafolio_Proyectos!$AP254="","",Portafolio_Proyectos!$C254),"")</f>
        <v/>
      </c>
      <c r="E761" s="5" t="str">
        <f>IFERROR(IF(Portafolio_Proyectos!$AP254="","",Portafolio_Proyectos!$B254),"")</f>
        <v/>
      </c>
      <c r="F761" s="5" t="str">
        <f>IFERROR(IF(Portafolio_Proyectos!$AP254="","",Portafolio_Proyectos!$D254),"")</f>
        <v/>
      </c>
      <c r="G761" s="5" t="str">
        <f>IFERROR(IF(Portafolio_Proyectos!$AP254="","",Portafolio_Proyectos!$A254),"")</f>
        <v/>
      </c>
      <c r="H761" s="5" t="str">
        <f>IFERROR(IF(Portafolio_Proyectos!$AP254="","",Portafolio_Proyectos!$E254),"")</f>
        <v/>
      </c>
    </row>
    <row r="762" spans="1:8" x14ac:dyDescent="0.35">
      <c r="A762" s="5" t="str">
        <f>IFERROR(IF(Portafolio_Proyectos!$AQ254="","","CAP-"&amp;ROW()-1),"")</f>
        <v/>
      </c>
      <c r="B762" s="5" t="str">
        <f>IFERROR(IF(Portafolio_Proyectos!$AQ254="","",Portafolio_Proyectos!$AQ254),"")</f>
        <v/>
      </c>
      <c r="C762" s="5" t="str">
        <f>IFERROR(IF(Portafolio_Proyectos!$AQ254="","","Consolidada"),"")</f>
        <v/>
      </c>
      <c r="D762" s="5" t="str">
        <f>IFERROR(IF(Portafolio_Proyectos!$AQ254="","",Portafolio_Proyectos!$C254),"")</f>
        <v/>
      </c>
      <c r="E762" s="5" t="str">
        <f>IFERROR(IF(Portafolio_Proyectos!$AQ254="","",Portafolio_Proyectos!$B254),"")</f>
        <v/>
      </c>
      <c r="F762" s="5" t="str">
        <f>IFERROR(IF(Portafolio_Proyectos!$AQ254="","",Portafolio_Proyectos!$D254),"")</f>
        <v/>
      </c>
      <c r="G762" s="5" t="str">
        <f>IFERROR(IF(Portafolio_Proyectos!$AQ254="","",Portafolio_Proyectos!$A254),"")</f>
        <v/>
      </c>
      <c r="H762" s="5" t="str">
        <f>IFERROR(IF(Portafolio_Proyectos!$AQ254="","",Portafolio_Proyectos!$E254),"")</f>
        <v/>
      </c>
    </row>
    <row r="763" spans="1:8" x14ac:dyDescent="0.35">
      <c r="A763" s="5" t="str">
        <f>IFERROR(IF(Portafolio_Proyectos!$AR254="","","CAP-"&amp;ROW()-1),"")</f>
        <v/>
      </c>
      <c r="B763" s="5" t="str">
        <f>IFERROR(IF(Portafolio_Proyectos!$AR254="","",Portafolio_Proyectos!$AR254),"")</f>
        <v/>
      </c>
      <c r="C763" s="5" t="str">
        <f>IFERROR(IF(Portafolio_Proyectos!$AR254="","","Distintiva"),"")</f>
        <v/>
      </c>
      <c r="D763" s="5" t="str">
        <f>IFERROR(IF(Portafolio_Proyectos!$AR254="","",Portafolio_Proyectos!$C254),"")</f>
        <v/>
      </c>
      <c r="E763" s="5" t="str">
        <f>IFERROR(IF(Portafolio_Proyectos!$AR254="","",Portafolio_Proyectos!$B254),"")</f>
        <v/>
      </c>
      <c r="F763" s="5" t="str">
        <f>IFERROR(IF(Portafolio_Proyectos!$AR254="","",Portafolio_Proyectos!$D254),"")</f>
        <v/>
      </c>
      <c r="G763" s="5" t="str">
        <f>IFERROR(IF(Portafolio_Proyectos!$AR254="","",Portafolio_Proyectos!$A254),"")</f>
        <v/>
      </c>
      <c r="H763" s="5" t="str">
        <f>IFERROR(IF(Portafolio_Proyectos!$AR254="","",Portafolio_Proyectos!$E254),"")</f>
        <v/>
      </c>
    </row>
    <row r="764" spans="1:8" x14ac:dyDescent="0.35">
      <c r="A764" s="5" t="str">
        <f>IFERROR(IF(Portafolio_Proyectos!$AP255="","","CAP-"&amp;ROW()-1),"")</f>
        <v/>
      </c>
      <c r="B764" s="5" t="str">
        <f>IFERROR(IF(Portafolio_Proyectos!$AP255="","",Portafolio_Proyectos!$AP255),"")</f>
        <v/>
      </c>
      <c r="C764" s="5" t="str">
        <f>IFERROR(IF(Portafolio_Proyectos!$AP255="","","Emergente"),"")</f>
        <v/>
      </c>
      <c r="D764" s="5" t="str">
        <f>IFERROR(IF(Portafolio_Proyectos!$AP255="","",Portafolio_Proyectos!$C255),"")</f>
        <v/>
      </c>
      <c r="E764" s="5" t="str">
        <f>IFERROR(IF(Portafolio_Proyectos!$AP255="","",Portafolio_Proyectos!$B255),"")</f>
        <v/>
      </c>
      <c r="F764" s="5" t="str">
        <f>IFERROR(IF(Portafolio_Proyectos!$AP255="","",Portafolio_Proyectos!$D255),"")</f>
        <v/>
      </c>
      <c r="G764" s="5" t="str">
        <f>IFERROR(IF(Portafolio_Proyectos!$AP255="","",Portafolio_Proyectos!$A255),"")</f>
        <v/>
      </c>
      <c r="H764" s="5" t="str">
        <f>IFERROR(IF(Portafolio_Proyectos!$AP255="","",Portafolio_Proyectos!$E255),"")</f>
        <v/>
      </c>
    </row>
    <row r="765" spans="1:8" x14ac:dyDescent="0.35">
      <c r="A765" s="5" t="str">
        <f>IFERROR(IF(Portafolio_Proyectos!$AQ255="","","CAP-"&amp;ROW()-1),"")</f>
        <v/>
      </c>
      <c r="B765" s="5" t="str">
        <f>IFERROR(IF(Portafolio_Proyectos!$AQ255="","",Portafolio_Proyectos!$AQ255),"")</f>
        <v/>
      </c>
      <c r="C765" s="5" t="str">
        <f>IFERROR(IF(Portafolio_Proyectos!$AQ255="","","Consolidada"),"")</f>
        <v/>
      </c>
      <c r="D765" s="5" t="str">
        <f>IFERROR(IF(Portafolio_Proyectos!$AQ255="","",Portafolio_Proyectos!$C255),"")</f>
        <v/>
      </c>
      <c r="E765" s="5" t="str">
        <f>IFERROR(IF(Portafolio_Proyectos!$AQ255="","",Portafolio_Proyectos!$B255),"")</f>
        <v/>
      </c>
      <c r="F765" s="5" t="str">
        <f>IFERROR(IF(Portafolio_Proyectos!$AQ255="","",Portafolio_Proyectos!$D255),"")</f>
        <v/>
      </c>
      <c r="G765" s="5" t="str">
        <f>IFERROR(IF(Portafolio_Proyectos!$AQ255="","",Portafolio_Proyectos!$A255),"")</f>
        <v/>
      </c>
      <c r="H765" s="5" t="str">
        <f>IFERROR(IF(Portafolio_Proyectos!$AQ255="","",Portafolio_Proyectos!$E255),"")</f>
        <v/>
      </c>
    </row>
    <row r="766" spans="1:8" x14ac:dyDescent="0.35">
      <c r="A766" s="5" t="str">
        <f>IFERROR(IF(Portafolio_Proyectos!$AR255="","","CAP-"&amp;ROW()-1),"")</f>
        <v/>
      </c>
      <c r="B766" s="5" t="str">
        <f>IFERROR(IF(Portafolio_Proyectos!$AR255="","",Portafolio_Proyectos!$AR255),"")</f>
        <v/>
      </c>
      <c r="C766" s="5" t="str">
        <f>IFERROR(IF(Portafolio_Proyectos!$AR255="","","Distintiva"),"")</f>
        <v/>
      </c>
      <c r="D766" s="5" t="str">
        <f>IFERROR(IF(Portafolio_Proyectos!$AR255="","",Portafolio_Proyectos!$C255),"")</f>
        <v/>
      </c>
      <c r="E766" s="5" t="str">
        <f>IFERROR(IF(Portafolio_Proyectos!$AR255="","",Portafolio_Proyectos!$B255),"")</f>
        <v/>
      </c>
      <c r="F766" s="5" t="str">
        <f>IFERROR(IF(Portafolio_Proyectos!$AR255="","",Portafolio_Proyectos!$D255),"")</f>
        <v/>
      </c>
      <c r="G766" s="5" t="str">
        <f>IFERROR(IF(Portafolio_Proyectos!$AR255="","",Portafolio_Proyectos!$A255),"")</f>
        <v/>
      </c>
      <c r="H766" s="5" t="str">
        <f>IFERROR(IF(Portafolio_Proyectos!$AR255="","",Portafolio_Proyectos!$E255),"")</f>
        <v/>
      </c>
    </row>
    <row r="767" spans="1:8" x14ac:dyDescent="0.35">
      <c r="A767" s="5" t="str">
        <f>IFERROR(IF(Portafolio_Proyectos!$AP256="","","CAP-"&amp;ROW()-1),"")</f>
        <v/>
      </c>
      <c r="B767" s="5" t="str">
        <f>IFERROR(IF(Portafolio_Proyectos!$AP256="","",Portafolio_Proyectos!$AP256),"")</f>
        <v/>
      </c>
      <c r="C767" s="5" t="str">
        <f>IFERROR(IF(Portafolio_Proyectos!$AP256="","","Emergente"),"")</f>
        <v/>
      </c>
      <c r="D767" s="5" t="str">
        <f>IFERROR(IF(Portafolio_Proyectos!$AP256="","",Portafolio_Proyectos!$C256),"")</f>
        <v/>
      </c>
      <c r="E767" s="5" t="str">
        <f>IFERROR(IF(Portafolio_Proyectos!$AP256="","",Portafolio_Proyectos!$B256),"")</f>
        <v/>
      </c>
      <c r="F767" s="5" t="str">
        <f>IFERROR(IF(Portafolio_Proyectos!$AP256="","",Portafolio_Proyectos!$D256),"")</f>
        <v/>
      </c>
      <c r="G767" s="5" t="str">
        <f>IFERROR(IF(Portafolio_Proyectos!$AP256="","",Portafolio_Proyectos!$A256),"")</f>
        <v/>
      </c>
      <c r="H767" s="5" t="str">
        <f>IFERROR(IF(Portafolio_Proyectos!$AP256="","",Portafolio_Proyectos!$E256),"")</f>
        <v/>
      </c>
    </row>
    <row r="768" spans="1:8" x14ac:dyDescent="0.35">
      <c r="A768" s="5" t="str">
        <f>IFERROR(IF(Portafolio_Proyectos!$AQ256="","","CAP-"&amp;ROW()-1),"")</f>
        <v/>
      </c>
      <c r="B768" s="5" t="str">
        <f>IFERROR(IF(Portafolio_Proyectos!$AQ256="","",Portafolio_Proyectos!$AQ256),"")</f>
        <v/>
      </c>
      <c r="C768" s="5" t="str">
        <f>IFERROR(IF(Portafolio_Proyectos!$AQ256="","","Consolidada"),"")</f>
        <v/>
      </c>
      <c r="D768" s="5" t="str">
        <f>IFERROR(IF(Portafolio_Proyectos!$AQ256="","",Portafolio_Proyectos!$C256),"")</f>
        <v/>
      </c>
      <c r="E768" s="5" t="str">
        <f>IFERROR(IF(Portafolio_Proyectos!$AQ256="","",Portafolio_Proyectos!$B256),"")</f>
        <v/>
      </c>
      <c r="F768" s="5" t="str">
        <f>IFERROR(IF(Portafolio_Proyectos!$AQ256="","",Portafolio_Proyectos!$D256),"")</f>
        <v/>
      </c>
      <c r="G768" s="5" t="str">
        <f>IFERROR(IF(Portafolio_Proyectos!$AQ256="","",Portafolio_Proyectos!$A256),"")</f>
        <v/>
      </c>
      <c r="H768" s="5" t="str">
        <f>IFERROR(IF(Portafolio_Proyectos!$AQ256="","",Portafolio_Proyectos!$E256),"")</f>
        <v/>
      </c>
    </row>
    <row r="769" spans="1:8" x14ac:dyDescent="0.35">
      <c r="A769" s="5" t="str">
        <f>IFERROR(IF(Portafolio_Proyectos!$AR256="","","CAP-"&amp;ROW()-1),"")</f>
        <v/>
      </c>
      <c r="B769" s="5" t="str">
        <f>IFERROR(IF(Portafolio_Proyectos!$AR256="","",Portafolio_Proyectos!$AR256),"")</f>
        <v/>
      </c>
      <c r="C769" s="5" t="str">
        <f>IFERROR(IF(Portafolio_Proyectos!$AR256="","","Distintiva"),"")</f>
        <v/>
      </c>
      <c r="D769" s="5" t="str">
        <f>IFERROR(IF(Portafolio_Proyectos!$AR256="","",Portafolio_Proyectos!$C256),"")</f>
        <v/>
      </c>
      <c r="E769" s="5" t="str">
        <f>IFERROR(IF(Portafolio_Proyectos!$AR256="","",Portafolio_Proyectos!$B256),"")</f>
        <v/>
      </c>
      <c r="F769" s="5" t="str">
        <f>IFERROR(IF(Portafolio_Proyectos!$AR256="","",Portafolio_Proyectos!$D256),"")</f>
        <v/>
      </c>
      <c r="G769" s="5" t="str">
        <f>IFERROR(IF(Portafolio_Proyectos!$AR256="","",Portafolio_Proyectos!$A256),"")</f>
        <v/>
      </c>
      <c r="H769" s="5" t="str">
        <f>IFERROR(IF(Portafolio_Proyectos!$AR256="","",Portafolio_Proyectos!$E256),"")</f>
        <v/>
      </c>
    </row>
    <row r="770" spans="1:8" x14ac:dyDescent="0.35">
      <c r="A770" s="5" t="str">
        <f>IFERROR(IF(Portafolio_Proyectos!$AP257="","","CAP-"&amp;ROW()-1),"")</f>
        <v/>
      </c>
      <c r="B770" s="5" t="str">
        <f>IFERROR(IF(Portafolio_Proyectos!$AP257="","",Portafolio_Proyectos!$AP257),"")</f>
        <v/>
      </c>
      <c r="C770" s="5" t="str">
        <f>IFERROR(IF(Portafolio_Proyectos!$AP257="","","Emergente"),"")</f>
        <v/>
      </c>
      <c r="D770" s="5" t="str">
        <f>IFERROR(IF(Portafolio_Proyectos!$AP257="","",Portafolio_Proyectos!$C257),"")</f>
        <v/>
      </c>
      <c r="E770" s="5" t="str">
        <f>IFERROR(IF(Portafolio_Proyectos!$AP257="","",Portafolio_Proyectos!$B257),"")</f>
        <v/>
      </c>
      <c r="F770" s="5" t="str">
        <f>IFERROR(IF(Portafolio_Proyectos!$AP257="","",Portafolio_Proyectos!$D257),"")</f>
        <v/>
      </c>
      <c r="G770" s="5" t="str">
        <f>IFERROR(IF(Portafolio_Proyectos!$AP257="","",Portafolio_Proyectos!$A257),"")</f>
        <v/>
      </c>
      <c r="H770" s="5" t="str">
        <f>IFERROR(IF(Portafolio_Proyectos!$AP257="","",Portafolio_Proyectos!$E257),"")</f>
        <v/>
      </c>
    </row>
    <row r="771" spans="1:8" x14ac:dyDescent="0.35">
      <c r="A771" s="5" t="str">
        <f>IFERROR(IF(Portafolio_Proyectos!$AQ257="","","CAP-"&amp;ROW()-1),"")</f>
        <v/>
      </c>
      <c r="B771" s="5" t="str">
        <f>IFERROR(IF(Portafolio_Proyectos!$AQ257="","",Portafolio_Proyectos!$AQ257),"")</f>
        <v/>
      </c>
      <c r="C771" s="5" t="str">
        <f>IFERROR(IF(Portafolio_Proyectos!$AQ257="","","Consolidada"),"")</f>
        <v/>
      </c>
      <c r="D771" s="5" t="str">
        <f>IFERROR(IF(Portafolio_Proyectos!$AQ257="","",Portafolio_Proyectos!$C257),"")</f>
        <v/>
      </c>
      <c r="E771" s="5" t="str">
        <f>IFERROR(IF(Portafolio_Proyectos!$AQ257="","",Portafolio_Proyectos!$B257),"")</f>
        <v/>
      </c>
      <c r="F771" s="5" t="str">
        <f>IFERROR(IF(Portafolio_Proyectos!$AQ257="","",Portafolio_Proyectos!$D257),"")</f>
        <v/>
      </c>
      <c r="G771" s="5" t="str">
        <f>IFERROR(IF(Portafolio_Proyectos!$AQ257="","",Portafolio_Proyectos!$A257),"")</f>
        <v/>
      </c>
      <c r="H771" s="5" t="str">
        <f>IFERROR(IF(Portafolio_Proyectos!$AQ257="","",Portafolio_Proyectos!$E257),"")</f>
        <v/>
      </c>
    </row>
    <row r="772" spans="1:8" x14ac:dyDescent="0.35">
      <c r="A772" s="5" t="str">
        <f>IFERROR(IF(Portafolio_Proyectos!$AR257="","","CAP-"&amp;ROW()-1),"")</f>
        <v/>
      </c>
      <c r="B772" s="5" t="str">
        <f>IFERROR(IF(Portafolio_Proyectos!$AR257="","",Portafolio_Proyectos!$AR257),"")</f>
        <v/>
      </c>
      <c r="C772" s="5" t="str">
        <f>IFERROR(IF(Portafolio_Proyectos!$AR257="","","Distintiva"),"")</f>
        <v/>
      </c>
      <c r="D772" s="5" t="str">
        <f>IFERROR(IF(Portafolio_Proyectos!$AR257="","",Portafolio_Proyectos!$C257),"")</f>
        <v/>
      </c>
      <c r="E772" s="5" t="str">
        <f>IFERROR(IF(Portafolio_Proyectos!$AR257="","",Portafolio_Proyectos!$B257),"")</f>
        <v/>
      </c>
      <c r="F772" s="5" t="str">
        <f>IFERROR(IF(Portafolio_Proyectos!$AR257="","",Portafolio_Proyectos!$D257),"")</f>
        <v/>
      </c>
      <c r="G772" s="5" t="str">
        <f>IFERROR(IF(Portafolio_Proyectos!$AR257="","",Portafolio_Proyectos!$A257),"")</f>
        <v/>
      </c>
      <c r="H772" s="5" t="str">
        <f>IFERROR(IF(Portafolio_Proyectos!$AR257="","",Portafolio_Proyectos!$E257),"")</f>
        <v/>
      </c>
    </row>
    <row r="773" spans="1:8" x14ac:dyDescent="0.35">
      <c r="A773" s="5" t="str">
        <f>IFERROR(IF(Portafolio_Proyectos!$AP258="","","CAP-"&amp;ROW()-1),"")</f>
        <v/>
      </c>
      <c r="B773" s="5" t="str">
        <f>IFERROR(IF(Portafolio_Proyectos!$AP258="","",Portafolio_Proyectos!$AP258),"")</f>
        <v/>
      </c>
      <c r="C773" s="5" t="str">
        <f>IFERROR(IF(Portafolio_Proyectos!$AP258="","","Emergente"),"")</f>
        <v/>
      </c>
      <c r="D773" s="5" t="str">
        <f>IFERROR(IF(Portafolio_Proyectos!$AP258="","",Portafolio_Proyectos!$C258),"")</f>
        <v/>
      </c>
      <c r="E773" s="5" t="str">
        <f>IFERROR(IF(Portafolio_Proyectos!$AP258="","",Portafolio_Proyectos!$B258),"")</f>
        <v/>
      </c>
      <c r="F773" s="5" t="str">
        <f>IFERROR(IF(Portafolio_Proyectos!$AP258="","",Portafolio_Proyectos!$D258),"")</f>
        <v/>
      </c>
      <c r="G773" s="5" t="str">
        <f>IFERROR(IF(Portafolio_Proyectos!$AP258="","",Portafolio_Proyectos!$A258),"")</f>
        <v/>
      </c>
      <c r="H773" s="5" t="str">
        <f>IFERROR(IF(Portafolio_Proyectos!$AP258="","",Portafolio_Proyectos!$E258),"")</f>
        <v/>
      </c>
    </row>
    <row r="774" spans="1:8" x14ac:dyDescent="0.35">
      <c r="A774" s="5" t="str">
        <f>IFERROR(IF(Portafolio_Proyectos!$AQ258="","","CAP-"&amp;ROW()-1),"")</f>
        <v/>
      </c>
      <c r="B774" s="5" t="str">
        <f>IFERROR(IF(Portafolio_Proyectos!$AQ258="","",Portafolio_Proyectos!$AQ258),"")</f>
        <v/>
      </c>
      <c r="C774" s="5" t="str">
        <f>IFERROR(IF(Portafolio_Proyectos!$AQ258="","","Consolidada"),"")</f>
        <v/>
      </c>
      <c r="D774" s="5" t="str">
        <f>IFERROR(IF(Portafolio_Proyectos!$AQ258="","",Portafolio_Proyectos!$C258),"")</f>
        <v/>
      </c>
      <c r="E774" s="5" t="str">
        <f>IFERROR(IF(Portafolio_Proyectos!$AQ258="","",Portafolio_Proyectos!$B258),"")</f>
        <v/>
      </c>
      <c r="F774" s="5" t="str">
        <f>IFERROR(IF(Portafolio_Proyectos!$AQ258="","",Portafolio_Proyectos!$D258),"")</f>
        <v/>
      </c>
      <c r="G774" s="5" t="str">
        <f>IFERROR(IF(Portafolio_Proyectos!$AQ258="","",Portafolio_Proyectos!$A258),"")</f>
        <v/>
      </c>
      <c r="H774" s="5" t="str">
        <f>IFERROR(IF(Portafolio_Proyectos!$AQ258="","",Portafolio_Proyectos!$E258),"")</f>
        <v/>
      </c>
    </row>
    <row r="775" spans="1:8" x14ac:dyDescent="0.35">
      <c r="A775" s="5" t="str">
        <f>IFERROR(IF(Portafolio_Proyectos!$AR258="","","CAP-"&amp;ROW()-1),"")</f>
        <v/>
      </c>
      <c r="B775" s="5" t="str">
        <f>IFERROR(IF(Portafolio_Proyectos!$AR258="","",Portafolio_Proyectos!$AR258),"")</f>
        <v/>
      </c>
      <c r="C775" s="5" t="str">
        <f>IFERROR(IF(Portafolio_Proyectos!$AR258="","","Distintiva"),"")</f>
        <v/>
      </c>
      <c r="D775" s="5" t="str">
        <f>IFERROR(IF(Portafolio_Proyectos!$AR258="","",Portafolio_Proyectos!$C258),"")</f>
        <v/>
      </c>
      <c r="E775" s="5" t="str">
        <f>IFERROR(IF(Portafolio_Proyectos!$AR258="","",Portafolio_Proyectos!$B258),"")</f>
        <v/>
      </c>
      <c r="F775" s="5" t="str">
        <f>IFERROR(IF(Portafolio_Proyectos!$AR258="","",Portafolio_Proyectos!$D258),"")</f>
        <v/>
      </c>
      <c r="G775" s="5" t="str">
        <f>IFERROR(IF(Portafolio_Proyectos!$AR258="","",Portafolio_Proyectos!$A258),"")</f>
        <v/>
      </c>
      <c r="H775" s="5" t="str">
        <f>IFERROR(IF(Portafolio_Proyectos!$AR258="","",Portafolio_Proyectos!$E258),"")</f>
        <v/>
      </c>
    </row>
    <row r="776" spans="1:8" x14ac:dyDescent="0.35">
      <c r="A776" s="5" t="str">
        <f>IFERROR(IF(Portafolio_Proyectos!$AP259="","","CAP-"&amp;ROW()-1),"")</f>
        <v/>
      </c>
      <c r="B776" s="5" t="str">
        <f>IFERROR(IF(Portafolio_Proyectos!$AP259="","",Portafolio_Proyectos!$AP259),"")</f>
        <v/>
      </c>
      <c r="C776" s="5" t="str">
        <f>IFERROR(IF(Portafolio_Proyectos!$AP259="","","Emergente"),"")</f>
        <v/>
      </c>
      <c r="D776" s="5" t="str">
        <f>IFERROR(IF(Portafolio_Proyectos!$AP259="","",Portafolio_Proyectos!$C259),"")</f>
        <v/>
      </c>
      <c r="E776" s="5" t="str">
        <f>IFERROR(IF(Portafolio_Proyectos!$AP259="","",Portafolio_Proyectos!$B259),"")</f>
        <v/>
      </c>
      <c r="F776" s="5" t="str">
        <f>IFERROR(IF(Portafolio_Proyectos!$AP259="","",Portafolio_Proyectos!$D259),"")</f>
        <v/>
      </c>
      <c r="G776" s="5" t="str">
        <f>IFERROR(IF(Portafolio_Proyectos!$AP259="","",Portafolio_Proyectos!$A259),"")</f>
        <v/>
      </c>
      <c r="H776" s="5" t="str">
        <f>IFERROR(IF(Portafolio_Proyectos!$AP259="","",Portafolio_Proyectos!$E259),"")</f>
        <v/>
      </c>
    </row>
    <row r="777" spans="1:8" x14ac:dyDescent="0.35">
      <c r="A777" s="5" t="str">
        <f>IFERROR(IF(Portafolio_Proyectos!$AQ259="","","CAP-"&amp;ROW()-1),"")</f>
        <v/>
      </c>
      <c r="B777" s="5" t="str">
        <f>IFERROR(IF(Portafolio_Proyectos!$AQ259="","",Portafolio_Proyectos!$AQ259),"")</f>
        <v/>
      </c>
      <c r="C777" s="5" t="str">
        <f>IFERROR(IF(Portafolio_Proyectos!$AQ259="","","Consolidada"),"")</f>
        <v/>
      </c>
      <c r="D777" s="5" t="str">
        <f>IFERROR(IF(Portafolio_Proyectos!$AQ259="","",Portafolio_Proyectos!$C259),"")</f>
        <v/>
      </c>
      <c r="E777" s="5" t="str">
        <f>IFERROR(IF(Portafolio_Proyectos!$AQ259="","",Portafolio_Proyectos!$B259),"")</f>
        <v/>
      </c>
      <c r="F777" s="5" t="str">
        <f>IFERROR(IF(Portafolio_Proyectos!$AQ259="","",Portafolio_Proyectos!$D259),"")</f>
        <v/>
      </c>
      <c r="G777" s="5" t="str">
        <f>IFERROR(IF(Portafolio_Proyectos!$AQ259="","",Portafolio_Proyectos!$A259),"")</f>
        <v/>
      </c>
      <c r="H777" s="5" t="str">
        <f>IFERROR(IF(Portafolio_Proyectos!$AQ259="","",Portafolio_Proyectos!$E259),"")</f>
        <v/>
      </c>
    </row>
    <row r="778" spans="1:8" x14ac:dyDescent="0.35">
      <c r="A778" s="5" t="str">
        <f>IFERROR(IF(Portafolio_Proyectos!$AR259="","","CAP-"&amp;ROW()-1),"")</f>
        <v/>
      </c>
      <c r="B778" s="5" t="str">
        <f>IFERROR(IF(Portafolio_Proyectos!$AR259="","",Portafolio_Proyectos!$AR259),"")</f>
        <v/>
      </c>
      <c r="C778" s="5" t="str">
        <f>IFERROR(IF(Portafolio_Proyectos!$AR259="","","Distintiva"),"")</f>
        <v/>
      </c>
      <c r="D778" s="5" t="str">
        <f>IFERROR(IF(Portafolio_Proyectos!$AR259="","",Portafolio_Proyectos!$C259),"")</f>
        <v/>
      </c>
      <c r="E778" s="5" t="str">
        <f>IFERROR(IF(Portafolio_Proyectos!$AR259="","",Portafolio_Proyectos!$B259),"")</f>
        <v/>
      </c>
      <c r="F778" s="5" t="str">
        <f>IFERROR(IF(Portafolio_Proyectos!$AR259="","",Portafolio_Proyectos!$D259),"")</f>
        <v/>
      </c>
      <c r="G778" s="5" t="str">
        <f>IFERROR(IF(Portafolio_Proyectos!$AR259="","",Portafolio_Proyectos!$A259),"")</f>
        <v/>
      </c>
      <c r="H778" s="5" t="str">
        <f>IFERROR(IF(Portafolio_Proyectos!$AR259="","",Portafolio_Proyectos!$E259),"")</f>
        <v/>
      </c>
    </row>
    <row r="779" spans="1:8" x14ac:dyDescent="0.35">
      <c r="A779" s="5" t="str">
        <f>IFERROR(IF(Portafolio_Proyectos!$AP260="","","CAP-"&amp;ROW()-1),"")</f>
        <v/>
      </c>
      <c r="B779" s="5" t="str">
        <f>IFERROR(IF(Portafolio_Proyectos!$AP260="","",Portafolio_Proyectos!$AP260),"")</f>
        <v/>
      </c>
      <c r="C779" s="5" t="str">
        <f>IFERROR(IF(Portafolio_Proyectos!$AP260="","","Emergente"),"")</f>
        <v/>
      </c>
      <c r="D779" s="5" t="str">
        <f>IFERROR(IF(Portafolio_Proyectos!$AP260="","",Portafolio_Proyectos!$C260),"")</f>
        <v/>
      </c>
      <c r="E779" s="5" t="str">
        <f>IFERROR(IF(Portafolio_Proyectos!$AP260="","",Portafolio_Proyectos!$B260),"")</f>
        <v/>
      </c>
      <c r="F779" s="5" t="str">
        <f>IFERROR(IF(Portafolio_Proyectos!$AP260="","",Portafolio_Proyectos!$D260),"")</f>
        <v/>
      </c>
      <c r="G779" s="5" t="str">
        <f>IFERROR(IF(Portafolio_Proyectos!$AP260="","",Portafolio_Proyectos!$A260),"")</f>
        <v/>
      </c>
      <c r="H779" s="5" t="str">
        <f>IFERROR(IF(Portafolio_Proyectos!$AP260="","",Portafolio_Proyectos!$E260),"")</f>
        <v/>
      </c>
    </row>
    <row r="780" spans="1:8" x14ac:dyDescent="0.35">
      <c r="A780" s="5" t="str">
        <f>IFERROR(IF(Portafolio_Proyectos!$AQ260="","","CAP-"&amp;ROW()-1),"")</f>
        <v/>
      </c>
      <c r="B780" s="5" t="str">
        <f>IFERROR(IF(Portafolio_Proyectos!$AQ260="","",Portafolio_Proyectos!$AQ260),"")</f>
        <v/>
      </c>
      <c r="C780" s="5" t="str">
        <f>IFERROR(IF(Portafolio_Proyectos!$AQ260="","","Consolidada"),"")</f>
        <v/>
      </c>
      <c r="D780" s="5" t="str">
        <f>IFERROR(IF(Portafolio_Proyectos!$AQ260="","",Portafolio_Proyectos!$C260),"")</f>
        <v/>
      </c>
      <c r="E780" s="5" t="str">
        <f>IFERROR(IF(Portafolio_Proyectos!$AQ260="","",Portafolio_Proyectos!$B260),"")</f>
        <v/>
      </c>
      <c r="F780" s="5" t="str">
        <f>IFERROR(IF(Portafolio_Proyectos!$AQ260="","",Portafolio_Proyectos!$D260),"")</f>
        <v/>
      </c>
      <c r="G780" s="5" t="str">
        <f>IFERROR(IF(Portafolio_Proyectos!$AQ260="","",Portafolio_Proyectos!$A260),"")</f>
        <v/>
      </c>
      <c r="H780" s="5" t="str">
        <f>IFERROR(IF(Portafolio_Proyectos!$AQ260="","",Portafolio_Proyectos!$E260),"")</f>
        <v/>
      </c>
    </row>
    <row r="781" spans="1:8" x14ac:dyDescent="0.35">
      <c r="A781" s="5" t="str">
        <f>IFERROR(IF(Portafolio_Proyectos!$AR260="","","CAP-"&amp;ROW()-1),"")</f>
        <v/>
      </c>
      <c r="B781" s="5" t="str">
        <f>IFERROR(IF(Portafolio_Proyectos!$AR260="","",Portafolio_Proyectos!$AR260),"")</f>
        <v/>
      </c>
      <c r="C781" s="5" t="str">
        <f>IFERROR(IF(Portafolio_Proyectos!$AR260="","","Distintiva"),"")</f>
        <v/>
      </c>
      <c r="D781" s="5" t="str">
        <f>IFERROR(IF(Portafolio_Proyectos!$AR260="","",Portafolio_Proyectos!$C260),"")</f>
        <v/>
      </c>
      <c r="E781" s="5" t="str">
        <f>IFERROR(IF(Portafolio_Proyectos!$AR260="","",Portafolio_Proyectos!$B260),"")</f>
        <v/>
      </c>
      <c r="F781" s="5" t="str">
        <f>IFERROR(IF(Portafolio_Proyectos!$AR260="","",Portafolio_Proyectos!$D260),"")</f>
        <v/>
      </c>
      <c r="G781" s="5" t="str">
        <f>IFERROR(IF(Portafolio_Proyectos!$AR260="","",Portafolio_Proyectos!$A260),"")</f>
        <v/>
      </c>
      <c r="H781" s="5" t="str">
        <f>IFERROR(IF(Portafolio_Proyectos!$AR260="","",Portafolio_Proyectos!$E260),"")</f>
        <v/>
      </c>
    </row>
    <row r="782" spans="1:8" x14ac:dyDescent="0.35">
      <c r="A782" s="5" t="str">
        <f>IFERROR(IF(Portafolio_Proyectos!$AP261="","","CAP-"&amp;ROW()-1),"")</f>
        <v/>
      </c>
      <c r="B782" s="5" t="str">
        <f>IFERROR(IF(Portafolio_Proyectos!$AP261="","",Portafolio_Proyectos!$AP261),"")</f>
        <v/>
      </c>
      <c r="C782" s="5" t="str">
        <f>IFERROR(IF(Portafolio_Proyectos!$AP261="","","Emergente"),"")</f>
        <v/>
      </c>
      <c r="D782" s="5" t="str">
        <f>IFERROR(IF(Portafolio_Proyectos!$AP261="","",Portafolio_Proyectos!$C261),"")</f>
        <v/>
      </c>
      <c r="E782" s="5" t="str">
        <f>IFERROR(IF(Portafolio_Proyectos!$AP261="","",Portafolio_Proyectos!$B261),"")</f>
        <v/>
      </c>
      <c r="F782" s="5" t="str">
        <f>IFERROR(IF(Portafolio_Proyectos!$AP261="","",Portafolio_Proyectos!$D261),"")</f>
        <v/>
      </c>
      <c r="G782" s="5" t="str">
        <f>IFERROR(IF(Portafolio_Proyectos!$AP261="","",Portafolio_Proyectos!$A261),"")</f>
        <v/>
      </c>
      <c r="H782" s="5" t="str">
        <f>IFERROR(IF(Portafolio_Proyectos!$AP261="","",Portafolio_Proyectos!$E261),"")</f>
        <v/>
      </c>
    </row>
    <row r="783" spans="1:8" x14ac:dyDescent="0.35">
      <c r="A783" s="5" t="str">
        <f>IFERROR(IF(Portafolio_Proyectos!$AQ261="","","CAP-"&amp;ROW()-1),"")</f>
        <v/>
      </c>
      <c r="B783" s="5" t="str">
        <f>IFERROR(IF(Portafolio_Proyectos!$AQ261="","",Portafolio_Proyectos!$AQ261),"")</f>
        <v/>
      </c>
      <c r="C783" s="5" t="str">
        <f>IFERROR(IF(Portafolio_Proyectos!$AQ261="","","Consolidada"),"")</f>
        <v/>
      </c>
      <c r="D783" s="5" t="str">
        <f>IFERROR(IF(Portafolio_Proyectos!$AQ261="","",Portafolio_Proyectos!$C261),"")</f>
        <v/>
      </c>
      <c r="E783" s="5" t="str">
        <f>IFERROR(IF(Portafolio_Proyectos!$AQ261="","",Portafolio_Proyectos!$B261),"")</f>
        <v/>
      </c>
      <c r="F783" s="5" t="str">
        <f>IFERROR(IF(Portafolio_Proyectos!$AQ261="","",Portafolio_Proyectos!$D261),"")</f>
        <v/>
      </c>
      <c r="G783" s="5" t="str">
        <f>IFERROR(IF(Portafolio_Proyectos!$AQ261="","",Portafolio_Proyectos!$A261),"")</f>
        <v/>
      </c>
      <c r="H783" s="5" t="str">
        <f>IFERROR(IF(Portafolio_Proyectos!$AQ261="","",Portafolio_Proyectos!$E261),"")</f>
        <v/>
      </c>
    </row>
    <row r="784" spans="1:8" x14ac:dyDescent="0.35">
      <c r="A784" s="5" t="str">
        <f>IFERROR(IF(Portafolio_Proyectos!$AR261="","","CAP-"&amp;ROW()-1),"")</f>
        <v/>
      </c>
      <c r="B784" s="5" t="str">
        <f>IFERROR(IF(Portafolio_Proyectos!$AR261="","",Portafolio_Proyectos!$AR261),"")</f>
        <v/>
      </c>
      <c r="C784" s="5" t="str">
        <f>IFERROR(IF(Portafolio_Proyectos!$AR261="","","Distintiva"),"")</f>
        <v/>
      </c>
      <c r="D784" s="5" t="str">
        <f>IFERROR(IF(Portafolio_Proyectos!$AR261="","",Portafolio_Proyectos!$C261),"")</f>
        <v/>
      </c>
      <c r="E784" s="5" t="str">
        <f>IFERROR(IF(Portafolio_Proyectos!$AR261="","",Portafolio_Proyectos!$B261),"")</f>
        <v/>
      </c>
      <c r="F784" s="5" t="str">
        <f>IFERROR(IF(Portafolio_Proyectos!$AR261="","",Portafolio_Proyectos!$D261),"")</f>
        <v/>
      </c>
      <c r="G784" s="5" t="str">
        <f>IFERROR(IF(Portafolio_Proyectos!$AR261="","",Portafolio_Proyectos!$A261),"")</f>
        <v/>
      </c>
      <c r="H784" s="5" t="str">
        <f>IFERROR(IF(Portafolio_Proyectos!$AR261="","",Portafolio_Proyectos!$E261),"")</f>
        <v/>
      </c>
    </row>
    <row r="785" spans="1:8" x14ac:dyDescent="0.35">
      <c r="A785" s="5" t="str">
        <f>IFERROR(IF(Portafolio_Proyectos!$AP262="","","CAP-"&amp;ROW()-1),"")</f>
        <v/>
      </c>
      <c r="B785" s="5" t="str">
        <f>IFERROR(IF(Portafolio_Proyectos!$AP262="","",Portafolio_Proyectos!$AP262),"")</f>
        <v/>
      </c>
      <c r="C785" s="5" t="str">
        <f>IFERROR(IF(Portafolio_Proyectos!$AP262="","","Emergente"),"")</f>
        <v/>
      </c>
      <c r="D785" s="5" t="str">
        <f>IFERROR(IF(Portafolio_Proyectos!$AP262="","",Portafolio_Proyectos!$C262),"")</f>
        <v/>
      </c>
      <c r="E785" s="5" t="str">
        <f>IFERROR(IF(Portafolio_Proyectos!$AP262="","",Portafolio_Proyectos!$B262),"")</f>
        <v/>
      </c>
      <c r="F785" s="5" t="str">
        <f>IFERROR(IF(Portafolio_Proyectos!$AP262="","",Portafolio_Proyectos!$D262),"")</f>
        <v/>
      </c>
      <c r="G785" s="5" t="str">
        <f>IFERROR(IF(Portafolio_Proyectos!$AP262="","",Portafolio_Proyectos!$A262),"")</f>
        <v/>
      </c>
      <c r="H785" s="5" t="str">
        <f>IFERROR(IF(Portafolio_Proyectos!$AP262="","",Portafolio_Proyectos!$E262),"")</f>
        <v/>
      </c>
    </row>
    <row r="786" spans="1:8" x14ac:dyDescent="0.35">
      <c r="A786" s="5" t="str">
        <f>IFERROR(IF(Portafolio_Proyectos!$AQ262="","","CAP-"&amp;ROW()-1),"")</f>
        <v/>
      </c>
      <c r="B786" s="5" t="str">
        <f>IFERROR(IF(Portafolio_Proyectos!$AQ262="","",Portafolio_Proyectos!$AQ262),"")</f>
        <v/>
      </c>
      <c r="C786" s="5" t="str">
        <f>IFERROR(IF(Portafolio_Proyectos!$AQ262="","","Consolidada"),"")</f>
        <v/>
      </c>
      <c r="D786" s="5" t="str">
        <f>IFERROR(IF(Portafolio_Proyectos!$AQ262="","",Portafolio_Proyectos!$C262),"")</f>
        <v/>
      </c>
      <c r="E786" s="5" t="str">
        <f>IFERROR(IF(Portafolio_Proyectos!$AQ262="","",Portafolio_Proyectos!$B262),"")</f>
        <v/>
      </c>
      <c r="F786" s="5" t="str">
        <f>IFERROR(IF(Portafolio_Proyectos!$AQ262="","",Portafolio_Proyectos!$D262),"")</f>
        <v/>
      </c>
      <c r="G786" s="5" t="str">
        <f>IFERROR(IF(Portafolio_Proyectos!$AQ262="","",Portafolio_Proyectos!$A262),"")</f>
        <v/>
      </c>
      <c r="H786" s="5" t="str">
        <f>IFERROR(IF(Portafolio_Proyectos!$AQ262="","",Portafolio_Proyectos!$E262),"")</f>
        <v/>
      </c>
    </row>
    <row r="787" spans="1:8" x14ac:dyDescent="0.35">
      <c r="A787" s="5" t="str">
        <f>IFERROR(IF(Portafolio_Proyectos!$AR262="","","CAP-"&amp;ROW()-1),"")</f>
        <v/>
      </c>
      <c r="B787" s="5" t="str">
        <f>IFERROR(IF(Portafolio_Proyectos!$AR262="","",Portafolio_Proyectos!$AR262),"")</f>
        <v/>
      </c>
      <c r="C787" s="5" t="str">
        <f>IFERROR(IF(Portafolio_Proyectos!$AR262="","","Distintiva"),"")</f>
        <v/>
      </c>
      <c r="D787" s="5" t="str">
        <f>IFERROR(IF(Portafolio_Proyectos!$AR262="","",Portafolio_Proyectos!$C262),"")</f>
        <v/>
      </c>
      <c r="E787" s="5" t="str">
        <f>IFERROR(IF(Portafolio_Proyectos!$AR262="","",Portafolio_Proyectos!$B262),"")</f>
        <v/>
      </c>
      <c r="F787" s="5" t="str">
        <f>IFERROR(IF(Portafolio_Proyectos!$AR262="","",Portafolio_Proyectos!$D262),"")</f>
        <v/>
      </c>
      <c r="G787" s="5" t="str">
        <f>IFERROR(IF(Portafolio_Proyectos!$AR262="","",Portafolio_Proyectos!$A262),"")</f>
        <v/>
      </c>
      <c r="H787" s="5" t="str">
        <f>IFERROR(IF(Portafolio_Proyectos!$AR262="","",Portafolio_Proyectos!$E262),"")</f>
        <v/>
      </c>
    </row>
    <row r="788" spans="1:8" x14ac:dyDescent="0.35">
      <c r="A788" s="5" t="str">
        <f>IFERROR(IF(Portafolio_Proyectos!$AP263="","","CAP-"&amp;ROW()-1),"")</f>
        <v/>
      </c>
      <c r="B788" s="5" t="str">
        <f>IFERROR(IF(Portafolio_Proyectos!$AP263="","",Portafolio_Proyectos!$AP263),"")</f>
        <v/>
      </c>
      <c r="C788" s="5" t="str">
        <f>IFERROR(IF(Portafolio_Proyectos!$AP263="","","Emergente"),"")</f>
        <v/>
      </c>
      <c r="D788" s="5" t="str">
        <f>IFERROR(IF(Portafolio_Proyectos!$AP263="","",Portafolio_Proyectos!$C263),"")</f>
        <v/>
      </c>
      <c r="E788" s="5" t="str">
        <f>IFERROR(IF(Portafolio_Proyectos!$AP263="","",Portafolio_Proyectos!$B263),"")</f>
        <v/>
      </c>
      <c r="F788" s="5" t="str">
        <f>IFERROR(IF(Portafolio_Proyectos!$AP263="","",Portafolio_Proyectos!$D263),"")</f>
        <v/>
      </c>
      <c r="G788" s="5" t="str">
        <f>IFERROR(IF(Portafolio_Proyectos!$AP263="","",Portafolio_Proyectos!$A263),"")</f>
        <v/>
      </c>
      <c r="H788" s="5" t="str">
        <f>IFERROR(IF(Portafolio_Proyectos!$AP263="","",Portafolio_Proyectos!$E263),"")</f>
        <v/>
      </c>
    </row>
    <row r="789" spans="1:8" x14ac:dyDescent="0.35">
      <c r="A789" s="5" t="str">
        <f>IFERROR(IF(Portafolio_Proyectos!$AQ263="","","CAP-"&amp;ROW()-1),"")</f>
        <v/>
      </c>
      <c r="B789" s="5" t="str">
        <f>IFERROR(IF(Portafolio_Proyectos!$AQ263="","",Portafolio_Proyectos!$AQ263),"")</f>
        <v/>
      </c>
      <c r="C789" s="5" t="str">
        <f>IFERROR(IF(Portafolio_Proyectos!$AQ263="","","Consolidada"),"")</f>
        <v/>
      </c>
      <c r="D789" s="5" t="str">
        <f>IFERROR(IF(Portafolio_Proyectos!$AQ263="","",Portafolio_Proyectos!$C263),"")</f>
        <v/>
      </c>
      <c r="E789" s="5" t="str">
        <f>IFERROR(IF(Portafolio_Proyectos!$AQ263="","",Portafolio_Proyectos!$B263),"")</f>
        <v/>
      </c>
      <c r="F789" s="5" t="str">
        <f>IFERROR(IF(Portafolio_Proyectos!$AQ263="","",Portafolio_Proyectos!$D263),"")</f>
        <v/>
      </c>
      <c r="G789" s="5" t="str">
        <f>IFERROR(IF(Portafolio_Proyectos!$AQ263="","",Portafolio_Proyectos!$A263),"")</f>
        <v/>
      </c>
      <c r="H789" s="5" t="str">
        <f>IFERROR(IF(Portafolio_Proyectos!$AQ263="","",Portafolio_Proyectos!$E263),"")</f>
        <v/>
      </c>
    </row>
    <row r="790" spans="1:8" x14ac:dyDescent="0.35">
      <c r="A790" s="5" t="str">
        <f>IFERROR(IF(Portafolio_Proyectos!$AR263="","","CAP-"&amp;ROW()-1),"")</f>
        <v/>
      </c>
      <c r="B790" s="5" t="str">
        <f>IFERROR(IF(Portafolio_Proyectos!$AR263="","",Portafolio_Proyectos!$AR263),"")</f>
        <v/>
      </c>
      <c r="C790" s="5" t="str">
        <f>IFERROR(IF(Portafolio_Proyectos!$AR263="","","Distintiva"),"")</f>
        <v/>
      </c>
      <c r="D790" s="5" t="str">
        <f>IFERROR(IF(Portafolio_Proyectos!$AR263="","",Portafolio_Proyectos!$C263),"")</f>
        <v/>
      </c>
      <c r="E790" s="5" t="str">
        <f>IFERROR(IF(Portafolio_Proyectos!$AR263="","",Portafolio_Proyectos!$B263),"")</f>
        <v/>
      </c>
      <c r="F790" s="5" t="str">
        <f>IFERROR(IF(Portafolio_Proyectos!$AR263="","",Portafolio_Proyectos!$D263),"")</f>
        <v/>
      </c>
      <c r="G790" s="5" t="str">
        <f>IFERROR(IF(Portafolio_Proyectos!$AR263="","",Portafolio_Proyectos!$A263),"")</f>
        <v/>
      </c>
      <c r="H790" s="5" t="str">
        <f>IFERROR(IF(Portafolio_Proyectos!$AR263="","",Portafolio_Proyectos!$E263),"")</f>
        <v/>
      </c>
    </row>
    <row r="791" spans="1:8" x14ac:dyDescent="0.35">
      <c r="A791" s="5" t="str">
        <f>IFERROR(IF(Portafolio_Proyectos!$AP264="","","CAP-"&amp;ROW()-1),"")</f>
        <v/>
      </c>
      <c r="B791" s="5" t="str">
        <f>IFERROR(IF(Portafolio_Proyectos!$AP264="","",Portafolio_Proyectos!$AP264),"")</f>
        <v/>
      </c>
      <c r="C791" s="5" t="str">
        <f>IFERROR(IF(Portafolio_Proyectos!$AP264="","","Emergente"),"")</f>
        <v/>
      </c>
      <c r="D791" s="5" t="str">
        <f>IFERROR(IF(Portafolio_Proyectos!$AP264="","",Portafolio_Proyectos!$C264),"")</f>
        <v/>
      </c>
      <c r="E791" s="5" t="str">
        <f>IFERROR(IF(Portafolio_Proyectos!$AP264="","",Portafolio_Proyectos!$B264),"")</f>
        <v/>
      </c>
      <c r="F791" s="5" t="str">
        <f>IFERROR(IF(Portafolio_Proyectos!$AP264="","",Portafolio_Proyectos!$D264),"")</f>
        <v/>
      </c>
      <c r="G791" s="5" t="str">
        <f>IFERROR(IF(Portafolio_Proyectos!$AP264="","",Portafolio_Proyectos!$A264),"")</f>
        <v/>
      </c>
      <c r="H791" s="5" t="str">
        <f>IFERROR(IF(Portafolio_Proyectos!$AP264="","",Portafolio_Proyectos!$E264),"")</f>
        <v/>
      </c>
    </row>
    <row r="792" spans="1:8" x14ac:dyDescent="0.35">
      <c r="A792" s="5" t="str">
        <f>IFERROR(IF(Portafolio_Proyectos!$AQ264="","","CAP-"&amp;ROW()-1),"")</f>
        <v/>
      </c>
      <c r="B792" s="5" t="str">
        <f>IFERROR(IF(Portafolio_Proyectos!$AQ264="","",Portafolio_Proyectos!$AQ264),"")</f>
        <v/>
      </c>
      <c r="C792" s="5" t="str">
        <f>IFERROR(IF(Portafolio_Proyectos!$AQ264="","","Consolidada"),"")</f>
        <v/>
      </c>
      <c r="D792" s="5" t="str">
        <f>IFERROR(IF(Portafolio_Proyectos!$AQ264="","",Portafolio_Proyectos!$C264),"")</f>
        <v/>
      </c>
      <c r="E792" s="5" t="str">
        <f>IFERROR(IF(Portafolio_Proyectos!$AQ264="","",Portafolio_Proyectos!$B264),"")</f>
        <v/>
      </c>
      <c r="F792" s="5" t="str">
        <f>IFERROR(IF(Portafolio_Proyectos!$AQ264="","",Portafolio_Proyectos!$D264),"")</f>
        <v/>
      </c>
      <c r="G792" s="5" t="str">
        <f>IFERROR(IF(Portafolio_Proyectos!$AQ264="","",Portafolio_Proyectos!$A264),"")</f>
        <v/>
      </c>
      <c r="H792" s="5" t="str">
        <f>IFERROR(IF(Portafolio_Proyectos!$AQ264="","",Portafolio_Proyectos!$E264),"")</f>
        <v/>
      </c>
    </row>
    <row r="793" spans="1:8" x14ac:dyDescent="0.35">
      <c r="A793" s="5" t="str">
        <f>IFERROR(IF(Portafolio_Proyectos!$AR264="","","CAP-"&amp;ROW()-1),"")</f>
        <v/>
      </c>
      <c r="B793" s="5" t="str">
        <f>IFERROR(IF(Portafolio_Proyectos!$AR264="","",Portafolio_Proyectos!$AR264),"")</f>
        <v/>
      </c>
      <c r="C793" s="5" t="str">
        <f>IFERROR(IF(Portafolio_Proyectos!$AR264="","","Distintiva"),"")</f>
        <v/>
      </c>
      <c r="D793" s="5" t="str">
        <f>IFERROR(IF(Portafolio_Proyectos!$AR264="","",Portafolio_Proyectos!$C264),"")</f>
        <v/>
      </c>
      <c r="E793" s="5" t="str">
        <f>IFERROR(IF(Portafolio_Proyectos!$AR264="","",Portafolio_Proyectos!$B264),"")</f>
        <v/>
      </c>
      <c r="F793" s="5" t="str">
        <f>IFERROR(IF(Portafolio_Proyectos!$AR264="","",Portafolio_Proyectos!$D264),"")</f>
        <v/>
      </c>
      <c r="G793" s="5" t="str">
        <f>IFERROR(IF(Portafolio_Proyectos!$AR264="","",Portafolio_Proyectos!$A264),"")</f>
        <v/>
      </c>
      <c r="H793" s="5" t="str">
        <f>IFERROR(IF(Portafolio_Proyectos!$AR264="","",Portafolio_Proyectos!$E264),"")</f>
        <v/>
      </c>
    </row>
    <row r="794" spans="1:8" x14ac:dyDescent="0.35">
      <c r="A794" s="5" t="str">
        <f>IFERROR(IF(Portafolio_Proyectos!$AP265="","","CAP-"&amp;ROW()-1),"")</f>
        <v/>
      </c>
      <c r="B794" s="5" t="str">
        <f>IFERROR(IF(Portafolio_Proyectos!$AP265="","",Portafolio_Proyectos!$AP265),"")</f>
        <v/>
      </c>
      <c r="C794" s="5" t="str">
        <f>IFERROR(IF(Portafolio_Proyectos!$AP265="","","Emergente"),"")</f>
        <v/>
      </c>
      <c r="D794" s="5" t="str">
        <f>IFERROR(IF(Portafolio_Proyectos!$AP265="","",Portafolio_Proyectos!$C265),"")</f>
        <v/>
      </c>
      <c r="E794" s="5" t="str">
        <f>IFERROR(IF(Portafolio_Proyectos!$AP265="","",Portafolio_Proyectos!$B265),"")</f>
        <v/>
      </c>
      <c r="F794" s="5" t="str">
        <f>IFERROR(IF(Portafolio_Proyectos!$AP265="","",Portafolio_Proyectos!$D265),"")</f>
        <v/>
      </c>
      <c r="G794" s="5" t="str">
        <f>IFERROR(IF(Portafolio_Proyectos!$AP265="","",Portafolio_Proyectos!$A265),"")</f>
        <v/>
      </c>
      <c r="H794" s="5" t="str">
        <f>IFERROR(IF(Portafolio_Proyectos!$AP265="","",Portafolio_Proyectos!$E265),"")</f>
        <v/>
      </c>
    </row>
    <row r="795" spans="1:8" x14ac:dyDescent="0.35">
      <c r="A795" s="5" t="str">
        <f>IFERROR(IF(Portafolio_Proyectos!$AQ265="","","CAP-"&amp;ROW()-1),"")</f>
        <v/>
      </c>
      <c r="B795" s="5" t="str">
        <f>IFERROR(IF(Portafolio_Proyectos!$AQ265="","",Portafolio_Proyectos!$AQ265),"")</f>
        <v/>
      </c>
      <c r="C795" s="5" t="str">
        <f>IFERROR(IF(Portafolio_Proyectos!$AQ265="","","Consolidada"),"")</f>
        <v/>
      </c>
      <c r="D795" s="5" t="str">
        <f>IFERROR(IF(Portafolio_Proyectos!$AQ265="","",Portafolio_Proyectos!$C265),"")</f>
        <v/>
      </c>
      <c r="E795" s="5" t="str">
        <f>IFERROR(IF(Portafolio_Proyectos!$AQ265="","",Portafolio_Proyectos!$B265),"")</f>
        <v/>
      </c>
      <c r="F795" s="5" t="str">
        <f>IFERROR(IF(Portafolio_Proyectos!$AQ265="","",Portafolio_Proyectos!$D265),"")</f>
        <v/>
      </c>
      <c r="G795" s="5" t="str">
        <f>IFERROR(IF(Portafolio_Proyectos!$AQ265="","",Portafolio_Proyectos!$A265),"")</f>
        <v/>
      </c>
      <c r="H795" s="5" t="str">
        <f>IFERROR(IF(Portafolio_Proyectos!$AQ265="","",Portafolio_Proyectos!$E265),"")</f>
        <v/>
      </c>
    </row>
    <row r="796" spans="1:8" x14ac:dyDescent="0.35">
      <c r="A796" s="5" t="str">
        <f>IFERROR(IF(Portafolio_Proyectos!$AR265="","","CAP-"&amp;ROW()-1),"")</f>
        <v/>
      </c>
      <c r="B796" s="5" t="str">
        <f>IFERROR(IF(Portafolio_Proyectos!$AR265="","",Portafolio_Proyectos!$AR265),"")</f>
        <v/>
      </c>
      <c r="C796" s="5" t="str">
        <f>IFERROR(IF(Portafolio_Proyectos!$AR265="","","Distintiva"),"")</f>
        <v/>
      </c>
      <c r="D796" s="5" t="str">
        <f>IFERROR(IF(Portafolio_Proyectos!$AR265="","",Portafolio_Proyectos!$C265),"")</f>
        <v/>
      </c>
      <c r="E796" s="5" t="str">
        <f>IFERROR(IF(Portafolio_Proyectos!$AR265="","",Portafolio_Proyectos!$B265),"")</f>
        <v/>
      </c>
      <c r="F796" s="5" t="str">
        <f>IFERROR(IF(Portafolio_Proyectos!$AR265="","",Portafolio_Proyectos!$D265),"")</f>
        <v/>
      </c>
      <c r="G796" s="5" t="str">
        <f>IFERROR(IF(Portafolio_Proyectos!$AR265="","",Portafolio_Proyectos!$A265),"")</f>
        <v/>
      </c>
      <c r="H796" s="5" t="str">
        <f>IFERROR(IF(Portafolio_Proyectos!$AR265="","",Portafolio_Proyectos!$E265),"")</f>
        <v/>
      </c>
    </row>
    <row r="797" spans="1:8" x14ac:dyDescent="0.35">
      <c r="A797" s="5" t="str">
        <f>IFERROR(IF(Portafolio_Proyectos!$AP266="","","CAP-"&amp;ROW()-1),"")</f>
        <v/>
      </c>
      <c r="B797" s="5" t="str">
        <f>IFERROR(IF(Portafolio_Proyectos!$AP266="","",Portafolio_Proyectos!$AP266),"")</f>
        <v/>
      </c>
      <c r="C797" s="5" t="str">
        <f>IFERROR(IF(Portafolio_Proyectos!$AP266="","","Emergente"),"")</f>
        <v/>
      </c>
      <c r="D797" s="5" t="str">
        <f>IFERROR(IF(Portafolio_Proyectos!$AP266="","",Portafolio_Proyectos!$C266),"")</f>
        <v/>
      </c>
      <c r="E797" s="5" t="str">
        <f>IFERROR(IF(Portafolio_Proyectos!$AP266="","",Portafolio_Proyectos!$B266),"")</f>
        <v/>
      </c>
      <c r="F797" s="5" t="str">
        <f>IFERROR(IF(Portafolio_Proyectos!$AP266="","",Portafolio_Proyectos!$D266),"")</f>
        <v/>
      </c>
      <c r="G797" s="5" t="str">
        <f>IFERROR(IF(Portafolio_Proyectos!$AP266="","",Portafolio_Proyectos!$A266),"")</f>
        <v/>
      </c>
      <c r="H797" s="5" t="str">
        <f>IFERROR(IF(Portafolio_Proyectos!$AP266="","",Portafolio_Proyectos!$E266),"")</f>
        <v/>
      </c>
    </row>
    <row r="798" spans="1:8" x14ac:dyDescent="0.35">
      <c r="A798" s="5" t="str">
        <f>IFERROR(IF(Portafolio_Proyectos!$AQ266="","","CAP-"&amp;ROW()-1),"")</f>
        <v/>
      </c>
      <c r="B798" s="5" t="str">
        <f>IFERROR(IF(Portafolio_Proyectos!$AQ266="","",Portafolio_Proyectos!$AQ266),"")</f>
        <v/>
      </c>
      <c r="C798" s="5" t="str">
        <f>IFERROR(IF(Portafolio_Proyectos!$AQ266="","","Consolidada"),"")</f>
        <v/>
      </c>
      <c r="D798" s="5" t="str">
        <f>IFERROR(IF(Portafolio_Proyectos!$AQ266="","",Portafolio_Proyectos!$C266),"")</f>
        <v/>
      </c>
      <c r="E798" s="5" t="str">
        <f>IFERROR(IF(Portafolio_Proyectos!$AQ266="","",Portafolio_Proyectos!$B266),"")</f>
        <v/>
      </c>
      <c r="F798" s="5" t="str">
        <f>IFERROR(IF(Portafolio_Proyectos!$AQ266="","",Portafolio_Proyectos!$D266),"")</f>
        <v/>
      </c>
      <c r="G798" s="5" t="str">
        <f>IFERROR(IF(Portafolio_Proyectos!$AQ266="","",Portafolio_Proyectos!$A266),"")</f>
        <v/>
      </c>
      <c r="H798" s="5" t="str">
        <f>IFERROR(IF(Portafolio_Proyectos!$AQ266="","",Portafolio_Proyectos!$E266),"")</f>
        <v/>
      </c>
    </row>
    <row r="799" spans="1:8" x14ac:dyDescent="0.35">
      <c r="A799" s="5" t="str">
        <f>IFERROR(IF(Portafolio_Proyectos!$AR266="","","CAP-"&amp;ROW()-1),"")</f>
        <v/>
      </c>
      <c r="B799" s="5" t="str">
        <f>IFERROR(IF(Portafolio_Proyectos!$AR266="","",Portafolio_Proyectos!$AR266),"")</f>
        <v/>
      </c>
      <c r="C799" s="5" t="str">
        <f>IFERROR(IF(Portafolio_Proyectos!$AR266="","","Distintiva"),"")</f>
        <v/>
      </c>
      <c r="D799" s="5" t="str">
        <f>IFERROR(IF(Portafolio_Proyectos!$AR266="","",Portafolio_Proyectos!$C266),"")</f>
        <v/>
      </c>
      <c r="E799" s="5" t="str">
        <f>IFERROR(IF(Portafolio_Proyectos!$AR266="","",Portafolio_Proyectos!$B266),"")</f>
        <v/>
      </c>
      <c r="F799" s="5" t="str">
        <f>IFERROR(IF(Portafolio_Proyectos!$AR266="","",Portafolio_Proyectos!$D266),"")</f>
        <v/>
      </c>
      <c r="G799" s="5" t="str">
        <f>IFERROR(IF(Portafolio_Proyectos!$AR266="","",Portafolio_Proyectos!$A266),"")</f>
        <v/>
      </c>
      <c r="H799" s="5" t="str">
        <f>IFERROR(IF(Portafolio_Proyectos!$AR266="","",Portafolio_Proyectos!$E266),"")</f>
        <v/>
      </c>
    </row>
    <row r="800" spans="1:8" x14ac:dyDescent="0.35">
      <c r="A800" s="5" t="str">
        <f>IFERROR(IF(Portafolio_Proyectos!$AP267="","","CAP-"&amp;ROW()-1),"")</f>
        <v/>
      </c>
      <c r="B800" s="5" t="str">
        <f>IFERROR(IF(Portafolio_Proyectos!$AP267="","",Portafolio_Proyectos!$AP267),"")</f>
        <v/>
      </c>
      <c r="C800" s="5" t="str">
        <f>IFERROR(IF(Portafolio_Proyectos!$AP267="","","Emergente"),"")</f>
        <v/>
      </c>
      <c r="D800" s="5" t="str">
        <f>IFERROR(IF(Portafolio_Proyectos!$AP267="","",Portafolio_Proyectos!$C267),"")</f>
        <v/>
      </c>
      <c r="E800" s="5" t="str">
        <f>IFERROR(IF(Portafolio_Proyectos!$AP267="","",Portafolio_Proyectos!$B267),"")</f>
        <v/>
      </c>
      <c r="F800" s="5" t="str">
        <f>IFERROR(IF(Portafolio_Proyectos!$AP267="","",Portafolio_Proyectos!$D267),"")</f>
        <v/>
      </c>
      <c r="G800" s="5" t="str">
        <f>IFERROR(IF(Portafolio_Proyectos!$AP267="","",Portafolio_Proyectos!$A267),"")</f>
        <v/>
      </c>
      <c r="H800" s="5" t="str">
        <f>IFERROR(IF(Portafolio_Proyectos!$AP267="","",Portafolio_Proyectos!$E267),"")</f>
        <v/>
      </c>
    </row>
    <row r="801" spans="1:8" x14ac:dyDescent="0.35">
      <c r="A801" s="5" t="str">
        <f>IFERROR(IF(Portafolio_Proyectos!$AQ267="","","CAP-"&amp;ROW()-1),"")</f>
        <v/>
      </c>
      <c r="B801" s="5" t="str">
        <f>IFERROR(IF(Portafolio_Proyectos!$AQ267="","",Portafolio_Proyectos!$AQ267),"")</f>
        <v/>
      </c>
      <c r="C801" s="5" t="str">
        <f>IFERROR(IF(Portafolio_Proyectos!$AQ267="","","Consolidada"),"")</f>
        <v/>
      </c>
      <c r="D801" s="5" t="str">
        <f>IFERROR(IF(Portafolio_Proyectos!$AQ267="","",Portafolio_Proyectos!$C267),"")</f>
        <v/>
      </c>
      <c r="E801" s="5" t="str">
        <f>IFERROR(IF(Portafolio_Proyectos!$AQ267="","",Portafolio_Proyectos!$B267),"")</f>
        <v/>
      </c>
      <c r="F801" s="5" t="str">
        <f>IFERROR(IF(Portafolio_Proyectos!$AQ267="","",Portafolio_Proyectos!$D267),"")</f>
        <v/>
      </c>
      <c r="G801" s="5" t="str">
        <f>IFERROR(IF(Portafolio_Proyectos!$AQ267="","",Portafolio_Proyectos!$A267),"")</f>
        <v/>
      </c>
      <c r="H801" s="5" t="str">
        <f>IFERROR(IF(Portafolio_Proyectos!$AQ267="","",Portafolio_Proyectos!$E267),"")</f>
        <v/>
      </c>
    </row>
    <row r="802" spans="1:8" x14ac:dyDescent="0.35">
      <c r="A802" s="5" t="str">
        <f>IFERROR(IF(Portafolio_Proyectos!$AR267="","","CAP-"&amp;ROW()-1),"")</f>
        <v/>
      </c>
      <c r="B802" s="5" t="str">
        <f>IFERROR(IF(Portafolio_Proyectos!$AR267="","",Portafolio_Proyectos!$AR267),"")</f>
        <v/>
      </c>
      <c r="C802" s="5" t="str">
        <f>IFERROR(IF(Portafolio_Proyectos!$AR267="","","Distintiva"),"")</f>
        <v/>
      </c>
      <c r="D802" s="5" t="str">
        <f>IFERROR(IF(Portafolio_Proyectos!$AR267="","",Portafolio_Proyectos!$C267),"")</f>
        <v/>
      </c>
      <c r="E802" s="5" t="str">
        <f>IFERROR(IF(Portafolio_Proyectos!$AR267="","",Portafolio_Proyectos!$B267),"")</f>
        <v/>
      </c>
      <c r="F802" s="5" t="str">
        <f>IFERROR(IF(Portafolio_Proyectos!$AR267="","",Portafolio_Proyectos!$D267),"")</f>
        <v/>
      </c>
      <c r="G802" s="5" t="str">
        <f>IFERROR(IF(Portafolio_Proyectos!$AR267="","",Portafolio_Proyectos!$A267),"")</f>
        <v/>
      </c>
      <c r="H802" s="5" t="str">
        <f>IFERROR(IF(Portafolio_Proyectos!$AR267="","",Portafolio_Proyectos!$E267),"")</f>
        <v/>
      </c>
    </row>
    <row r="803" spans="1:8" x14ac:dyDescent="0.35">
      <c r="A803" s="5" t="str">
        <f>IFERROR(IF(Portafolio_Proyectos!$AP268="","","CAP-"&amp;ROW()-1),"")</f>
        <v/>
      </c>
      <c r="B803" s="5" t="str">
        <f>IFERROR(IF(Portafolio_Proyectos!$AP268="","",Portafolio_Proyectos!$AP268),"")</f>
        <v/>
      </c>
      <c r="C803" s="5" t="str">
        <f>IFERROR(IF(Portafolio_Proyectos!$AP268="","","Emergente"),"")</f>
        <v/>
      </c>
      <c r="D803" s="5" t="str">
        <f>IFERROR(IF(Portafolio_Proyectos!$AP268="","",Portafolio_Proyectos!$C268),"")</f>
        <v/>
      </c>
      <c r="E803" s="5" t="str">
        <f>IFERROR(IF(Portafolio_Proyectos!$AP268="","",Portafolio_Proyectos!$B268),"")</f>
        <v/>
      </c>
      <c r="F803" s="5" t="str">
        <f>IFERROR(IF(Portafolio_Proyectos!$AP268="","",Portafolio_Proyectos!$D268),"")</f>
        <v/>
      </c>
      <c r="G803" s="5" t="str">
        <f>IFERROR(IF(Portafolio_Proyectos!$AP268="","",Portafolio_Proyectos!$A268),"")</f>
        <v/>
      </c>
      <c r="H803" s="5" t="str">
        <f>IFERROR(IF(Portafolio_Proyectos!$AP268="","",Portafolio_Proyectos!$E268),"")</f>
        <v/>
      </c>
    </row>
    <row r="804" spans="1:8" x14ac:dyDescent="0.35">
      <c r="A804" s="5" t="str">
        <f>IFERROR(IF(Portafolio_Proyectos!$AQ268="","","CAP-"&amp;ROW()-1),"")</f>
        <v/>
      </c>
      <c r="B804" s="5" t="str">
        <f>IFERROR(IF(Portafolio_Proyectos!$AQ268="","",Portafolio_Proyectos!$AQ268),"")</f>
        <v/>
      </c>
      <c r="C804" s="5" t="str">
        <f>IFERROR(IF(Portafolio_Proyectos!$AQ268="","","Consolidada"),"")</f>
        <v/>
      </c>
      <c r="D804" s="5" t="str">
        <f>IFERROR(IF(Portafolio_Proyectos!$AQ268="","",Portafolio_Proyectos!$C268),"")</f>
        <v/>
      </c>
      <c r="E804" s="5" t="str">
        <f>IFERROR(IF(Portafolio_Proyectos!$AQ268="","",Portafolio_Proyectos!$B268),"")</f>
        <v/>
      </c>
      <c r="F804" s="5" t="str">
        <f>IFERROR(IF(Portafolio_Proyectos!$AQ268="","",Portafolio_Proyectos!$D268),"")</f>
        <v/>
      </c>
      <c r="G804" s="5" t="str">
        <f>IFERROR(IF(Portafolio_Proyectos!$AQ268="","",Portafolio_Proyectos!$A268),"")</f>
        <v/>
      </c>
      <c r="H804" s="5" t="str">
        <f>IFERROR(IF(Portafolio_Proyectos!$AQ268="","",Portafolio_Proyectos!$E268),"")</f>
        <v/>
      </c>
    </row>
    <row r="805" spans="1:8" x14ac:dyDescent="0.35">
      <c r="A805" s="5" t="str">
        <f>IFERROR(IF(Portafolio_Proyectos!$AR268="","","CAP-"&amp;ROW()-1),"")</f>
        <v/>
      </c>
      <c r="B805" s="5" t="str">
        <f>IFERROR(IF(Portafolio_Proyectos!$AR268="","",Portafolio_Proyectos!$AR268),"")</f>
        <v/>
      </c>
      <c r="C805" s="5" t="str">
        <f>IFERROR(IF(Portafolio_Proyectos!$AR268="","","Distintiva"),"")</f>
        <v/>
      </c>
      <c r="D805" s="5" t="str">
        <f>IFERROR(IF(Portafolio_Proyectos!$AR268="","",Portafolio_Proyectos!$C268),"")</f>
        <v/>
      </c>
      <c r="E805" s="5" t="str">
        <f>IFERROR(IF(Portafolio_Proyectos!$AR268="","",Portafolio_Proyectos!$B268),"")</f>
        <v/>
      </c>
      <c r="F805" s="5" t="str">
        <f>IFERROR(IF(Portafolio_Proyectos!$AR268="","",Portafolio_Proyectos!$D268),"")</f>
        <v/>
      </c>
      <c r="G805" s="5" t="str">
        <f>IFERROR(IF(Portafolio_Proyectos!$AR268="","",Portafolio_Proyectos!$A268),"")</f>
        <v/>
      </c>
      <c r="H805" s="5" t="str">
        <f>IFERROR(IF(Portafolio_Proyectos!$AR268="","",Portafolio_Proyectos!$E268),"")</f>
        <v/>
      </c>
    </row>
    <row r="806" spans="1:8" x14ac:dyDescent="0.35">
      <c r="A806" s="5" t="str">
        <f>IFERROR(IF(Portafolio_Proyectos!$AP269="","","CAP-"&amp;ROW()-1),"")</f>
        <v/>
      </c>
      <c r="B806" s="5" t="str">
        <f>IFERROR(IF(Portafolio_Proyectos!$AP269="","",Portafolio_Proyectos!$AP269),"")</f>
        <v/>
      </c>
      <c r="C806" s="5" t="str">
        <f>IFERROR(IF(Portafolio_Proyectos!$AP269="","","Emergente"),"")</f>
        <v/>
      </c>
      <c r="D806" s="5" t="str">
        <f>IFERROR(IF(Portafolio_Proyectos!$AP269="","",Portafolio_Proyectos!$C269),"")</f>
        <v/>
      </c>
      <c r="E806" s="5" t="str">
        <f>IFERROR(IF(Portafolio_Proyectos!$AP269="","",Portafolio_Proyectos!$B269),"")</f>
        <v/>
      </c>
      <c r="F806" s="5" t="str">
        <f>IFERROR(IF(Portafolio_Proyectos!$AP269="","",Portafolio_Proyectos!$D269),"")</f>
        <v/>
      </c>
      <c r="G806" s="5" t="str">
        <f>IFERROR(IF(Portafolio_Proyectos!$AP269="","",Portafolio_Proyectos!$A269),"")</f>
        <v/>
      </c>
      <c r="H806" s="5" t="str">
        <f>IFERROR(IF(Portafolio_Proyectos!$AP269="","",Portafolio_Proyectos!$E269),"")</f>
        <v/>
      </c>
    </row>
    <row r="807" spans="1:8" x14ac:dyDescent="0.35">
      <c r="A807" s="5" t="str">
        <f>IFERROR(IF(Portafolio_Proyectos!$AQ269="","","CAP-"&amp;ROW()-1),"")</f>
        <v/>
      </c>
      <c r="B807" s="5" t="str">
        <f>IFERROR(IF(Portafolio_Proyectos!$AQ269="","",Portafolio_Proyectos!$AQ269),"")</f>
        <v/>
      </c>
      <c r="C807" s="5" t="str">
        <f>IFERROR(IF(Portafolio_Proyectos!$AQ269="","","Consolidada"),"")</f>
        <v/>
      </c>
      <c r="D807" s="5" t="str">
        <f>IFERROR(IF(Portafolio_Proyectos!$AQ269="","",Portafolio_Proyectos!$C269),"")</f>
        <v/>
      </c>
      <c r="E807" s="5" t="str">
        <f>IFERROR(IF(Portafolio_Proyectos!$AQ269="","",Portafolio_Proyectos!$B269),"")</f>
        <v/>
      </c>
      <c r="F807" s="5" t="str">
        <f>IFERROR(IF(Portafolio_Proyectos!$AQ269="","",Portafolio_Proyectos!$D269),"")</f>
        <v/>
      </c>
      <c r="G807" s="5" t="str">
        <f>IFERROR(IF(Portafolio_Proyectos!$AQ269="","",Portafolio_Proyectos!$A269),"")</f>
        <v/>
      </c>
      <c r="H807" s="5" t="str">
        <f>IFERROR(IF(Portafolio_Proyectos!$AQ269="","",Portafolio_Proyectos!$E269),"")</f>
        <v/>
      </c>
    </row>
    <row r="808" spans="1:8" x14ac:dyDescent="0.35">
      <c r="A808" s="5" t="str">
        <f>IFERROR(IF(Portafolio_Proyectos!$AR269="","","CAP-"&amp;ROW()-1),"")</f>
        <v/>
      </c>
      <c r="B808" s="5" t="str">
        <f>IFERROR(IF(Portafolio_Proyectos!$AR269="","",Portafolio_Proyectos!$AR269),"")</f>
        <v/>
      </c>
      <c r="C808" s="5" t="str">
        <f>IFERROR(IF(Portafolio_Proyectos!$AR269="","","Distintiva"),"")</f>
        <v/>
      </c>
      <c r="D808" s="5" t="str">
        <f>IFERROR(IF(Portafolio_Proyectos!$AR269="","",Portafolio_Proyectos!$C269),"")</f>
        <v/>
      </c>
      <c r="E808" s="5" t="str">
        <f>IFERROR(IF(Portafolio_Proyectos!$AR269="","",Portafolio_Proyectos!$B269),"")</f>
        <v/>
      </c>
      <c r="F808" s="5" t="str">
        <f>IFERROR(IF(Portafolio_Proyectos!$AR269="","",Portafolio_Proyectos!$D269),"")</f>
        <v/>
      </c>
      <c r="G808" s="5" t="str">
        <f>IFERROR(IF(Portafolio_Proyectos!$AR269="","",Portafolio_Proyectos!$A269),"")</f>
        <v/>
      </c>
      <c r="H808" s="5" t="str">
        <f>IFERROR(IF(Portafolio_Proyectos!$AR269="","",Portafolio_Proyectos!$E269),"")</f>
        <v/>
      </c>
    </row>
    <row r="809" spans="1:8" x14ac:dyDescent="0.35">
      <c r="A809" s="5" t="str">
        <f>IFERROR(IF(Portafolio_Proyectos!$AP270="","","CAP-"&amp;ROW()-1),"")</f>
        <v/>
      </c>
      <c r="B809" s="5" t="str">
        <f>IFERROR(IF(Portafolio_Proyectos!$AP270="","",Portafolio_Proyectos!$AP270),"")</f>
        <v/>
      </c>
      <c r="C809" s="5" t="str">
        <f>IFERROR(IF(Portafolio_Proyectos!$AP270="","","Emergente"),"")</f>
        <v/>
      </c>
      <c r="D809" s="5" t="str">
        <f>IFERROR(IF(Portafolio_Proyectos!$AP270="","",Portafolio_Proyectos!$C270),"")</f>
        <v/>
      </c>
      <c r="E809" s="5" t="str">
        <f>IFERROR(IF(Portafolio_Proyectos!$AP270="","",Portafolio_Proyectos!$B270),"")</f>
        <v/>
      </c>
      <c r="F809" s="5" t="str">
        <f>IFERROR(IF(Portafolio_Proyectos!$AP270="","",Portafolio_Proyectos!$D270),"")</f>
        <v/>
      </c>
      <c r="G809" s="5" t="str">
        <f>IFERROR(IF(Portafolio_Proyectos!$AP270="","",Portafolio_Proyectos!$A270),"")</f>
        <v/>
      </c>
      <c r="H809" s="5" t="str">
        <f>IFERROR(IF(Portafolio_Proyectos!$AP270="","",Portafolio_Proyectos!$E270),"")</f>
        <v/>
      </c>
    </row>
    <row r="810" spans="1:8" x14ac:dyDescent="0.35">
      <c r="A810" s="5" t="str">
        <f>IFERROR(IF(Portafolio_Proyectos!$AQ270="","","CAP-"&amp;ROW()-1),"")</f>
        <v/>
      </c>
      <c r="B810" s="5" t="str">
        <f>IFERROR(IF(Portafolio_Proyectos!$AQ270="","",Portafolio_Proyectos!$AQ270),"")</f>
        <v/>
      </c>
      <c r="C810" s="5" t="str">
        <f>IFERROR(IF(Portafolio_Proyectos!$AQ270="","","Consolidada"),"")</f>
        <v/>
      </c>
      <c r="D810" s="5" t="str">
        <f>IFERROR(IF(Portafolio_Proyectos!$AQ270="","",Portafolio_Proyectos!$C270),"")</f>
        <v/>
      </c>
      <c r="E810" s="5" t="str">
        <f>IFERROR(IF(Portafolio_Proyectos!$AQ270="","",Portafolio_Proyectos!$B270),"")</f>
        <v/>
      </c>
      <c r="F810" s="5" t="str">
        <f>IFERROR(IF(Portafolio_Proyectos!$AQ270="","",Portafolio_Proyectos!$D270),"")</f>
        <v/>
      </c>
      <c r="G810" s="5" t="str">
        <f>IFERROR(IF(Portafolio_Proyectos!$AQ270="","",Portafolio_Proyectos!$A270),"")</f>
        <v/>
      </c>
      <c r="H810" s="5" t="str">
        <f>IFERROR(IF(Portafolio_Proyectos!$AQ270="","",Portafolio_Proyectos!$E270),"")</f>
        <v/>
      </c>
    </row>
    <row r="811" spans="1:8" x14ac:dyDescent="0.35">
      <c r="A811" s="5" t="str">
        <f>IFERROR(IF(Portafolio_Proyectos!$AR270="","","CAP-"&amp;ROW()-1),"")</f>
        <v/>
      </c>
      <c r="B811" s="5" t="str">
        <f>IFERROR(IF(Portafolio_Proyectos!$AR270="","",Portafolio_Proyectos!$AR270),"")</f>
        <v/>
      </c>
      <c r="C811" s="5" t="str">
        <f>IFERROR(IF(Portafolio_Proyectos!$AR270="","","Distintiva"),"")</f>
        <v/>
      </c>
      <c r="D811" s="5" t="str">
        <f>IFERROR(IF(Portafolio_Proyectos!$AR270="","",Portafolio_Proyectos!$C270),"")</f>
        <v/>
      </c>
      <c r="E811" s="5" t="str">
        <f>IFERROR(IF(Portafolio_Proyectos!$AR270="","",Portafolio_Proyectos!$B270),"")</f>
        <v/>
      </c>
      <c r="F811" s="5" t="str">
        <f>IFERROR(IF(Portafolio_Proyectos!$AR270="","",Portafolio_Proyectos!$D270),"")</f>
        <v/>
      </c>
      <c r="G811" s="5" t="str">
        <f>IFERROR(IF(Portafolio_Proyectos!$AR270="","",Portafolio_Proyectos!$A270),"")</f>
        <v/>
      </c>
      <c r="H811" s="5" t="str">
        <f>IFERROR(IF(Portafolio_Proyectos!$AR270="","",Portafolio_Proyectos!$E270),"")</f>
        <v/>
      </c>
    </row>
    <row r="812" spans="1:8" x14ac:dyDescent="0.35">
      <c r="A812" s="5" t="str">
        <f>IFERROR(IF(Portafolio_Proyectos!$AP271="","","CAP-"&amp;ROW()-1),"")</f>
        <v/>
      </c>
      <c r="B812" s="5" t="str">
        <f>IFERROR(IF(Portafolio_Proyectos!$AP271="","",Portafolio_Proyectos!$AP271),"")</f>
        <v/>
      </c>
      <c r="C812" s="5" t="str">
        <f>IFERROR(IF(Portafolio_Proyectos!$AP271="","","Emergente"),"")</f>
        <v/>
      </c>
      <c r="D812" s="5" t="str">
        <f>IFERROR(IF(Portafolio_Proyectos!$AP271="","",Portafolio_Proyectos!$C271),"")</f>
        <v/>
      </c>
      <c r="E812" s="5" t="str">
        <f>IFERROR(IF(Portafolio_Proyectos!$AP271="","",Portafolio_Proyectos!$B271),"")</f>
        <v/>
      </c>
      <c r="F812" s="5" t="str">
        <f>IFERROR(IF(Portafolio_Proyectos!$AP271="","",Portafolio_Proyectos!$D271),"")</f>
        <v/>
      </c>
      <c r="G812" s="5" t="str">
        <f>IFERROR(IF(Portafolio_Proyectos!$AP271="","",Portafolio_Proyectos!$A271),"")</f>
        <v/>
      </c>
      <c r="H812" s="5" t="str">
        <f>IFERROR(IF(Portafolio_Proyectos!$AP271="","",Portafolio_Proyectos!$E271),"")</f>
        <v/>
      </c>
    </row>
    <row r="813" spans="1:8" x14ac:dyDescent="0.35">
      <c r="A813" s="5" t="str">
        <f>IFERROR(IF(Portafolio_Proyectos!$AQ271="","","CAP-"&amp;ROW()-1),"")</f>
        <v/>
      </c>
      <c r="B813" s="5" t="str">
        <f>IFERROR(IF(Portafolio_Proyectos!$AQ271="","",Portafolio_Proyectos!$AQ271),"")</f>
        <v/>
      </c>
      <c r="C813" s="5" t="str">
        <f>IFERROR(IF(Portafolio_Proyectos!$AQ271="","","Consolidada"),"")</f>
        <v/>
      </c>
      <c r="D813" s="5" t="str">
        <f>IFERROR(IF(Portafolio_Proyectos!$AQ271="","",Portafolio_Proyectos!$C271),"")</f>
        <v/>
      </c>
      <c r="E813" s="5" t="str">
        <f>IFERROR(IF(Portafolio_Proyectos!$AQ271="","",Portafolio_Proyectos!$B271),"")</f>
        <v/>
      </c>
      <c r="F813" s="5" t="str">
        <f>IFERROR(IF(Portafolio_Proyectos!$AQ271="","",Portafolio_Proyectos!$D271),"")</f>
        <v/>
      </c>
      <c r="G813" s="5" t="str">
        <f>IFERROR(IF(Portafolio_Proyectos!$AQ271="","",Portafolio_Proyectos!$A271),"")</f>
        <v/>
      </c>
      <c r="H813" s="5" t="str">
        <f>IFERROR(IF(Portafolio_Proyectos!$AQ271="","",Portafolio_Proyectos!$E271),"")</f>
        <v/>
      </c>
    </row>
    <row r="814" spans="1:8" x14ac:dyDescent="0.35">
      <c r="A814" s="5" t="str">
        <f>IFERROR(IF(Portafolio_Proyectos!$AR271="","","CAP-"&amp;ROW()-1),"")</f>
        <v/>
      </c>
      <c r="B814" s="5" t="str">
        <f>IFERROR(IF(Portafolio_Proyectos!$AR271="","",Portafolio_Proyectos!$AR271),"")</f>
        <v/>
      </c>
      <c r="C814" s="5" t="str">
        <f>IFERROR(IF(Portafolio_Proyectos!$AR271="","","Distintiva"),"")</f>
        <v/>
      </c>
      <c r="D814" s="5" t="str">
        <f>IFERROR(IF(Portafolio_Proyectos!$AR271="","",Portafolio_Proyectos!$C271),"")</f>
        <v/>
      </c>
      <c r="E814" s="5" t="str">
        <f>IFERROR(IF(Portafolio_Proyectos!$AR271="","",Portafolio_Proyectos!$B271),"")</f>
        <v/>
      </c>
      <c r="F814" s="5" t="str">
        <f>IFERROR(IF(Portafolio_Proyectos!$AR271="","",Portafolio_Proyectos!$D271),"")</f>
        <v/>
      </c>
      <c r="G814" s="5" t="str">
        <f>IFERROR(IF(Portafolio_Proyectos!$AR271="","",Portafolio_Proyectos!$A271),"")</f>
        <v/>
      </c>
      <c r="H814" s="5" t="str">
        <f>IFERROR(IF(Portafolio_Proyectos!$AR271="","",Portafolio_Proyectos!$E271),"")</f>
        <v/>
      </c>
    </row>
    <row r="815" spans="1:8" x14ac:dyDescent="0.35">
      <c r="A815" s="5" t="str">
        <f>IFERROR(IF(Portafolio_Proyectos!$AP272="","","CAP-"&amp;ROW()-1),"")</f>
        <v/>
      </c>
      <c r="B815" s="5" t="str">
        <f>IFERROR(IF(Portafolio_Proyectos!$AP272="","",Portafolio_Proyectos!$AP272),"")</f>
        <v/>
      </c>
      <c r="C815" s="5" t="str">
        <f>IFERROR(IF(Portafolio_Proyectos!$AP272="","","Emergente"),"")</f>
        <v/>
      </c>
      <c r="D815" s="5" t="str">
        <f>IFERROR(IF(Portafolio_Proyectos!$AP272="","",Portafolio_Proyectos!$C272),"")</f>
        <v/>
      </c>
      <c r="E815" s="5" t="str">
        <f>IFERROR(IF(Portafolio_Proyectos!$AP272="","",Portafolio_Proyectos!$B272),"")</f>
        <v/>
      </c>
      <c r="F815" s="5" t="str">
        <f>IFERROR(IF(Portafolio_Proyectos!$AP272="","",Portafolio_Proyectos!$D272),"")</f>
        <v/>
      </c>
      <c r="G815" s="5" t="str">
        <f>IFERROR(IF(Portafolio_Proyectos!$AP272="","",Portafolio_Proyectos!$A272),"")</f>
        <v/>
      </c>
      <c r="H815" s="5" t="str">
        <f>IFERROR(IF(Portafolio_Proyectos!$AP272="","",Portafolio_Proyectos!$E272),"")</f>
        <v/>
      </c>
    </row>
    <row r="816" spans="1:8" x14ac:dyDescent="0.35">
      <c r="A816" s="5" t="str">
        <f>IFERROR(IF(Portafolio_Proyectos!$AQ272="","","CAP-"&amp;ROW()-1),"")</f>
        <v/>
      </c>
      <c r="B816" s="5" t="str">
        <f>IFERROR(IF(Portafolio_Proyectos!$AQ272="","",Portafolio_Proyectos!$AQ272),"")</f>
        <v/>
      </c>
      <c r="C816" s="5" t="str">
        <f>IFERROR(IF(Portafolio_Proyectos!$AQ272="","","Consolidada"),"")</f>
        <v/>
      </c>
      <c r="D816" s="5" t="str">
        <f>IFERROR(IF(Portafolio_Proyectos!$AQ272="","",Portafolio_Proyectos!$C272),"")</f>
        <v/>
      </c>
      <c r="E816" s="5" t="str">
        <f>IFERROR(IF(Portafolio_Proyectos!$AQ272="","",Portafolio_Proyectos!$B272),"")</f>
        <v/>
      </c>
      <c r="F816" s="5" t="str">
        <f>IFERROR(IF(Portafolio_Proyectos!$AQ272="","",Portafolio_Proyectos!$D272),"")</f>
        <v/>
      </c>
      <c r="G816" s="5" t="str">
        <f>IFERROR(IF(Portafolio_Proyectos!$AQ272="","",Portafolio_Proyectos!$A272),"")</f>
        <v/>
      </c>
      <c r="H816" s="5" t="str">
        <f>IFERROR(IF(Portafolio_Proyectos!$AQ272="","",Portafolio_Proyectos!$E272),"")</f>
        <v/>
      </c>
    </row>
    <row r="817" spans="1:8" x14ac:dyDescent="0.35">
      <c r="A817" s="5" t="str">
        <f>IFERROR(IF(Portafolio_Proyectos!$AR272="","","CAP-"&amp;ROW()-1),"")</f>
        <v/>
      </c>
      <c r="B817" s="5" t="str">
        <f>IFERROR(IF(Portafolio_Proyectos!$AR272="","",Portafolio_Proyectos!$AR272),"")</f>
        <v/>
      </c>
      <c r="C817" s="5" t="str">
        <f>IFERROR(IF(Portafolio_Proyectos!$AR272="","","Distintiva"),"")</f>
        <v/>
      </c>
      <c r="D817" s="5" t="str">
        <f>IFERROR(IF(Portafolio_Proyectos!$AR272="","",Portafolio_Proyectos!$C272),"")</f>
        <v/>
      </c>
      <c r="E817" s="5" t="str">
        <f>IFERROR(IF(Portafolio_Proyectos!$AR272="","",Portafolio_Proyectos!$B272),"")</f>
        <v/>
      </c>
      <c r="F817" s="5" t="str">
        <f>IFERROR(IF(Portafolio_Proyectos!$AR272="","",Portafolio_Proyectos!$D272),"")</f>
        <v/>
      </c>
      <c r="G817" s="5" t="str">
        <f>IFERROR(IF(Portafolio_Proyectos!$AR272="","",Portafolio_Proyectos!$A272),"")</f>
        <v/>
      </c>
      <c r="H817" s="5" t="str">
        <f>IFERROR(IF(Portafolio_Proyectos!$AR272="","",Portafolio_Proyectos!$E272),"")</f>
        <v/>
      </c>
    </row>
    <row r="818" spans="1:8" x14ac:dyDescent="0.35">
      <c r="A818" s="5" t="str">
        <f>IFERROR(IF(Portafolio_Proyectos!$AP273="","","CAP-"&amp;ROW()-1),"")</f>
        <v/>
      </c>
      <c r="B818" s="5" t="str">
        <f>IFERROR(IF(Portafolio_Proyectos!$AP273="","",Portafolio_Proyectos!$AP273),"")</f>
        <v/>
      </c>
      <c r="C818" s="5" t="str">
        <f>IFERROR(IF(Portafolio_Proyectos!$AP273="","","Emergente"),"")</f>
        <v/>
      </c>
      <c r="D818" s="5" t="str">
        <f>IFERROR(IF(Portafolio_Proyectos!$AP273="","",Portafolio_Proyectos!$C273),"")</f>
        <v/>
      </c>
      <c r="E818" s="5" t="str">
        <f>IFERROR(IF(Portafolio_Proyectos!$AP273="","",Portafolio_Proyectos!$B273),"")</f>
        <v/>
      </c>
      <c r="F818" s="5" t="str">
        <f>IFERROR(IF(Portafolio_Proyectos!$AP273="","",Portafolio_Proyectos!$D273),"")</f>
        <v/>
      </c>
      <c r="G818" s="5" t="str">
        <f>IFERROR(IF(Portafolio_Proyectos!$AP273="","",Portafolio_Proyectos!$A273),"")</f>
        <v/>
      </c>
      <c r="H818" s="5" t="str">
        <f>IFERROR(IF(Portafolio_Proyectos!$AP273="","",Portafolio_Proyectos!$E273),"")</f>
        <v/>
      </c>
    </row>
    <row r="819" spans="1:8" x14ac:dyDescent="0.35">
      <c r="A819" s="5" t="str">
        <f>IFERROR(IF(Portafolio_Proyectos!$AQ273="","","CAP-"&amp;ROW()-1),"")</f>
        <v/>
      </c>
      <c r="B819" s="5" t="str">
        <f>IFERROR(IF(Portafolio_Proyectos!$AQ273="","",Portafolio_Proyectos!$AQ273),"")</f>
        <v/>
      </c>
      <c r="C819" s="5" t="str">
        <f>IFERROR(IF(Portafolio_Proyectos!$AQ273="","","Consolidada"),"")</f>
        <v/>
      </c>
      <c r="D819" s="5" t="str">
        <f>IFERROR(IF(Portafolio_Proyectos!$AQ273="","",Portafolio_Proyectos!$C273),"")</f>
        <v/>
      </c>
      <c r="E819" s="5" t="str">
        <f>IFERROR(IF(Portafolio_Proyectos!$AQ273="","",Portafolio_Proyectos!$B273),"")</f>
        <v/>
      </c>
      <c r="F819" s="5" t="str">
        <f>IFERROR(IF(Portafolio_Proyectos!$AQ273="","",Portafolio_Proyectos!$D273),"")</f>
        <v/>
      </c>
      <c r="G819" s="5" t="str">
        <f>IFERROR(IF(Portafolio_Proyectos!$AQ273="","",Portafolio_Proyectos!$A273),"")</f>
        <v/>
      </c>
      <c r="H819" s="5" t="str">
        <f>IFERROR(IF(Portafolio_Proyectos!$AQ273="","",Portafolio_Proyectos!$E273),"")</f>
        <v/>
      </c>
    </row>
    <row r="820" spans="1:8" x14ac:dyDescent="0.35">
      <c r="A820" s="5" t="str">
        <f>IFERROR(IF(Portafolio_Proyectos!$AR273="","","CAP-"&amp;ROW()-1),"")</f>
        <v/>
      </c>
      <c r="B820" s="5" t="str">
        <f>IFERROR(IF(Portafolio_Proyectos!$AR273="","",Portafolio_Proyectos!$AR273),"")</f>
        <v/>
      </c>
      <c r="C820" s="5" t="str">
        <f>IFERROR(IF(Portafolio_Proyectos!$AR273="","","Distintiva"),"")</f>
        <v/>
      </c>
      <c r="D820" s="5" t="str">
        <f>IFERROR(IF(Portafolio_Proyectos!$AR273="","",Portafolio_Proyectos!$C273),"")</f>
        <v/>
      </c>
      <c r="E820" s="5" t="str">
        <f>IFERROR(IF(Portafolio_Proyectos!$AR273="","",Portafolio_Proyectos!$B273),"")</f>
        <v/>
      </c>
      <c r="F820" s="5" t="str">
        <f>IFERROR(IF(Portafolio_Proyectos!$AR273="","",Portafolio_Proyectos!$D273),"")</f>
        <v/>
      </c>
      <c r="G820" s="5" t="str">
        <f>IFERROR(IF(Portafolio_Proyectos!$AR273="","",Portafolio_Proyectos!$A273),"")</f>
        <v/>
      </c>
      <c r="H820" s="5" t="str">
        <f>IFERROR(IF(Portafolio_Proyectos!$AR273="","",Portafolio_Proyectos!$E273),"")</f>
        <v/>
      </c>
    </row>
    <row r="821" spans="1:8" x14ac:dyDescent="0.35">
      <c r="A821" s="5" t="str">
        <f>IFERROR(IF(Portafolio_Proyectos!$AP274="","","CAP-"&amp;ROW()-1),"")</f>
        <v/>
      </c>
      <c r="B821" s="5" t="str">
        <f>IFERROR(IF(Portafolio_Proyectos!$AP274="","",Portafolio_Proyectos!$AP274),"")</f>
        <v/>
      </c>
      <c r="C821" s="5" t="str">
        <f>IFERROR(IF(Portafolio_Proyectos!$AP274="","","Emergente"),"")</f>
        <v/>
      </c>
      <c r="D821" s="5" t="str">
        <f>IFERROR(IF(Portafolio_Proyectos!$AP274="","",Portafolio_Proyectos!$C274),"")</f>
        <v/>
      </c>
      <c r="E821" s="5" t="str">
        <f>IFERROR(IF(Portafolio_Proyectos!$AP274="","",Portafolio_Proyectos!$B274),"")</f>
        <v/>
      </c>
      <c r="F821" s="5" t="str">
        <f>IFERROR(IF(Portafolio_Proyectos!$AP274="","",Portafolio_Proyectos!$D274),"")</f>
        <v/>
      </c>
      <c r="G821" s="5" t="str">
        <f>IFERROR(IF(Portafolio_Proyectos!$AP274="","",Portafolio_Proyectos!$A274),"")</f>
        <v/>
      </c>
      <c r="H821" s="5" t="str">
        <f>IFERROR(IF(Portafolio_Proyectos!$AP274="","",Portafolio_Proyectos!$E274),"")</f>
        <v/>
      </c>
    </row>
    <row r="822" spans="1:8" x14ac:dyDescent="0.35">
      <c r="A822" s="5" t="str">
        <f>IFERROR(IF(Portafolio_Proyectos!$AQ274="","","CAP-"&amp;ROW()-1),"")</f>
        <v/>
      </c>
      <c r="B822" s="5" t="str">
        <f>IFERROR(IF(Portafolio_Proyectos!$AQ274="","",Portafolio_Proyectos!$AQ274),"")</f>
        <v/>
      </c>
      <c r="C822" s="5" t="str">
        <f>IFERROR(IF(Portafolio_Proyectos!$AQ274="","","Consolidada"),"")</f>
        <v/>
      </c>
      <c r="D822" s="5" t="str">
        <f>IFERROR(IF(Portafolio_Proyectos!$AQ274="","",Portafolio_Proyectos!$C274),"")</f>
        <v/>
      </c>
      <c r="E822" s="5" t="str">
        <f>IFERROR(IF(Portafolio_Proyectos!$AQ274="","",Portafolio_Proyectos!$B274),"")</f>
        <v/>
      </c>
      <c r="F822" s="5" t="str">
        <f>IFERROR(IF(Portafolio_Proyectos!$AQ274="","",Portafolio_Proyectos!$D274),"")</f>
        <v/>
      </c>
      <c r="G822" s="5" t="str">
        <f>IFERROR(IF(Portafolio_Proyectos!$AQ274="","",Portafolio_Proyectos!$A274),"")</f>
        <v/>
      </c>
      <c r="H822" s="5" t="str">
        <f>IFERROR(IF(Portafolio_Proyectos!$AQ274="","",Portafolio_Proyectos!$E274),"")</f>
        <v/>
      </c>
    </row>
    <row r="823" spans="1:8" x14ac:dyDescent="0.35">
      <c r="A823" s="5" t="str">
        <f>IFERROR(IF(Portafolio_Proyectos!$AR274="","","CAP-"&amp;ROW()-1),"")</f>
        <v/>
      </c>
      <c r="B823" s="5" t="str">
        <f>IFERROR(IF(Portafolio_Proyectos!$AR274="","",Portafolio_Proyectos!$AR274),"")</f>
        <v/>
      </c>
      <c r="C823" s="5" t="str">
        <f>IFERROR(IF(Portafolio_Proyectos!$AR274="","","Distintiva"),"")</f>
        <v/>
      </c>
      <c r="D823" s="5" t="str">
        <f>IFERROR(IF(Portafolio_Proyectos!$AR274="","",Portafolio_Proyectos!$C274),"")</f>
        <v/>
      </c>
      <c r="E823" s="5" t="str">
        <f>IFERROR(IF(Portafolio_Proyectos!$AR274="","",Portafolio_Proyectos!$B274),"")</f>
        <v/>
      </c>
      <c r="F823" s="5" t="str">
        <f>IFERROR(IF(Portafolio_Proyectos!$AR274="","",Portafolio_Proyectos!$D274),"")</f>
        <v/>
      </c>
      <c r="G823" s="5" t="str">
        <f>IFERROR(IF(Portafolio_Proyectos!$AR274="","",Portafolio_Proyectos!$A274),"")</f>
        <v/>
      </c>
      <c r="H823" s="5" t="str">
        <f>IFERROR(IF(Portafolio_Proyectos!$AR274="","",Portafolio_Proyectos!$E274),"")</f>
        <v/>
      </c>
    </row>
    <row r="824" spans="1:8" x14ac:dyDescent="0.35">
      <c r="A824" s="5" t="str">
        <f>IFERROR(IF(Portafolio_Proyectos!$AP275="","","CAP-"&amp;ROW()-1),"")</f>
        <v/>
      </c>
      <c r="B824" s="5" t="str">
        <f>IFERROR(IF(Portafolio_Proyectos!$AP275="","",Portafolio_Proyectos!$AP275),"")</f>
        <v/>
      </c>
      <c r="C824" s="5" t="str">
        <f>IFERROR(IF(Portafolio_Proyectos!$AP275="","","Emergente"),"")</f>
        <v/>
      </c>
      <c r="D824" s="5" t="str">
        <f>IFERROR(IF(Portafolio_Proyectos!$AP275="","",Portafolio_Proyectos!$C275),"")</f>
        <v/>
      </c>
      <c r="E824" s="5" t="str">
        <f>IFERROR(IF(Portafolio_Proyectos!$AP275="","",Portafolio_Proyectos!$B275),"")</f>
        <v/>
      </c>
      <c r="F824" s="5" t="str">
        <f>IFERROR(IF(Portafolio_Proyectos!$AP275="","",Portafolio_Proyectos!$D275),"")</f>
        <v/>
      </c>
      <c r="G824" s="5" t="str">
        <f>IFERROR(IF(Portafolio_Proyectos!$AP275="","",Portafolio_Proyectos!$A275),"")</f>
        <v/>
      </c>
      <c r="H824" s="5" t="str">
        <f>IFERROR(IF(Portafolio_Proyectos!$AP275="","",Portafolio_Proyectos!$E275),"")</f>
        <v/>
      </c>
    </row>
    <row r="825" spans="1:8" x14ac:dyDescent="0.35">
      <c r="A825" s="5" t="str">
        <f>IFERROR(IF(Portafolio_Proyectos!$AQ275="","","CAP-"&amp;ROW()-1),"")</f>
        <v/>
      </c>
      <c r="B825" s="5" t="str">
        <f>IFERROR(IF(Portafolio_Proyectos!$AQ275="","",Portafolio_Proyectos!$AQ275),"")</f>
        <v/>
      </c>
      <c r="C825" s="5" t="str">
        <f>IFERROR(IF(Portafolio_Proyectos!$AQ275="","","Consolidada"),"")</f>
        <v/>
      </c>
      <c r="D825" s="5" t="str">
        <f>IFERROR(IF(Portafolio_Proyectos!$AQ275="","",Portafolio_Proyectos!$C275),"")</f>
        <v/>
      </c>
      <c r="E825" s="5" t="str">
        <f>IFERROR(IF(Portafolio_Proyectos!$AQ275="","",Portafolio_Proyectos!$B275),"")</f>
        <v/>
      </c>
      <c r="F825" s="5" t="str">
        <f>IFERROR(IF(Portafolio_Proyectos!$AQ275="","",Portafolio_Proyectos!$D275),"")</f>
        <v/>
      </c>
      <c r="G825" s="5" t="str">
        <f>IFERROR(IF(Portafolio_Proyectos!$AQ275="","",Portafolio_Proyectos!$A275),"")</f>
        <v/>
      </c>
      <c r="H825" s="5" t="str">
        <f>IFERROR(IF(Portafolio_Proyectos!$AQ275="","",Portafolio_Proyectos!$E275),"")</f>
        <v/>
      </c>
    </row>
    <row r="826" spans="1:8" x14ac:dyDescent="0.35">
      <c r="A826" s="5" t="str">
        <f>IFERROR(IF(Portafolio_Proyectos!$AR275="","","CAP-"&amp;ROW()-1),"")</f>
        <v/>
      </c>
      <c r="B826" s="5" t="str">
        <f>IFERROR(IF(Portafolio_Proyectos!$AR275="","",Portafolio_Proyectos!$AR275),"")</f>
        <v/>
      </c>
      <c r="C826" s="5" t="str">
        <f>IFERROR(IF(Portafolio_Proyectos!$AR275="","","Distintiva"),"")</f>
        <v/>
      </c>
      <c r="D826" s="5" t="str">
        <f>IFERROR(IF(Portafolio_Proyectos!$AR275="","",Portafolio_Proyectos!$C275),"")</f>
        <v/>
      </c>
      <c r="E826" s="5" t="str">
        <f>IFERROR(IF(Portafolio_Proyectos!$AR275="","",Portafolio_Proyectos!$B275),"")</f>
        <v/>
      </c>
      <c r="F826" s="5" t="str">
        <f>IFERROR(IF(Portafolio_Proyectos!$AR275="","",Portafolio_Proyectos!$D275),"")</f>
        <v/>
      </c>
      <c r="G826" s="5" t="str">
        <f>IFERROR(IF(Portafolio_Proyectos!$AR275="","",Portafolio_Proyectos!$A275),"")</f>
        <v/>
      </c>
      <c r="H826" s="5" t="str">
        <f>IFERROR(IF(Portafolio_Proyectos!$AR275="","",Portafolio_Proyectos!$E275),"")</f>
        <v/>
      </c>
    </row>
    <row r="827" spans="1:8" x14ac:dyDescent="0.35">
      <c r="A827" s="5" t="str">
        <f>IFERROR(IF(Portafolio_Proyectos!$AP276="","","CAP-"&amp;ROW()-1),"")</f>
        <v/>
      </c>
      <c r="B827" s="5" t="str">
        <f>IFERROR(IF(Portafolio_Proyectos!$AP276="","",Portafolio_Proyectos!$AP276),"")</f>
        <v/>
      </c>
      <c r="C827" s="5" t="str">
        <f>IFERROR(IF(Portafolio_Proyectos!$AP276="","","Emergente"),"")</f>
        <v/>
      </c>
      <c r="D827" s="5" t="str">
        <f>IFERROR(IF(Portafolio_Proyectos!$AP276="","",Portafolio_Proyectos!$C276),"")</f>
        <v/>
      </c>
      <c r="E827" s="5" t="str">
        <f>IFERROR(IF(Portafolio_Proyectos!$AP276="","",Portafolio_Proyectos!$B276),"")</f>
        <v/>
      </c>
      <c r="F827" s="5" t="str">
        <f>IFERROR(IF(Portafolio_Proyectos!$AP276="","",Portafolio_Proyectos!$D276),"")</f>
        <v/>
      </c>
      <c r="G827" s="5" t="str">
        <f>IFERROR(IF(Portafolio_Proyectos!$AP276="","",Portafolio_Proyectos!$A276),"")</f>
        <v/>
      </c>
      <c r="H827" s="5" t="str">
        <f>IFERROR(IF(Portafolio_Proyectos!$AP276="","",Portafolio_Proyectos!$E276),"")</f>
        <v/>
      </c>
    </row>
    <row r="828" spans="1:8" x14ac:dyDescent="0.35">
      <c r="A828" s="5" t="str">
        <f>IFERROR(IF(Portafolio_Proyectos!$AQ276="","","CAP-"&amp;ROW()-1),"")</f>
        <v/>
      </c>
      <c r="B828" s="5" t="str">
        <f>IFERROR(IF(Portafolio_Proyectos!$AQ276="","",Portafolio_Proyectos!$AQ276),"")</f>
        <v/>
      </c>
      <c r="C828" s="5" t="str">
        <f>IFERROR(IF(Portafolio_Proyectos!$AQ276="","","Consolidada"),"")</f>
        <v/>
      </c>
      <c r="D828" s="5" t="str">
        <f>IFERROR(IF(Portafolio_Proyectos!$AQ276="","",Portafolio_Proyectos!$C276),"")</f>
        <v/>
      </c>
      <c r="E828" s="5" t="str">
        <f>IFERROR(IF(Portafolio_Proyectos!$AQ276="","",Portafolio_Proyectos!$B276),"")</f>
        <v/>
      </c>
      <c r="F828" s="5" t="str">
        <f>IFERROR(IF(Portafolio_Proyectos!$AQ276="","",Portafolio_Proyectos!$D276),"")</f>
        <v/>
      </c>
      <c r="G828" s="5" t="str">
        <f>IFERROR(IF(Portafolio_Proyectos!$AQ276="","",Portafolio_Proyectos!$A276),"")</f>
        <v/>
      </c>
      <c r="H828" s="5" t="str">
        <f>IFERROR(IF(Portafolio_Proyectos!$AQ276="","",Portafolio_Proyectos!$E276),"")</f>
        <v/>
      </c>
    </row>
    <row r="829" spans="1:8" x14ac:dyDescent="0.35">
      <c r="A829" s="5" t="str">
        <f>IFERROR(IF(Portafolio_Proyectos!$AR276="","","CAP-"&amp;ROW()-1),"")</f>
        <v/>
      </c>
      <c r="B829" s="5" t="str">
        <f>IFERROR(IF(Portafolio_Proyectos!$AR276="","",Portafolio_Proyectos!$AR276),"")</f>
        <v/>
      </c>
      <c r="C829" s="5" t="str">
        <f>IFERROR(IF(Portafolio_Proyectos!$AR276="","","Distintiva"),"")</f>
        <v/>
      </c>
      <c r="D829" s="5" t="str">
        <f>IFERROR(IF(Portafolio_Proyectos!$AR276="","",Portafolio_Proyectos!$C276),"")</f>
        <v/>
      </c>
      <c r="E829" s="5" t="str">
        <f>IFERROR(IF(Portafolio_Proyectos!$AR276="","",Portafolio_Proyectos!$B276),"")</f>
        <v/>
      </c>
      <c r="F829" s="5" t="str">
        <f>IFERROR(IF(Portafolio_Proyectos!$AR276="","",Portafolio_Proyectos!$D276),"")</f>
        <v/>
      </c>
      <c r="G829" s="5" t="str">
        <f>IFERROR(IF(Portafolio_Proyectos!$AR276="","",Portafolio_Proyectos!$A276),"")</f>
        <v/>
      </c>
      <c r="H829" s="5" t="str">
        <f>IFERROR(IF(Portafolio_Proyectos!$AR276="","",Portafolio_Proyectos!$E276),"")</f>
        <v/>
      </c>
    </row>
    <row r="830" spans="1:8" x14ac:dyDescent="0.35">
      <c r="A830" s="5" t="str">
        <f>IFERROR(IF(Portafolio_Proyectos!$AP277="","","CAP-"&amp;ROW()-1),"")</f>
        <v/>
      </c>
      <c r="B830" s="5" t="str">
        <f>IFERROR(IF(Portafolio_Proyectos!$AP277="","",Portafolio_Proyectos!$AP277),"")</f>
        <v/>
      </c>
      <c r="C830" s="5" t="str">
        <f>IFERROR(IF(Portafolio_Proyectos!$AP277="","","Emergente"),"")</f>
        <v/>
      </c>
      <c r="D830" s="5" t="str">
        <f>IFERROR(IF(Portafolio_Proyectos!$AP277="","",Portafolio_Proyectos!$C277),"")</f>
        <v/>
      </c>
      <c r="E830" s="5" t="str">
        <f>IFERROR(IF(Portafolio_Proyectos!$AP277="","",Portafolio_Proyectos!$B277),"")</f>
        <v/>
      </c>
      <c r="F830" s="5" t="str">
        <f>IFERROR(IF(Portafolio_Proyectos!$AP277="","",Portafolio_Proyectos!$D277),"")</f>
        <v/>
      </c>
      <c r="G830" s="5" t="str">
        <f>IFERROR(IF(Portafolio_Proyectos!$AP277="","",Portafolio_Proyectos!$A277),"")</f>
        <v/>
      </c>
      <c r="H830" s="5" t="str">
        <f>IFERROR(IF(Portafolio_Proyectos!$AP277="","",Portafolio_Proyectos!$E277),"")</f>
        <v/>
      </c>
    </row>
    <row r="831" spans="1:8" x14ac:dyDescent="0.35">
      <c r="A831" s="5" t="str">
        <f>IFERROR(IF(Portafolio_Proyectos!$AQ277="","","CAP-"&amp;ROW()-1),"")</f>
        <v/>
      </c>
      <c r="B831" s="5" t="str">
        <f>IFERROR(IF(Portafolio_Proyectos!$AQ277="","",Portafolio_Proyectos!$AQ277),"")</f>
        <v/>
      </c>
      <c r="C831" s="5" t="str">
        <f>IFERROR(IF(Portafolio_Proyectos!$AQ277="","","Consolidada"),"")</f>
        <v/>
      </c>
      <c r="D831" s="5" t="str">
        <f>IFERROR(IF(Portafolio_Proyectos!$AQ277="","",Portafolio_Proyectos!$C277),"")</f>
        <v/>
      </c>
      <c r="E831" s="5" t="str">
        <f>IFERROR(IF(Portafolio_Proyectos!$AQ277="","",Portafolio_Proyectos!$B277),"")</f>
        <v/>
      </c>
      <c r="F831" s="5" t="str">
        <f>IFERROR(IF(Portafolio_Proyectos!$AQ277="","",Portafolio_Proyectos!$D277),"")</f>
        <v/>
      </c>
      <c r="G831" s="5" t="str">
        <f>IFERROR(IF(Portafolio_Proyectos!$AQ277="","",Portafolio_Proyectos!$A277),"")</f>
        <v/>
      </c>
      <c r="H831" s="5" t="str">
        <f>IFERROR(IF(Portafolio_Proyectos!$AQ277="","",Portafolio_Proyectos!$E277),"")</f>
        <v/>
      </c>
    </row>
    <row r="832" spans="1:8" x14ac:dyDescent="0.35">
      <c r="A832" s="5" t="str">
        <f>IFERROR(IF(Portafolio_Proyectos!$AR277="","","CAP-"&amp;ROW()-1),"")</f>
        <v/>
      </c>
      <c r="B832" s="5" t="str">
        <f>IFERROR(IF(Portafolio_Proyectos!$AR277="","",Portafolio_Proyectos!$AR277),"")</f>
        <v/>
      </c>
      <c r="C832" s="5" t="str">
        <f>IFERROR(IF(Portafolio_Proyectos!$AR277="","","Distintiva"),"")</f>
        <v/>
      </c>
      <c r="D832" s="5" t="str">
        <f>IFERROR(IF(Portafolio_Proyectos!$AR277="","",Portafolio_Proyectos!$C277),"")</f>
        <v/>
      </c>
      <c r="E832" s="5" t="str">
        <f>IFERROR(IF(Portafolio_Proyectos!$AR277="","",Portafolio_Proyectos!$B277),"")</f>
        <v/>
      </c>
      <c r="F832" s="5" t="str">
        <f>IFERROR(IF(Portafolio_Proyectos!$AR277="","",Portafolio_Proyectos!$D277),"")</f>
        <v/>
      </c>
      <c r="G832" s="5" t="str">
        <f>IFERROR(IF(Portafolio_Proyectos!$AR277="","",Portafolio_Proyectos!$A277),"")</f>
        <v/>
      </c>
      <c r="H832" s="5" t="str">
        <f>IFERROR(IF(Portafolio_Proyectos!$AR277="","",Portafolio_Proyectos!$E277),"")</f>
        <v/>
      </c>
    </row>
    <row r="833" spans="1:8" x14ac:dyDescent="0.35">
      <c r="A833" s="5" t="str">
        <f>IFERROR(IF(Portafolio_Proyectos!$AP278="","","CAP-"&amp;ROW()-1),"")</f>
        <v/>
      </c>
      <c r="B833" s="5" t="str">
        <f>IFERROR(IF(Portafolio_Proyectos!$AP278="","",Portafolio_Proyectos!$AP278),"")</f>
        <v/>
      </c>
      <c r="C833" s="5" t="str">
        <f>IFERROR(IF(Portafolio_Proyectos!$AP278="","","Emergente"),"")</f>
        <v/>
      </c>
      <c r="D833" s="5" t="str">
        <f>IFERROR(IF(Portafolio_Proyectos!$AP278="","",Portafolio_Proyectos!$C278),"")</f>
        <v/>
      </c>
      <c r="E833" s="5" t="str">
        <f>IFERROR(IF(Portafolio_Proyectos!$AP278="","",Portafolio_Proyectos!$B278),"")</f>
        <v/>
      </c>
      <c r="F833" s="5" t="str">
        <f>IFERROR(IF(Portafolio_Proyectos!$AP278="","",Portafolio_Proyectos!$D278),"")</f>
        <v/>
      </c>
      <c r="G833" s="5" t="str">
        <f>IFERROR(IF(Portafolio_Proyectos!$AP278="","",Portafolio_Proyectos!$A278),"")</f>
        <v/>
      </c>
      <c r="H833" s="5" t="str">
        <f>IFERROR(IF(Portafolio_Proyectos!$AP278="","",Portafolio_Proyectos!$E278),"")</f>
        <v/>
      </c>
    </row>
    <row r="834" spans="1:8" x14ac:dyDescent="0.35">
      <c r="A834" s="5" t="str">
        <f>IFERROR(IF(Portafolio_Proyectos!$AQ278="","","CAP-"&amp;ROW()-1),"")</f>
        <v/>
      </c>
      <c r="B834" s="5" t="str">
        <f>IFERROR(IF(Portafolio_Proyectos!$AQ278="","",Portafolio_Proyectos!$AQ278),"")</f>
        <v/>
      </c>
      <c r="C834" s="5" t="str">
        <f>IFERROR(IF(Portafolio_Proyectos!$AQ278="","","Consolidada"),"")</f>
        <v/>
      </c>
      <c r="D834" s="5" t="str">
        <f>IFERROR(IF(Portafolio_Proyectos!$AQ278="","",Portafolio_Proyectos!$C278),"")</f>
        <v/>
      </c>
      <c r="E834" s="5" t="str">
        <f>IFERROR(IF(Portafolio_Proyectos!$AQ278="","",Portafolio_Proyectos!$B278),"")</f>
        <v/>
      </c>
      <c r="F834" s="5" t="str">
        <f>IFERROR(IF(Portafolio_Proyectos!$AQ278="","",Portafolio_Proyectos!$D278),"")</f>
        <v/>
      </c>
      <c r="G834" s="5" t="str">
        <f>IFERROR(IF(Portafolio_Proyectos!$AQ278="","",Portafolio_Proyectos!$A278),"")</f>
        <v/>
      </c>
      <c r="H834" s="5" t="str">
        <f>IFERROR(IF(Portafolio_Proyectos!$AQ278="","",Portafolio_Proyectos!$E278),"")</f>
        <v/>
      </c>
    </row>
    <row r="835" spans="1:8" x14ac:dyDescent="0.35">
      <c r="A835" s="5" t="str">
        <f>IFERROR(IF(Portafolio_Proyectos!$AR278="","","CAP-"&amp;ROW()-1),"")</f>
        <v/>
      </c>
      <c r="B835" s="5" t="str">
        <f>IFERROR(IF(Portafolio_Proyectos!$AR278="","",Portafolio_Proyectos!$AR278),"")</f>
        <v/>
      </c>
      <c r="C835" s="5" t="str">
        <f>IFERROR(IF(Portafolio_Proyectos!$AR278="","","Distintiva"),"")</f>
        <v/>
      </c>
      <c r="D835" s="5" t="str">
        <f>IFERROR(IF(Portafolio_Proyectos!$AR278="","",Portafolio_Proyectos!$C278),"")</f>
        <v/>
      </c>
      <c r="E835" s="5" t="str">
        <f>IFERROR(IF(Portafolio_Proyectos!$AR278="","",Portafolio_Proyectos!$B278),"")</f>
        <v/>
      </c>
      <c r="F835" s="5" t="str">
        <f>IFERROR(IF(Portafolio_Proyectos!$AR278="","",Portafolio_Proyectos!$D278),"")</f>
        <v/>
      </c>
      <c r="G835" s="5" t="str">
        <f>IFERROR(IF(Portafolio_Proyectos!$AR278="","",Portafolio_Proyectos!$A278),"")</f>
        <v/>
      </c>
      <c r="H835" s="5" t="str">
        <f>IFERROR(IF(Portafolio_Proyectos!$AR278="","",Portafolio_Proyectos!$E278),"")</f>
        <v/>
      </c>
    </row>
    <row r="836" spans="1:8" x14ac:dyDescent="0.35">
      <c r="A836" s="5" t="str">
        <f>IFERROR(IF(Portafolio_Proyectos!$AP279="","","CAP-"&amp;ROW()-1),"")</f>
        <v/>
      </c>
      <c r="B836" s="5" t="str">
        <f>IFERROR(IF(Portafolio_Proyectos!$AP279="","",Portafolio_Proyectos!$AP279),"")</f>
        <v/>
      </c>
      <c r="C836" s="5" t="str">
        <f>IFERROR(IF(Portafolio_Proyectos!$AP279="","","Emergente"),"")</f>
        <v/>
      </c>
      <c r="D836" s="5" t="str">
        <f>IFERROR(IF(Portafolio_Proyectos!$AP279="","",Portafolio_Proyectos!$C279),"")</f>
        <v/>
      </c>
      <c r="E836" s="5" t="str">
        <f>IFERROR(IF(Portafolio_Proyectos!$AP279="","",Portafolio_Proyectos!$B279),"")</f>
        <v/>
      </c>
      <c r="F836" s="5" t="str">
        <f>IFERROR(IF(Portafolio_Proyectos!$AP279="","",Portafolio_Proyectos!$D279),"")</f>
        <v/>
      </c>
      <c r="G836" s="5" t="str">
        <f>IFERROR(IF(Portafolio_Proyectos!$AP279="","",Portafolio_Proyectos!$A279),"")</f>
        <v/>
      </c>
      <c r="H836" s="5" t="str">
        <f>IFERROR(IF(Portafolio_Proyectos!$AP279="","",Portafolio_Proyectos!$E279),"")</f>
        <v/>
      </c>
    </row>
    <row r="837" spans="1:8" x14ac:dyDescent="0.35">
      <c r="A837" s="5" t="str">
        <f>IFERROR(IF(Portafolio_Proyectos!$AQ279="","","CAP-"&amp;ROW()-1),"")</f>
        <v/>
      </c>
      <c r="B837" s="5" t="str">
        <f>IFERROR(IF(Portafolio_Proyectos!$AQ279="","",Portafolio_Proyectos!$AQ279),"")</f>
        <v/>
      </c>
      <c r="C837" s="5" t="str">
        <f>IFERROR(IF(Portafolio_Proyectos!$AQ279="","","Consolidada"),"")</f>
        <v/>
      </c>
      <c r="D837" s="5" t="str">
        <f>IFERROR(IF(Portafolio_Proyectos!$AQ279="","",Portafolio_Proyectos!$C279),"")</f>
        <v/>
      </c>
      <c r="E837" s="5" t="str">
        <f>IFERROR(IF(Portafolio_Proyectos!$AQ279="","",Portafolio_Proyectos!$B279),"")</f>
        <v/>
      </c>
      <c r="F837" s="5" t="str">
        <f>IFERROR(IF(Portafolio_Proyectos!$AQ279="","",Portafolio_Proyectos!$D279),"")</f>
        <v/>
      </c>
      <c r="G837" s="5" t="str">
        <f>IFERROR(IF(Portafolio_Proyectos!$AQ279="","",Portafolio_Proyectos!$A279),"")</f>
        <v/>
      </c>
      <c r="H837" s="5" t="str">
        <f>IFERROR(IF(Portafolio_Proyectos!$AQ279="","",Portafolio_Proyectos!$E279),"")</f>
        <v/>
      </c>
    </row>
    <row r="838" spans="1:8" x14ac:dyDescent="0.35">
      <c r="A838" s="5" t="str">
        <f>IFERROR(IF(Portafolio_Proyectos!$AR279="","","CAP-"&amp;ROW()-1),"")</f>
        <v/>
      </c>
      <c r="B838" s="5" t="str">
        <f>IFERROR(IF(Portafolio_Proyectos!$AR279="","",Portafolio_Proyectos!$AR279),"")</f>
        <v/>
      </c>
      <c r="C838" s="5" t="str">
        <f>IFERROR(IF(Portafolio_Proyectos!$AR279="","","Distintiva"),"")</f>
        <v/>
      </c>
      <c r="D838" s="5" t="str">
        <f>IFERROR(IF(Portafolio_Proyectos!$AR279="","",Portafolio_Proyectos!$C279),"")</f>
        <v/>
      </c>
      <c r="E838" s="5" t="str">
        <f>IFERROR(IF(Portafolio_Proyectos!$AR279="","",Portafolio_Proyectos!$B279),"")</f>
        <v/>
      </c>
      <c r="F838" s="5" t="str">
        <f>IFERROR(IF(Portafolio_Proyectos!$AR279="","",Portafolio_Proyectos!$D279),"")</f>
        <v/>
      </c>
      <c r="G838" s="5" t="str">
        <f>IFERROR(IF(Portafolio_Proyectos!$AR279="","",Portafolio_Proyectos!$A279),"")</f>
        <v/>
      </c>
      <c r="H838" s="5" t="str">
        <f>IFERROR(IF(Portafolio_Proyectos!$AR279="","",Portafolio_Proyectos!$E279),"")</f>
        <v/>
      </c>
    </row>
    <row r="839" spans="1:8" x14ac:dyDescent="0.35">
      <c r="A839" s="5" t="str">
        <f>IFERROR(IF(Portafolio_Proyectos!$AP280="","","CAP-"&amp;ROW()-1),"")</f>
        <v/>
      </c>
      <c r="B839" s="5" t="str">
        <f>IFERROR(IF(Portafolio_Proyectos!$AP280="","",Portafolio_Proyectos!$AP280),"")</f>
        <v/>
      </c>
      <c r="C839" s="5" t="str">
        <f>IFERROR(IF(Portafolio_Proyectos!$AP280="","","Emergente"),"")</f>
        <v/>
      </c>
      <c r="D839" s="5" t="str">
        <f>IFERROR(IF(Portafolio_Proyectos!$AP280="","",Portafolio_Proyectos!$C280),"")</f>
        <v/>
      </c>
      <c r="E839" s="5" t="str">
        <f>IFERROR(IF(Portafolio_Proyectos!$AP280="","",Portafolio_Proyectos!$B280),"")</f>
        <v/>
      </c>
      <c r="F839" s="5" t="str">
        <f>IFERROR(IF(Portafolio_Proyectos!$AP280="","",Portafolio_Proyectos!$D280),"")</f>
        <v/>
      </c>
      <c r="G839" s="5" t="str">
        <f>IFERROR(IF(Portafolio_Proyectos!$AP280="","",Portafolio_Proyectos!$A280),"")</f>
        <v/>
      </c>
      <c r="H839" s="5" t="str">
        <f>IFERROR(IF(Portafolio_Proyectos!$AP280="","",Portafolio_Proyectos!$E280),"")</f>
        <v/>
      </c>
    </row>
    <row r="840" spans="1:8" x14ac:dyDescent="0.35">
      <c r="A840" s="5" t="str">
        <f>IFERROR(IF(Portafolio_Proyectos!$AQ280="","","CAP-"&amp;ROW()-1),"")</f>
        <v/>
      </c>
      <c r="B840" s="5" t="str">
        <f>IFERROR(IF(Portafolio_Proyectos!$AQ280="","",Portafolio_Proyectos!$AQ280),"")</f>
        <v/>
      </c>
      <c r="C840" s="5" t="str">
        <f>IFERROR(IF(Portafolio_Proyectos!$AQ280="","","Consolidada"),"")</f>
        <v/>
      </c>
      <c r="D840" s="5" t="str">
        <f>IFERROR(IF(Portafolio_Proyectos!$AQ280="","",Portafolio_Proyectos!$C280),"")</f>
        <v/>
      </c>
      <c r="E840" s="5" t="str">
        <f>IFERROR(IF(Portafolio_Proyectos!$AQ280="","",Portafolio_Proyectos!$B280),"")</f>
        <v/>
      </c>
      <c r="F840" s="5" t="str">
        <f>IFERROR(IF(Portafolio_Proyectos!$AQ280="","",Portafolio_Proyectos!$D280),"")</f>
        <v/>
      </c>
      <c r="G840" s="5" t="str">
        <f>IFERROR(IF(Portafolio_Proyectos!$AQ280="","",Portafolio_Proyectos!$A280),"")</f>
        <v/>
      </c>
      <c r="H840" s="5" t="str">
        <f>IFERROR(IF(Portafolio_Proyectos!$AQ280="","",Portafolio_Proyectos!$E280),"")</f>
        <v/>
      </c>
    </row>
    <row r="841" spans="1:8" x14ac:dyDescent="0.35">
      <c r="A841" s="5" t="str">
        <f>IFERROR(IF(Portafolio_Proyectos!$AR280="","","CAP-"&amp;ROW()-1),"")</f>
        <v/>
      </c>
      <c r="B841" s="5" t="str">
        <f>IFERROR(IF(Portafolio_Proyectos!$AR280="","",Portafolio_Proyectos!$AR280),"")</f>
        <v/>
      </c>
      <c r="C841" s="5" t="str">
        <f>IFERROR(IF(Portafolio_Proyectos!$AR280="","","Distintiva"),"")</f>
        <v/>
      </c>
      <c r="D841" s="5" t="str">
        <f>IFERROR(IF(Portafolio_Proyectos!$AR280="","",Portafolio_Proyectos!$C280),"")</f>
        <v/>
      </c>
      <c r="E841" s="5" t="str">
        <f>IFERROR(IF(Portafolio_Proyectos!$AR280="","",Portafolio_Proyectos!$B280),"")</f>
        <v/>
      </c>
      <c r="F841" s="5" t="str">
        <f>IFERROR(IF(Portafolio_Proyectos!$AR280="","",Portafolio_Proyectos!$D280),"")</f>
        <v/>
      </c>
      <c r="G841" s="5" t="str">
        <f>IFERROR(IF(Portafolio_Proyectos!$AR280="","",Portafolio_Proyectos!$A280),"")</f>
        <v/>
      </c>
      <c r="H841" s="5" t="str">
        <f>IFERROR(IF(Portafolio_Proyectos!$AR280="","",Portafolio_Proyectos!$E280),"")</f>
        <v/>
      </c>
    </row>
    <row r="842" spans="1:8" x14ac:dyDescent="0.35">
      <c r="A842" s="5" t="str">
        <f>IFERROR(IF(Portafolio_Proyectos!$AP281="","","CAP-"&amp;ROW()-1),"")</f>
        <v/>
      </c>
      <c r="B842" s="5" t="str">
        <f>IFERROR(IF(Portafolio_Proyectos!$AP281="","",Portafolio_Proyectos!$AP281),"")</f>
        <v/>
      </c>
      <c r="C842" s="5" t="str">
        <f>IFERROR(IF(Portafolio_Proyectos!$AP281="","","Emergente"),"")</f>
        <v/>
      </c>
      <c r="D842" s="5" t="str">
        <f>IFERROR(IF(Portafolio_Proyectos!$AP281="","",Portafolio_Proyectos!$C281),"")</f>
        <v/>
      </c>
      <c r="E842" s="5" t="str">
        <f>IFERROR(IF(Portafolio_Proyectos!$AP281="","",Portafolio_Proyectos!$B281),"")</f>
        <v/>
      </c>
      <c r="F842" s="5" t="str">
        <f>IFERROR(IF(Portafolio_Proyectos!$AP281="","",Portafolio_Proyectos!$D281),"")</f>
        <v/>
      </c>
      <c r="G842" s="5" t="str">
        <f>IFERROR(IF(Portafolio_Proyectos!$AP281="","",Portafolio_Proyectos!$A281),"")</f>
        <v/>
      </c>
      <c r="H842" s="5" t="str">
        <f>IFERROR(IF(Portafolio_Proyectos!$AP281="","",Portafolio_Proyectos!$E281),"")</f>
        <v/>
      </c>
    </row>
    <row r="843" spans="1:8" x14ac:dyDescent="0.35">
      <c r="A843" s="5" t="str">
        <f>IFERROR(IF(Portafolio_Proyectos!$AQ281="","","CAP-"&amp;ROW()-1),"")</f>
        <v/>
      </c>
      <c r="B843" s="5" t="str">
        <f>IFERROR(IF(Portafolio_Proyectos!$AQ281="","",Portafolio_Proyectos!$AQ281),"")</f>
        <v/>
      </c>
      <c r="C843" s="5" t="str">
        <f>IFERROR(IF(Portafolio_Proyectos!$AQ281="","","Consolidada"),"")</f>
        <v/>
      </c>
      <c r="D843" s="5" t="str">
        <f>IFERROR(IF(Portafolio_Proyectos!$AQ281="","",Portafolio_Proyectos!$C281),"")</f>
        <v/>
      </c>
      <c r="E843" s="5" t="str">
        <f>IFERROR(IF(Portafolio_Proyectos!$AQ281="","",Portafolio_Proyectos!$B281),"")</f>
        <v/>
      </c>
      <c r="F843" s="5" t="str">
        <f>IFERROR(IF(Portafolio_Proyectos!$AQ281="","",Portafolio_Proyectos!$D281),"")</f>
        <v/>
      </c>
      <c r="G843" s="5" t="str">
        <f>IFERROR(IF(Portafolio_Proyectos!$AQ281="","",Portafolio_Proyectos!$A281),"")</f>
        <v/>
      </c>
      <c r="H843" s="5" t="str">
        <f>IFERROR(IF(Portafolio_Proyectos!$AQ281="","",Portafolio_Proyectos!$E281),"")</f>
        <v/>
      </c>
    </row>
    <row r="844" spans="1:8" x14ac:dyDescent="0.35">
      <c r="A844" s="5" t="str">
        <f>IFERROR(IF(Portafolio_Proyectos!$AR281="","","CAP-"&amp;ROW()-1),"")</f>
        <v/>
      </c>
      <c r="B844" s="5" t="str">
        <f>IFERROR(IF(Portafolio_Proyectos!$AR281="","",Portafolio_Proyectos!$AR281),"")</f>
        <v/>
      </c>
      <c r="C844" s="5" t="str">
        <f>IFERROR(IF(Portafolio_Proyectos!$AR281="","","Distintiva"),"")</f>
        <v/>
      </c>
      <c r="D844" s="5" t="str">
        <f>IFERROR(IF(Portafolio_Proyectos!$AR281="","",Portafolio_Proyectos!$C281),"")</f>
        <v/>
      </c>
      <c r="E844" s="5" t="str">
        <f>IFERROR(IF(Portafolio_Proyectos!$AR281="","",Portafolio_Proyectos!$B281),"")</f>
        <v/>
      </c>
      <c r="F844" s="5" t="str">
        <f>IFERROR(IF(Portafolio_Proyectos!$AR281="","",Portafolio_Proyectos!$D281),"")</f>
        <v/>
      </c>
      <c r="G844" s="5" t="str">
        <f>IFERROR(IF(Portafolio_Proyectos!$AR281="","",Portafolio_Proyectos!$A281),"")</f>
        <v/>
      </c>
      <c r="H844" s="5" t="str">
        <f>IFERROR(IF(Portafolio_Proyectos!$AR281="","",Portafolio_Proyectos!$E281),"")</f>
        <v/>
      </c>
    </row>
    <row r="845" spans="1:8" x14ac:dyDescent="0.35">
      <c r="A845" s="5" t="str">
        <f>IFERROR(IF(Portafolio_Proyectos!$AP282="","","CAP-"&amp;ROW()-1),"")</f>
        <v/>
      </c>
      <c r="B845" s="5" t="str">
        <f>IFERROR(IF(Portafolio_Proyectos!$AP282="","",Portafolio_Proyectos!$AP282),"")</f>
        <v/>
      </c>
      <c r="C845" s="5" t="str">
        <f>IFERROR(IF(Portafolio_Proyectos!$AP282="","","Emergente"),"")</f>
        <v/>
      </c>
      <c r="D845" s="5" t="str">
        <f>IFERROR(IF(Portafolio_Proyectos!$AP282="","",Portafolio_Proyectos!$C282),"")</f>
        <v/>
      </c>
      <c r="E845" s="5" t="str">
        <f>IFERROR(IF(Portafolio_Proyectos!$AP282="","",Portafolio_Proyectos!$B282),"")</f>
        <v/>
      </c>
      <c r="F845" s="5" t="str">
        <f>IFERROR(IF(Portafolio_Proyectos!$AP282="","",Portafolio_Proyectos!$D282),"")</f>
        <v/>
      </c>
      <c r="G845" s="5" t="str">
        <f>IFERROR(IF(Portafolio_Proyectos!$AP282="","",Portafolio_Proyectos!$A282),"")</f>
        <v/>
      </c>
      <c r="H845" s="5" t="str">
        <f>IFERROR(IF(Portafolio_Proyectos!$AP282="","",Portafolio_Proyectos!$E282),"")</f>
        <v/>
      </c>
    </row>
    <row r="846" spans="1:8" x14ac:dyDescent="0.35">
      <c r="A846" s="5" t="str">
        <f>IFERROR(IF(Portafolio_Proyectos!$AQ282="","","CAP-"&amp;ROW()-1),"")</f>
        <v/>
      </c>
      <c r="B846" s="5" t="str">
        <f>IFERROR(IF(Portafolio_Proyectos!$AQ282="","",Portafolio_Proyectos!$AQ282),"")</f>
        <v/>
      </c>
      <c r="C846" s="5" t="str">
        <f>IFERROR(IF(Portafolio_Proyectos!$AQ282="","","Consolidada"),"")</f>
        <v/>
      </c>
      <c r="D846" s="5" t="str">
        <f>IFERROR(IF(Portafolio_Proyectos!$AQ282="","",Portafolio_Proyectos!$C282),"")</f>
        <v/>
      </c>
      <c r="E846" s="5" t="str">
        <f>IFERROR(IF(Portafolio_Proyectos!$AQ282="","",Portafolio_Proyectos!$B282),"")</f>
        <v/>
      </c>
      <c r="F846" s="5" t="str">
        <f>IFERROR(IF(Portafolio_Proyectos!$AQ282="","",Portafolio_Proyectos!$D282),"")</f>
        <v/>
      </c>
      <c r="G846" s="5" t="str">
        <f>IFERROR(IF(Portafolio_Proyectos!$AQ282="","",Portafolio_Proyectos!$A282),"")</f>
        <v/>
      </c>
      <c r="H846" s="5" t="str">
        <f>IFERROR(IF(Portafolio_Proyectos!$AQ282="","",Portafolio_Proyectos!$E282),"")</f>
        <v/>
      </c>
    </row>
    <row r="847" spans="1:8" x14ac:dyDescent="0.35">
      <c r="A847" s="5" t="str">
        <f>IFERROR(IF(Portafolio_Proyectos!$AR282="","","CAP-"&amp;ROW()-1),"")</f>
        <v/>
      </c>
      <c r="B847" s="5" t="str">
        <f>IFERROR(IF(Portafolio_Proyectos!$AR282="","",Portafolio_Proyectos!$AR282),"")</f>
        <v/>
      </c>
      <c r="C847" s="5" t="str">
        <f>IFERROR(IF(Portafolio_Proyectos!$AR282="","","Distintiva"),"")</f>
        <v/>
      </c>
      <c r="D847" s="5" t="str">
        <f>IFERROR(IF(Portafolio_Proyectos!$AR282="","",Portafolio_Proyectos!$C282),"")</f>
        <v/>
      </c>
      <c r="E847" s="5" t="str">
        <f>IFERROR(IF(Portafolio_Proyectos!$AR282="","",Portafolio_Proyectos!$B282),"")</f>
        <v/>
      </c>
      <c r="F847" s="5" t="str">
        <f>IFERROR(IF(Portafolio_Proyectos!$AR282="","",Portafolio_Proyectos!$D282),"")</f>
        <v/>
      </c>
      <c r="G847" s="5" t="str">
        <f>IFERROR(IF(Portafolio_Proyectos!$AR282="","",Portafolio_Proyectos!$A282),"")</f>
        <v/>
      </c>
      <c r="H847" s="5" t="str">
        <f>IFERROR(IF(Portafolio_Proyectos!$AR282="","",Portafolio_Proyectos!$E282),"")</f>
        <v/>
      </c>
    </row>
    <row r="848" spans="1:8" x14ac:dyDescent="0.35">
      <c r="A848" s="5" t="str">
        <f>IFERROR(IF(Portafolio_Proyectos!$AP283="","","CAP-"&amp;ROW()-1),"")</f>
        <v/>
      </c>
      <c r="B848" s="5" t="str">
        <f>IFERROR(IF(Portafolio_Proyectos!$AP283="","",Portafolio_Proyectos!$AP283),"")</f>
        <v/>
      </c>
      <c r="C848" s="5" t="str">
        <f>IFERROR(IF(Portafolio_Proyectos!$AP283="","","Emergente"),"")</f>
        <v/>
      </c>
      <c r="D848" s="5" t="str">
        <f>IFERROR(IF(Portafolio_Proyectos!$AP283="","",Portafolio_Proyectos!$C283),"")</f>
        <v/>
      </c>
      <c r="E848" s="5" t="str">
        <f>IFERROR(IF(Portafolio_Proyectos!$AP283="","",Portafolio_Proyectos!$B283),"")</f>
        <v/>
      </c>
      <c r="F848" s="5" t="str">
        <f>IFERROR(IF(Portafolio_Proyectos!$AP283="","",Portafolio_Proyectos!$D283),"")</f>
        <v/>
      </c>
      <c r="G848" s="5" t="str">
        <f>IFERROR(IF(Portafolio_Proyectos!$AP283="","",Portafolio_Proyectos!$A283),"")</f>
        <v/>
      </c>
      <c r="H848" s="5" t="str">
        <f>IFERROR(IF(Portafolio_Proyectos!$AP283="","",Portafolio_Proyectos!$E283),"")</f>
        <v/>
      </c>
    </row>
    <row r="849" spans="1:8" x14ac:dyDescent="0.35">
      <c r="A849" s="5" t="str">
        <f>IFERROR(IF(Portafolio_Proyectos!$AQ283="","","CAP-"&amp;ROW()-1),"")</f>
        <v/>
      </c>
      <c r="B849" s="5" t="str">
        <f>IFERROR(IF(Portafolio_Proyectos!$AQ283="","",Portafolio_Proyectos!$AQ283),"")</f>
        <v/>
      </c>
      <c r="C849" s="5" t="str">
        <f>IFERROR(IF(Portafolio_Proyectos!$AQ283="","","Consolidada"),"")</f>
        <v/>
      </c>
      <c r="D849" s="5" t="str">
        <f>IFERROR(IF(Portafolio_Proyectos!$AQ283="","",Portafolio_Proyectos!$C283),"")</f>
        <v/>
      </c>
      <c r="E849" s="5" t="str">
        <f>IFERROR(IF(Portafolio_Proyectos!$AQ283="","",Portafolio_Proyectos!$B283),"")</f>
        <v/>
      </c>
      <c r="F849" s="5" t="str">
        <f>IFERROR(IF(Portafolio_Proyectos!$AQ283="","",Portafolio_Proyectos!$D283),"")</f>
        <v/>
      </c>
      <c r="G849" s="5" t="str">
        <f>IFERROR(IF(Portafolio_Proyectos!$AQ283="","",Portafolio_Proyectos!$A283),"")</f>
        <v/>
      </c>
      <c r="H849" s="5" t="str">
        <f>IFERROR(IF(Portafolio_Proyectos!$AQ283="","",Portafolio_Proyectos!$E283),"")</f>
        <v/>
      </c>
    </row>
    <row r="850" spans="1:8" x14ac:dyDescent="0.35">
      <c r="A850" s="5" t="str">
        <f>IFERROR(IF(Portafolio_Proyectos!$AR283="","","CAP-"&amp;ROW()-1),"")</f>
        <v/>
      </c>
      <c r="B850" s="5" t="str">
        <f>IFERROR(IF(Portafolio_Proyectos!$AR283="","",Portafolio_Proyectos!$AR283),"")</f>
        <v/>
      </c>
      <c r="C850" s="5" t="str">
        <f>IFERROR(IF(Portafolio_Proyectos!$AR283="","","Distintiva"),"")</f>
        <v/>
      </c>
      <c r="D850" s="5" t="str">
        <f>IFERROR(IF(Portafolio_Proyectos!$AR283="","",Portafolio_Proyectos!$C283),"")</f>
        <v/>
      </c>
      <c r="E850" s="5" t="str">
        <f>IFERROR(IF(Portafolio_Proyectos!$AR283="","",Portafolio_Proyectos!$B283),"")</f>
        <v/>
      </c>
      <c r="F850" s="5" t="str">
        <f>IFERROR(IF(Portafolio_Proyectos!$AR283="","",Portafolio_Proyectos!$D283),"")</f>
        <v/>
      </c>
      <c r="G850" s="5" t="str">
        <f>IFERROR(IF(Portafolio_Proyectos!$AR283="","",Portafolio_Proyectos!$A283),"")</f>
        <v/>
      </c>
      <c r="H850" s="5" t="str">
        <f>IFERROR(IF(Portafolio_Proyectos!$AR283="","",Portafolio_Proyectos!$E283),"")</f>
        <v/>
      </c>
    </row>
    <row r="851" spans="1:8" x14ac:dyDescent="0.35">
      <c r="A851" s="5" t="str">
        <f>IFERROR(IF(Portafolio_Proyectos!$AP284="","","CAP-"&amp;ROW()-1),"")</f>
        <v/>
      </c>
      <c r="B851" s="5" t="str">
        <f>IFERROR(IF(Portafolio_Proyectos!$AP284="","",Portafolio_Proyectos!$AP284),"")</f>
        <v/>
      </c>
      <c r="C851" s="5" t="str">
        <f>IFERROR(IF(Portafolio_Proyectos!$AP284="","","Emergente"),"")</f>
        <v/>
      </c>
      <c r="D851" s="5" t="str">
        <f>IFERROR(IF(Portafolio_Proyectos!$AP284="","",Portafolio_Proyectos!$C284),"")</f>
        <v/>
      </c>
      <c r="E851" s="5" t="str">
        <f>IFERROR(IF(Portafolio_Proyectos!$AP284="","",Portafolio_Proyectos!$B284),"")</f>
        <v/>
      </c>
      <c r="F851" s="5" t="str">
        <f>IFERROR(IF(Portafolio_Proyectos!$AP284="","",Portafolio_Proyectos!$D284),"")</f>
        <v/>
      </c>
      <c r="G851" s="5" t="str">
        <f>IFERROR(IF(Portafolio_Proyectos!$AP284="","",Portafolio_Proyectos!$A284),"")</f>
        <v/>
      </c>
      <c r="H851" s="5" t="str">
        <f>IFERROR(IF(Portafolio_Proyectos!$AP284="","",Portafolio_Proyectos!$E284),"")</f>
        <v/>
      </c>
    </row>
    <row r="852" spans="1:8" x14ac:dyDescent="0.35">
      <c r="A852" s="5" t="str">
        <f>IFERROR(IF(Portafolio_Proyectos!$AQ284="","","CAP-"&amp;ROW()-1),"")</f>
        <v/>
      </c>
      <c r="B852" s="5" t="str">
        <f>IFERROR(IF(Portafolio_Proyectos!$AQ284="","",Portafolio_Proyectos!$AQ284),"")</f>
        <v/>
      </c>
      <c r="C852" s="5" t="str">
        <f>IFERROR(IF(Portafolio_Proyectos!$AQ284="","","Consolidada"),"")</f>
        <v/>
      </c>
      <c r="D852" s="5" t="str">
        <f>IFERROR(IF(Portafolio_Proyectos!$AQ284="","",Portafolio_Proyectos!$C284),"")</f>
        <v/>
      </c>
      <c r="E852" s="5" t="str">
        <f>IFERROR(IF(Portafolio_Proyectos!$AQ284="","",Portafolio_Proyectos!$B284),"")</f>
        <v/>
      </c>
      <c r="F852" s="5" t="str">
        <f>IFERROR(IF(Portafolio_Proyectos!$AQ284="","",Portafolio_Proyectos!$D284),"")</f>
        <v/>
      </c>
      <c r="G852" s="5" t="str">
        <f>IFERROR(IF(Portafolio_Proyectos!$AQ284="","",Portafolio_Proyectos!$A284),"")</f>
        <v/>
      </c>
      <c r="H852" s="5" t="str">
        <f>IFERROR(IF(Portafolio_Proyectos!$AQ284="","",Portafolio_Proyectos!$E284),"")</f>
        <v/>
      </c>
    </row>
    <row r="853" spans="1:8" x14ac:dyDescent="0.35">
      <c r="A853" s="5" t="str">
        <f>IFERROR(IF(Portafolio_Proyectos!$AR284="","","CAP-"&amp;ROW()-1),"")</f>
        <v/>
      </c>
      <c r="B853" s="5" t="str">
        <f>IFERROR(IF(Portafolio_Proyectos!$AR284="","",Portafolio_Proyectos!$AR284),"")</f>
        <v/>
      </c>
      <c r="C853" s="5" t="str">
        <f>IFERROR(IF(Portafolio_Proyectos!$AR284="","","Distintiva"),"")</f>
        <v/>
      </c>
      <c r="D853" s="5" t="str">
        <f>IFERROR(IF(Portafolio_Proyectos!$AR284="","",Portafolio_Proyectos!$C284),"")</f>
        <v/>
      </c>
      <c r="E853" s="5" t="str">
        <f>IFERROR(IF(Portafolio_Proyectos!$AR284="","",Portafolio_Proyectos!$B284),"")</f>
        <v/>
      </c>
      <c r="F853" s="5" t="str">
        <f>IFERROR(IF(Portafolio_Proyectos!$AR284="","",Portafolio_Proyectos!$D284),"")</f>
        <v/>
      </c>
      <c r="G853" s="5" t="str">
        <f>IFERROR(IF(Portafolio_Proyectos!$AR284="","",Portafolio_Proyectos!$A284),"")</f>
        <v/>
      </c>
      <c r="H853" s="5" t="str">
        <f>IFERROR(IF(Portafolio_Proyectos!$AR284="","",Portafolio_Proyectos!$E284),"")</f>
        <v/>
      </c>
    </row>
    <row r="854" spans="1:8" x14ac:dyDescent="0.35">
      <c r="A854" s="5" t="str">
        <f>IFERROR(IF(Portafolio_Proyectos!$AP285="","","CAP-"&amp;ROW()-1),"")</f>
        <v/>
      </c>
      <c r="B854" s="5" t="str">
        <f>IFERROR(IF(Portafolio_Proyectos!$AP285="","",Portafolio_Proyectos!$AP285),"")</f>
        <v/>
      </c>
      <c r="C854" s="5" t="str">
        <f>IFERROR(IF(Portafolio_Proyectos!$AP285="","","Emergente"),"")</f>
        <v/>
      </c>
      <c r="D854" s="5" t="str">
        <f>IFERROR(IF(Portafolio_Proyectos!$AP285="","",Portafolio_Proyectos!$C285),"")</f>
        <v/>
      </c>
      <c r="E854" s="5" t="str">
        <f>IFERROR(IF(Portafolio_Proyectos!$AP285="","",Portafolio_Proyectos!$B285),"")</f>
        <v/>
      </c>
      <c r="F854" s="5" t="str">
        <f>IFERROR(IF(Portafolio_Proyectos!$AP285="","",Portafolio_Proyectos!$D285),"")</f>
        <v/>
      </c>
      <c r="G854" s="5" t="str">
        <f>IFERROR(IF(Portafolio_Proyectos!$AP285="","",Portafolio_Proyectos!$A285),"")</f>
        <v/>
      </c>
      <c r="H854" s="5" t="str">
        <f>IFERROR(IF(Portafolio_Proyectos!$AP285="","",Portafolio_Proyectos!$E285),"")</f>
        <v/>
      </c>
    </row>
    <row r="855" spans="1:8" x14ac:dyDescent="0.35">
      <c r="A855" s="5" t="str">
        <f>IFERROR(IF(Portafolio_Proyectos!$AQ285="","","CAP-"&amp;ROW()-1),"")</f>
        <v/>
      </c>
      <c r="B855" s="5" t="str">
        <f>IFERROR(IF(Portafolio_Proyectos!$AQ285="","",Portafolio_Proyectos!$AQ285),"")</f>
        <v/>
      </c>
      <c r="C855" s="5" t="str">
        <f>IFERROR(IF(Portafolio_Proyectos!$AQ285="","","Consolidada"),"")</f>
        <v/>
      </c>
      <c r="D855" s="5" t="str">
        <f>IFERROR(IF(Portafolio_Proyectos!$AQ285="","",Portafolio_Proyectos!$C285),"")</f>
        <v/>
      </c>
      <c r="E855" s="5" t="str">
        <f>IFERROR(IF(Portafolio_Proyectos!$AQ285="","",Portafolio_Proyectos!$B285),"")</f>
        <v/>
      </c>
      <c r="F855" s="5" t="str">
        <f>IFERROR(IF(Portafolio_Proyectos!$AQ285="","",Portafolio_Proyectos!$D285),"")</f>
        <v/>
      </c>
      <c r="G855" s="5" t="str">
        <f>IFERROR(IF(Portafolio_Proyectos!$AQ285="","",Portafolio_Proyectos!$A285),"")</f>
        <v/>
      </c>
      <c r="H855" s="5" t="str">
        <f>IFERROR(IF(Portafolio_Proyectos!$AQ285="","",Portafolio_Proyectos!$E285),"")</f>
        <v/>
      </c>
    </row>
    <row r="856" spans="1:8" x14ac:dyDescent="0.35">
      <c r="A856" s="5" t="str">
        <f>IFERROR(IF(Portafolio_Proyectos!$AR285="","","CAP-"&amp;ROW()-1),"")</f>
        <v/>
      </c>
      <c r="B856" s="5" t="str">
        <f>IFERROR(IF(Portafolio_Proyectos!$AR285="","",Portafolio_Proyectos!$AR285),"")</f>
        <v/>
      </c>
      <c r="C856" s="5" t="str">
        <f>IFERROR(IF(Portafolio_Proyectos!$AR285="","","Distintiva"),"")</f>
        <v/>
      </c>
      <c r="D856" s="5" t="str">
        <f>IFERROR(IF(Portafolio_Proyectos!$AR285="","",Portafolio_Proyectos!$C285),"")</f>
        <v/>
      </c>
      <c r="E856" s="5" t="str">
        <f>IFERROR(IF(Portafolio_Proyectos!$AR285="","",Portafolio_Proyectos!$B285),"")</f>
        <v/>
      </c>
      <c r="F856" s="5" t="str">
        <f>IFERROR(IF(Portafolio_Proyectos!$AR285="","",Portafolio_Proyectos!$D285),"")</f>
        <v/>
      </c>
      <c r="G856" s="5" t="str">
        <f>IFERROR(IF(Portafolio_Proyectos!$AR285="","",Portafolio_Proyectos!$A285),"")</f>
        <v/>
      </c>
      <c r="H856" s="5" t="str">
        <f>IFERROR(IF(Portafolio_Proyectos!$AR285="","",Portafolio_Proyectos!$E285),"")</f>
        <v/>
      </c>
    </row>
    <row r="857" spans="1:8" x14ac:dyDescent="0.35">
      <c r="A857" s="5" t="str">
        <f>IFERROR(IF(Portafolio_Proyectos!$AP286="","","CAP-"&amp;ROW()-1),"")</f>
        <v/>
      </c>
      <c r="B857" s="5" t="str">
        <f>IFERROR(IF(Portafolio_Proyectos!$AP286="","",Portafolio_Proyectos!$AP286),"")</f>
        <v/>
      </c>
      <c r="C857" s="5" t="str">
        <f>IFERROR(IF(Portafolio_Proyectos!$AP286="","","Emergente"),"")</f>
        <v/>
      </c>
      <c r="D857" s="5" t="str">
        <f>IFERROR(IF(Portafolio_Proyectos!$AP286="","",Portafolio_Proyectos!$C286),"")</f>
        <v/>
      </c>
      <c r="E857" s="5" t="str">
        <f>IFERROR(IF(Portafolio_Proyectos!$AP286="","",Portafolio_Proyectos!$B286),"")</f>
        <v/>
      </c>
      <c r="F857" s="5" t="str">
        <f>IFERROR(IF(Portafolio_Proyectos!$AP286="","",Portafolio_Proyectos!$D286),"")</f>
        <v/>
      </c>
      <c r="G857" s="5" t="str">
        <f>IFERROR(IF(Portafolio_Proyectos!$AP286="","",Portafolio_Proyectos!$A286),"")</f>
        <v/>
      </c>
      <c r="H857" s="5" t="str">
        <f>IFERROR(IF(Portafolio_Proyectos!$AP286="","",Portafolio_Proyectos!$E286),"")</f>
        <v/>
      </c>
    </row>
    <row r="858" spans="1:8" x14ac:dyDescent="0.35">
      <c r="A858" s="5" t="str">
        <f>IFERROR(IF(Portafolio_Proyectos!$AQ286="","","CAP-"&amp;ROW()-1),"")</f>
        <v/>
      </c>
      <c r="B858" s="5" t="str">
        <f>IFERROR(IF(Portafolio_Proyectos!$AQ286="","",Portafolio_Proyectos!$AQ286),"")</f>
        <v/>
      </c>
      <c r="C858" s="5" t="str">
        <f>IFERROR(IF(Portafolio_Proyectos!$AQ286="","","Consolidada"),"")</f>
        <v/>
      </c>
      <c r="D858" s="5" t="str">
        <f>IFERROR(IF(Portafolio_Proyectos!$AQ286="","",Portafolio_Proyectos!$C286),"")</f>
        <v/>
      </c>
      <c r="E858" s="5" t="str">
        <f>IFERROR(IF(Portafolio_Proyectos!$AQ286="","",Portafolio_Proyectos!$B286),"")</f>
        <v/>
      </c>
      <c r="F858" s="5" t="str">
        <f>IFERROR(IF(Portafolio_Proyectos!$AQ286="","",Portafolio_Proyectos!$D286),"")</f>
        <v/>
      </c>
      <c r="G858" s="5" t="str">
        <f>IFERROR(IF(Portafolio_Proyectos!$AQ286="","",Portafolio_Proyectos!$A286),"")</f>
        <v/>
      </c>
      <c r="H858" s="5" t="str">
        <f>IFERROR(IF(Portafolio_Proyectos!$AQ286="","",Portafolio_Proyectos!$E286),"")</f>
        <v/>
      </c>
    </row>
    <row r="859" spans="1:8" x14ac:dyDescent="0.35">
      <c r="A859" s="5" t="str">
        <f>IFERROR(IF(Portafolio_Proyectos!$AR286="","","CAP-"&amp;ROW()-1),"")</f>
        <v/>
      </c>
      <c r="B859" s="5" t="str">
        <f>IFERROR(IF(Portafolio_Proyectos!$AR286="","",Portafolio_Proyectos!$AR286),"")</f>
        <v/>
      </c>
      <c r="C859" s="5" t="str">
        <f>IFERROR(IF(Portafolio_Proyectos!$AR286="","","Distintiva"),"")</f>
        <v/>
      </c>
      <c r="D859" s="5" t="str">
        <f>IFERROR(IF(Portafolio_Proyectos!$AR286="","",Portafolio_Proyectos!$C286),"")</f>
        <v/>
      </c>
      <c r="E859" s="5" t="str">
        <f>IFERROR(IF(Portafolio_Proyectos!$AR286="","",Portafolio_Proyectos!$B286),"")</f>
        <v/>
      </c>
      <c r="F859" s="5" t="str">
        <f>IFERROR(IF(Portafolio_Proyectos!$AR286="","",Portafolio_Proyectos!$D286),"")</f>
        <v/>
      </c>
      <c r="G859" s="5" t="str">
        <f>IFERROR(IF(Portafolio_Proyectos!$AR286="","",Portafolio_Proyectos!$A286),"")</f>
        <v/>
      </c>
      <c r="H859" s="5" t="str">
        <f>IFERROR(IF(Portafolio_Proyectos!$AR286="","",Portafolio_Proyectos!$E286),"")</f>
        <v/>
      </c>
    </row>
    <row r="860" spans="1:8" x14ac:dyDescent="0.35">
      <c r="A860" s="5" t="str">
        <f>IFERROR(IF(Portafolio_Proyectos!$AP287="","","CAP-"&amp;ROW()-1),"")</f>
        <v/>
      </c>
      <c r="B860" s="5" t="str">
        <f>IFERROR(IF(Portafolio_Proyectos!$AP287="","",Portafolio_Proyectos!$AP287),"")</f>
        <v/>
      </c>
      <c r="C860" s="5" t="str">
        <f>IFERROR(IF(Portafolio_Proyectos!$AP287="","","Emergente"),"")</f>
        <v/>
      </c>
      <c r="D860" s="5" t="str">
        <f>IFERROR(IF(Portafolio_Proyectos!$AP287="","",Portafolio_Proyectos!$C287),"")</f>
        <v/>
      </c>
      <c r="E860" s="5" t="str">
        <f>IFERROR(IF(Portafolio_Proyectos!$AP287="","",Portafolio_Proyectos!$B287),"")</f>
        <v/>
      </c>
      <c r="F860" s="5" t="str">
        <f>IFERROR(IF(Portafolio_Proyectos!$AP287="","",Portafolio_Proyectos!$D287),"")</f>
        <v/>
      </c>
      <c r="G860" s="5" t="str">
        <f>IFERROR(IF(Portafolio_Proyectos!$AP287="","",Portafolio_Proyectos!$A287),"")</f>
        <v/>
      </c>
      <c r="H860" s="5" t="str">
        <f>IFERROR(IF(Portafolio_Proyectos!$AP287="","",Portafolio_Proyectos!$E287),"")</f>
        <v/>
      </c>
    </row>
    <row r="861" spans="1:8" x14ac:dyDescent="0.35">
      <c r="A861" s="5" t="str">
        <f>IFERROR(IF(Portafolio_Proyectos!$AQ287="","","CAP-"&amp;ROW()-1),"")</f>
        <v/>
      </c>
      <c r="B861" s="5" t="str">
        <f>IFERROR(IF(Portafolio_Proyectos!$AQ287="","",Portafolio_Proyectos!$AQ287),"")</f>
        <v/>
      </c>
      <c r="C861" s="5" t="str">
        <f>IFERROR(IF(Portafolio_Proyectos!$AQ287="","","Consolidada"),"")</f>
        <v/>
      </c>
      <c r="D861" s="5" t="str">
        <f>IFERROR(IF(Portafolio_Proyectos!$AQ287="","",Portafolio_Proyectos!$C287),"")</f>
        <v/>
      </c>
      <c r="E861" s="5" t="str">
        <f>IFERROR(IF(Portafolio_Proyectos!$AQ287="","",Portafolio_Proyectos!$B287),"")</f>
        <v/>
      </c>
      <c r="F861" s="5" t="str">
        <f>IFERROR(IF(Portafolio_Proyectos!$AQ287="","",Portafolio_Proyectos!$D287),"")</f>
        <v/>
      </c>
      <c r="G861" s="5" t="str">
        <f>IFERROR(IF(Portafolio_Proyectos!$AQ287="","",Portafolio_Proyectos!$A287),"")</f>
        <v/>
      </c>
      <c r="H861" s="5" t="str">
        <f>IFERROR(IF(Portafolio_Proyectos!$AQ287="","",Portafolio_Proyectos!$E287),"")</f>
        <v/>
      </c>
    </row>
    <row r="862" spans="1:8" x14ac:dyDescent="0.35">
      <c r="A862" s="5" t="str">
        <f>IFERROR(IF(Portafolio_Proyectos!$AR287="","","CAP-"&amp;ROW()-1),"")</f>
        <v/>
      </c>
      <c r="B862" s="5" t="str">
        <f>IFERROR(IF(Portafolio_Proyectos!$AR287="","",Portafolio_Proyectos!$AR287),"")</f>
        <v/>
      </c>
      <c r="C862" s="5" t="str">
        <f>IFERROR(IF(Portafolio_Proyectos!$AR287="","","Distintiva"),"")</f>
        <v/>
      </c>
      <c r="D862" s="5" t="str">
        <f>IFERROR(IF(Portafolio_Proyectos!$AR287="","",Portafolio_Proyectos!$C287),"")</f>
        <v/>
      </c>
      <c r="E862" s="5" t="str">
        <f>IFERROR(IF(Portafolio_Proyectos!$AR287="","",Portafolio_Proyectos!$B287),"")</f>
        <v/>
      </c>
      <c r="F862" s="5" t="str">
        <f>IFERROR(IF(Portafolio_Proyectos!$AR287="","",Portafolio_Proyectos!$D287),"")</f>
        <v/>
      </c>
      <c r="G862" s="5" t="str">
        <f>IFERROR(IF(Portafolio_Proyectos!$AR287="","",Portafolio_Proyectos!$A287),"")</f>
        <v/>
      </c>
      <c r="H862" s="5" t="str">
        <f>IFERROR(IF(Portafolio_Proyectos!$AR287="","",Portafolio_Proyectos!$E287),"")</f>
        <v/>
      </c>
    </row>
    <row r="863" spans="1:8" x14ac:dyDescent="0.35">
      <c r="A863" s="5" t="str">
        <f>IFERROR(IF(Portafolio_Proyectos!$AP288="","","CAP-"&amp;ROW()-1),"")</f>
        <v/>
      </c>
      <c r="B863" s="5" t="str">
        <f>IFERROR(IF(Portafolio_Proyectos!$AP288="","",Portafolio_Proyectos!$AP288),"")</f>
        <v/>
      </c>
      <c r="C863" s="5" t="str">
        <f>IFERROR(IF(Portafolio_Proyectos!$AP288="","","Emergente"),"")</f>
        <v/>
      </c>
      <c r="D863" s="5" t="str">
        <f>IFERROR(IF(Portafolio_Proyectos!$AP288="","",Portafolio_Proyectos!$C288),"")</f>
        <v/>
      </c>
      <c r="E863" s="5" t="str">
        <f>IFERROR(IF(Portafolio_Proyectos!$AP288="","",Portafolio_Proyectos!$B288),"")</f>
        <v/>
      </c>
      <c r="F863" s="5" t="str">
        <f>IFERROR(IF(Portafolio_Proyectos!$AP288="","",Portafolio_Proyectos!$D288),"")</f>
        <v/>
      </c>
      <c r="G863" s="5" t="str">
        <f>IFERROR(IF(Portafolio_Proyectos!$AP288="","",Portafolio_Proyectos!$A288),"")</f>
        <v/>
      </c>
      <c r="H863" s="5" t="str">
        <f>IFERROR(IF(Portafolio_Proyectos!$AP288="","",Portafolio_Proyectos!$E288),"")</f>
        <v/>
      </c>
    </row>
    <row r="864" spans="1:8" x14ac:dyDescent="0.35">
      <c r="A864" s="5" t="str">
        <f>IFERROR(IF(Portafolio_Proyectos!$AQ288="","","CAP-"&amp;ROW()-1),"")</f>
        <v/>
      </c>
      <c r="B864" s="5" t="str">
        <f>IFERROR(IF(Portafolio_Proyectos!$AQ288="","",Portafolio_Proyectos!$AQ288),"")</f>
        <v/>
      </c>
      <c r="C864" s="5" t="str">
        <f>IFERROR(IF(Portafolio_Proyectos!$AQ288="","","Consolidada"),"")</f>
        <v/>
      </c>
      <c r="D864" s="5" t="str">
        <f>IFERROR(IF(Portafolio_Proyectos!$AQ288="","",Portafolio_Proyectos!$C288),"")</f>
        <v/>
      </c>
      <c r="E864" s="5" t="str">
        <f>IFERROR(IF(Portafolio_Proyectos!$AQ288="","",Portafolio_Proyectos!$B288),"")</f>
        <v/>
      </c>
      <c r="F864" s="5" t="str">
        <f>IFERROR(IF(Portafolio_Proyectos!$AQ288="","",Portafolio_Proyectos!$D288),"")</f>
        <v/>
      </c>
      <c r="G864" s="5" t="str">
        <f>IFERROR(IF(Portafolio_Proyectos!$AQ288="","",Portafolio_Proyectos!$A288),"")</f>
        <v/>
      </c>
      <c r="H864" s="5" t="str">
        <f>IFERROR(IF(Portafolio_Proyectos!$AQ288="","",Portafolio_Proyectos!$E288),"")</f>
        <v/>
      </c>
    </row>
    <row r="865" spans="1:8" x14ac:dyDescent="0.35">
      <c r="A865" s="5" t="str">
        <f>IFERROR(IF(Portafolio_Proyectos!$AR288="","","CAP-"&amp;ROW()-1),"")</f>
        <v/>
      </c>
      <c r="B865" s="5" t="str">
        <f>IFERROR(IF(Portafolio_Proyectos!$AR288="","",Portafolio_Proyectos!$AR288),"")</f>
        <v/>
      </c>
      <c r="C865" s="5" t="str">
        <f>IFERROR(IF(Portafolio_Proyectos!$AR288="","","Distintiva"),"")</f>
        <v/>
      </c>
      <c r="D865" s="5" t="str">
        <f>IFERROR(IF(Portafolio_Proyectos!$AR288="","",Portafolio_Proyectos!$C288),"")</f>
        <v/>
      </c>
      <c r="E865" s="5" t="str">
        <f>IFERROR(IF(Portafolio_Proyectos!$AR288="","",Portafolio_Proyectos!$B288),"")</f>
        <v/>
      </c>
      <c r="F865" s="5" t="str">
        <f>IFERROR(IF(Portafolio_Proyectos!$AR288="","",Portafolio_Proyectos!$D288),"")</f>
        <v/>
      </c>
      <c r="G865" s="5" t="str">
        <f>IFERROR(IF(Portafolio_Proyectos!$AR288="","",Portafolio_Proyectos!$A288),"")</f>
        <v/>
      </c>
      <c r="H865" s="5" t="str">
        <f>IFERROR(IF(Portafolio_Proyectos!$AR288="","",Portafolio_Proyectos!$E288),"")</f>
        <v/>
      </c>
    </row>
    <row r="866" spans="1:8" x14ac:dyDescent="0.35">
      <c r="A866" s="5" t="str">
        <f>IFERROR(IF(Portafolio_Proyectos!$AP289="","","CAP-"&amp;ROW()-1),"")</f>
        <v/>
      </c>
      <c r="B866" s="5" t="str">
        <f>IFERROR(IF(Portafolio_Proyectos!$AP289="","",Portafolio_Proyectos!$AP289),"")</f>
        <v/>
      </c>
      <c r="C866" s="5" t="str">
        <f>IFERROR(IF(Portafolio_Proyectos!$AP289="","","Emergente"),"")</f>
        <v/>
      </c>
      <c r="D866" s="5" t="str">
        <f>IFERROR(IF(Portafolio_Proyectos!$AP289="","",Portafolio_Proyectos!$C289),"")</f>
        <v/>
      </c>
      <c r="E866" s="5" t="str">
        <f>IFERROR(IF(Portafolio_Proyectos!$AP289="","",Portafolio_Proyectos!$B289),"")</f>
        <v/>
      </c>
      <c r="F866" s="5" t="str">
        <f>IFERROR(IF(Portafolio_Proyectos!$AP289="","",Portafolio_Proyectos!$D289),"")</f>
        <v/>
      </c>
      <c r="G866" s="5" t="str">
        <f>IFERROR(IF(Portafolio_Proyectos!$AP289="","",Portafolio_Proyectos!$A289),"")</f>
        <v/>
      </c>
      <c r="H866" s="5" t="str">
        <f>IFERROR(IF(Portafolio_Proyectos!$AP289="","",Portafolio_Proyectos!$E289),"")</f>
        <v/>
      </c>
    </row>
    <row r="867" spans="1:8" x14ac:dyDescent="0.35">
      <c r="A867" s="5" t="str">
        <f>IFERROR(IF(Portafolio_Proyectos!$AQ289="","","CAP-"&amp;ROW()-1),"")</f>
        <v/>
      </c>
      <c r="B867" s="5" t="str">
        <f>IFERROR(IF(Portafolio_Proyectos!$AQ289="","",Portafolio_Proyectos!$AQ289),"")</f>
        <v/>
      </c>
      <c r="C867" s="5" t="str">
        <f>IFERROR(IF(Portafolio_Proyectos!$AQ289="","","Consolidada"),"")</f>
        <v/>
      </c>
      <c r="D867" s="5" t="str">
        <f>IFERROR(IF(Portafolio_Proyectos!$AQ289="","",Portafolio_Proyectos!$C289),"")</f>
        <v/>
      </c>
      <c r="E867" s="5" t="str">
        <f>IFERROR(IF(Portafolio_Proyectos!$AQ289="","",Portafolio_Proyectos!$B289),"")</f>
        <v/>
      </c>
      <c r="F867" s="5" t="str">
        <f>IFERROR(IF(Portafolio_Proyectos!$AQ289="","",Portafolio_Proyectos!$D289),"")</f>
        <v/>
      </c>
      <c r="G867" s="5" t="str">
        <f>IFERROR(IF(Portafolio_Proyectos!$AQ289="","",Portafolio_Proyectos!$A289),"")</f>
        <v/>
      </c>
      <c r="H867" s="5" t="str">
        <f>IFERROR(IF(Portafolio_Proyectos!$AQ289="","",Portafolio_Proyectos!$E289),"")</f>
        <v/>
      </c>
    </row>
    <row r="868" spans="1:8" x14ac:dyDescent="0.35">
      <c r="A868" s="5" t="str">
        <f>IFERROR(IF(Portafolio_Proyectos!$AR289="","","CAP-"&amp;ROW()-1),"")</f>
        <v/>
      </c>
      <c r="B868" s="5" t="str">
        <f>IFERROR(IF(Portafolio_Proyectos!$AR289="","",Portafolio_Proyectos!$AR289),"")</f>
        <v/>
      </c>
      <c r="C868" s="5" t="str">
        <f>IFERROR(IF(Portafolio_Proyectos!$AR289="","","Distintiva"),"")</f>
        <v/>
      </c>
      <c r="D868" s="5" t="str">
        <f>IFERROR(IF(Portafolio_Proyectos!$AR289="","",Portafolio_Proyectos!$C289),"")</f>
        <v/>
      </c>
      <c r="E868" s="5" t="str">
        <f>IFERROR(IF(Portafolio_Proyectos!$AR289="","",Portafolio_Proyectos!$B289),"")</f>
        <v/>
      </c>
      <c r="F868" s="5" t="str">
        <f>IFERROR(IF(Portafolio_Proyectos!$AR289="","",Portafolio_Proyectos!$D289),"")</f>
        <v/>
      </c>
      <c r="G868" s="5" t="str">
        <f>IFERROR(IF(Portafolio_Proyectos!$AR289="","",Portafolio_Proyectos!$A289),"")</f>
        <v/>
      </c>
      <c r="H868" s="5" t="str">
        <f>IFERROR(IF(Portafolio_Proyectos!$AR289="","",Portafolio_Proyectos!$E289),"")</f>
        <v/>
      </c>
    </row>
    <row r="869" spans="1:8" x14ac:dyDescent="0.35">
      <c r="A869" s="5" t="str">
        <f>IFERROR(IF(Portafolio_Proyectos!$AP290="","","CAP-"&amp;ROW()-1),"")</f>
        <v/>
      </c>
      <c r="B869" s="5" t="str">
        <f>IFERROR(IF(Portafolio_Proyectos!$AP290="","",Portafolio_Proyectos!$AP290),"")</f>
        <v/>
      </c>
      <c r="C869" s="5" t="str">
        <f>IFERROR(IF(Portafolio_Proyectos!$AP290="","","Emergente"),"")</f>
        <v/>
      </c>
      <c r="D869" s="5" t="str">
        <f>IFERROR(IF(Portafolio_Proyectos!$AP290="","",Portafolio_Proyectos!$C290),"")</f>
        <v/>
      </c>
      <c r="E869" s="5" t="str">
        <f>IFERROR(IF(Portafolio_Proyectos!$AP290="","",Portafolio_Proyectos!$B290),"")</f>
        <v/>
      </c>
      <c r="F869" s="5" t="str">
        <f>IFERROR(IF(Portafolio_Proyectos!$AP290="","",Portafolio_Proyectos!$D290),"")</f>
        <v/>
      </c>
      <c r="G869" s="5" t="str">
        <f>IFERROR(IF(Portafolio_Proyectos!$AP290="","",Portafolio_Proyectos!$A290),"")</f>
        <v/>
      </c>
      <c r="H869" s="5" t="str">
        <f>IFERROR(IF(Portafolio_Proyectos!$AP290="","",Portafolio_Proyectos!$E290),"")</f>
        <v/>
      </c>
    </row>
    <row r="870" spans="1:8" x14ac:dyDescent="0.35">
      <c r="A870" s="5" t="str">
        <f>IFERROR(IF(Portafolio_Proyectos!$AQ290="","","CAP-"&amp;ROW()-1),"")</f>
        <v/>
      </c>
      <c r="B870" s="5" t="str">
        <f>IFERROR(IF(Portafolio_Proyectos!$AQ290="","",Portafolio_Proyectos!$AQ290),"")</f>
        <v/>
      </c>
      <c r="C870" s="5" t="str">
        <f>IFERROR(IF(Portafolio_Proyectos!$AQ290="","","Consolidada"),"")</f>
        <v/>
      </c>
      <c r="D870" s="5" t="str">
        <f>IFERROR(IF(Portafolio_Proyectos!$AQ290="","",Portafolio_Proyectos!$C290),"")</f>
        <v/>
      </c>
      <c r="E870" s="5" t="str">
        <f>IFERROR(IF(Portafolio_Proyectos!$AQ290="","",Portafolio_Proyectos!$B290),"")</f>
        <v/>
      </c>
      <c r="F870" s="5" t="str">
        <f>IFERROR(IF(Portafolio_Proyectos!$AQ290="","",Portafolio_Proyectos!$D290),"")</f>
        <v/>
      </c>
      <c r="G870" s="5" t="str">
        <f>IFERROR(IF(Portafolio_Proyectos!$AQ290="","",Portafolio_Proyectos!$A290),"")</f>
        <v/>
      </c>
      <c r="H870" s="5" t="str">
        <f>IFERROR(IF(Portafolio_Proyectos!$AQ290="","",Portafolio_Proyectos!$E290),"")</f>
        <v/>
      </c>
    </row>
    <row r="871" spans="1:8" x14ac:dyDescent="0.35">
      <c r="A871" s="5" t="str">
        <f>IFERROR(IF(Portafolio_Proyectos!$AR290="","","CAP-"&amp;ROW()-1),"")</f>
        <v/>
      </c>
      <c r="B871" s="5" t="str">
        <f>IFERROR(IF(Portafolio_Proyectos!$AR290="","",Portafolio_Proyectos!$AR290),"")</f>
        <v/>
      </c>
      <c r="C871" s="5" t="str">
        <f>IFERROR(IF(Portafolio_Proyectos!$AR290="","","Distintiva"),"")</f>
        <v/>
      </c>
      <c r="D871" s="5" t="str">
        <f>IFERROR(IF(Portafolio_Proyectos!$AR290="","",Portafolio_Proyectos!$C290),"")</f>
        <v/>
      </c>
      <c r="E871" s="5" t="str">
        <f>IFERROR(IF(Portafolio_Proyectos!$AR290="","",Portafolio_Proyectos!$B290),"")</f>
        <v/>
      </c>
      <c r="F871" s="5" t="str">
        <f>IFERROR(IF(Portafolio_Proyectos!$AR290="","",Portafolio_Proyectos!$D290),"")</f>
        <v/>
      </c>
      <c r="G871" s="5" t="str">
        <f>IFERROR(IF(Portafolio_Proyectos!$AR290="","",Portafolio_Proyectos!$A290),"")</f>
        <v/>
      </c>
      <c r="H871" s="5" t="str">
        <f>IFERROR(IF(Portafolio_Proyectos!$AR290="","",Portafolio_Proyectos!$E290),"")</f>
        <v/>
      </c>
    </row>
    <row r="872" spans="1:8" x14ac:dyDescent="0.35">
      <c r="A872" s="5" t="str">
        <f>IFERROR(IF(Portafolio_Proyectos!$AP291="","","CAP-"&amp;ROW()-1),"")</f>
        <v/>
      </c>
      <c r="B872" s="5" t="str">
        <f>IFERROR(IF(Portafolio_Proyectos!$AP291="","",Portafolio_Proyectos!$AP291),"")</f>
        <v/>
      </c>
      <c r="C872" s="5" t="str">
        <f>IFERROR(IF(Portafolio_Proyectos!$AP291="","","Emergente"),"")</f>
        <v/>
      </c>
      <c r="D872" s="5" t="str">
        <f>IFERROR(IF(Portafolio_Proyectos!$AP291="","",Portafolio_Proyectos!$C291),"")</f>
        <v/>
      </c>
      <c r="E872" s="5" t="str">
        <f>IFERROR(IF(Portafolio_Proyectos!$AP291="","",Portafolio_Proyectos!$B291),"")</f>
        <v/>
      </c>
      <c r="F872" s="5" t="str">
        <f>IFERROR(IF(Portafolio_Proyectos!$AP291="","",Portafolio_Proyectos!$D291),"")</f>
        <v/>
      </c>
      <c r="G872" s="5" t="str">
        <f>IFERROR(IF(Portafolio_Proyectos!$AP291="","",Portafolio_Proyectos!$A291),"")</f>
        <v/>
      </c>
      <c r="H872" s="5" t="str">
        <f>IFERROR(IF(Portafolio_Proyectos!$AP291="","",Portafolio_Proyectos!$E291),"")</f>
        <v/>
      </c>
    </row>
    <row r="873" spans="1:8" x14ac:dyDescent="0.35">
      <c r="A873" s="5" t="str">
        <f>IFERROR(IF(Portafolio_Proyectos!$AQ291="","","CAP-"&amp;ROW()-1),"")</f>
        <v/>
      </c>
      <c r="B873" s="5" t="str">
        <f>IFERROR(IF(Portafolio_Proyectos!$AQ291="","",Portafolio_Proyectos!$AQ291),"")</f>
        <v/>
      </c>
      <c r="C873" s="5" t="str">
        <f>IFERROR(IF(Portafolio_Proyectos!$AQ291="","","Consolidada"),"")</f>
        <v/>
      </c>
      <c r="D873" s="5" t="str">
        <f>IFERROR(IF(Portafolio_Proyectos!$AQ291="","",Portafolio_Proyectos!$C291),"")</f>
        <v/>
      </c>
      <c r="E873" s="5" t="str">
        <f>IFERROR(IF(Portafolio_Proyectos!$AQ291="","",Portafolio_Proyectos!$B291),"")</f>
        <v/>
      </c>
      <c r="F873" s="5" t="str">
        <f>IFERROR(IF(Portafolio_Proyectos!$AQ291="","",Portafolio_Proyectos!$D291),"")</f>
        <v/>
      </c>
      <c r="G873" s="5" t="str">
        <f>IFERROR(IF(Portafolio_Proyectos!$AQ291="","",Portafolio_Proyectos!$A291),"")</f>
        <v/>
      </c>
      <c r="H873" s="5" t="str">
        <f>IFERROR(IF(Portafolio_Proyectos!$AQ291="","",Portafolio_Proyectos!$E291),"")</f>
        <v/>
      </c>
    </row>
    <row r="874" spans="1:8" x14ac:dyDescent="0.35">
      <c r="A874" s="5" t="str">
        <f>IFERROR(IF(Portafolio_Proyectos!$AR291="","","CAP-"&amp;ROW()-1),"")</f>
        <v/>
      </c>
      <c r="B874" s="5" t="str">
        <f>IFERROR(IF(Portafolio_Proyectos!$AR291="","",Portafolio_Proyectos!$AR291),"")</f>
        <v/>
      </c>
      <c r="C874" s="5" t="str">
        <f>IFERROR(IF(Portafolio_Proyectos!$AR291="","","Distintiva"),"")</f>
        <v/>
      </c>
      <c r="D874" s="5" t="str">
        <f>IFERROR(IF(Portafolio_Proyectos!$AR291="","",Portafolio_Proyectos!$C291),"")</f>
        <v/>
      </c>
      <c r="E874" s="5" t="str">
        <f>IFERROR(IF(Portafolio_Proyectos!$AR291="","",Portafolio_Proyectos!$B291),"")</f>
        <v/>
      </c>
      <c r="F874" s="5" t="str">
        <f>IFERROR(IF(Portafolio_Proyectos!$AR291="","",Portafolio_Proyectos!$D291),"")</f>
        <v/>
      </c>
      <c r="G874" s="5" t="str">
        <f>IFERROR(IF(Portafolio_Proyectos!$AR291="","",Portafolio_Proyectos!$A291),"")</f>
        <v/>
      </c>
      <c r="H874" s="5" t="str">
        <f>IFERROR(IF(Portafolio_Proyectos!$AR291="","",Portafolio_Proyectos!$E291),"")</f>
        <v/>
      </c>
    </row>
    <row r="875" spans="1:8" x14ac:dyDescent="0.35">
      <c r="A875" s="5" t="str">
        <f>IFERROR(IF(Portafolio_Proyectos!$AP292="","","CAP-"&amp;ROW()-1),"")</f>
        <v/>
      </c>
      <c r="B875" s="5" t="str">
        <f>IFERROR(IF(Portafolio_Proyectos!$AP292="","",Portafolio_Proyectos!$AP292),"")</f>
        <v/>
      </c>
      <c r="C875" s="5" t="str">
        <f>IFERROR(IF(Portafolio_Proyectos!$AP292="","","Emergente"),"")</f>
        <v/>
      </c>
      <c r="D875" s="5" t="str">
        <f>IFERROR(IF(Portafolio_Proyectos!$AP292="","",Portafolio_Proyectos!$C292),"")</f>
        <v/>
      </c>
      <c r="E875" s="5" t="str">
        <f>IFERROR(IF(Portafolio_Proyectos!$AP292="","",Portafolio_Proyectos!$B292),"")</f>
        <v/>
      </c>
      <c r="F875" s="5" t="str">
        <f>IFERROR(IF(Portafolio_Proyectos!$AP292="","",Portafolio_Proyectos!$D292),"")</f>
        <v/>
      </c>
      <c r="G875" s="5" t="str">
        <f>IFERROR(IF(Portafolio_Proyectos!$AP292="","",Portafolio_Proyectos!$A292),"")</f>
        <v/>
      </c>
      <c r="H875" s="5" t="str">
        <f>IFERROR(IF(Portafolio_Proyectos!$AP292="","",Portafolio_Proyectos!$E292),"")</f>
        <v/>
      </c>
    </row>
    <row r="876" spans="1:8" x14ac:dyDescent="0.35">
      <c r="A876" s="5" t="str">
        <f>IFERROR(IF(Portafolio_Proyectos!$AQ292="","","CAP-"&amp;ROW()-1),"")</f>
        <v/>
      </c>
      <c r="B876" s="5" t="str">
        <f>IFERROR(IF(Portafolio_Proyectos!$AQ292="","",Portafolio_Proyectos!$AQ292),"")</f>
        <v/>
      </c>
      <c r="C876" s="5" t="str">
        <f>IFERROR(IF(Portafolio_Proyectos!$AQ292="","","Consolidada"),"")</f>
        <v/>
      </c>
      <c r="D876" s="5" t="str">
        <f>IFERROR(IF(Portafolio_Proyectos!$AQ292="","",Portafolio_Proyectos!$C292),"")</f>
        <v/>
      </c>
      <c r="E876" s="5" t="str">
        <f>IFERROR(IF(Portafolio_Proyectos!$AQ292="","",Portafolio_Proyectos!$B292),"")</f>
        <v/>
      </c>
      <c r="F876" s="5" t="str">
        <f>IFERROR(IF(Portafolio_Proyectos!$AQ292="","",Portafolio_Proyectos!$D292),"")</f>
        <v/>
      </c>
      <c r="G876" s="5" t="str">
        <f>IFERROR(IF(Portafolio_Proyectos!$AQ292="","",Portafolio_Proyectos!$A292),"")</f>
        <v/>
      </c>
      <c r="H876" s="5" t="str">
        <f>IFERROR(IF(Portafolio_Proyectos!$AQ292="","",Portafolio_Proyectos!$E292),"")</f>
        <v/>
      </c>
    </row>
    <row r="877" spans="1:8" x14ac:dyDescent="0.35">
      <c r="A877" s="5" t="str">
        <f>IFERROR(IF(Portafolio_Proyectos!$AR292="","","CAP-"&amp;ROW()-1),"")</f>
        <v/>
      </c>
      <c r="B877" s="5" t="str">
        <f>IFERROR(IF(Portafolio_Proyectos!$AR292="","",Portafolio_Proyectos!$AR292),"")</f>
        <v/>
      </c>
      <c r="C877" s="5" t="str">
        <f>IFERROR(IF(Portafolio_Proyectos!$AR292="","","Distintiva"),"")</f>
        <v/>
      </c>
      <c r="D877" s="5" t="str">
        <f>IFERROR(IF(Portafolio_Proyectos!$AR292="","",Portafolio_Proyectos!$C292),"")</f>
        <v/>
      </c>
      <c r="E877" s="5" t="str">
        <f>IFERROR(IF(Portafolio_Proyectos!$AR292="","",Portafolio_Proyectos!$B292),"")</f>
        <v/>
      </c>
      <c r="F877" s="5" t="str">
        <f>IFERROR(IF(Portafolio_Proyectos!$AR292="","",Portafolio_Proyectos!$D292),"")</f>
        <v/>
      </c>
      <c r="G877" s="5" t="str">
        <f>IFERROR(IF(Portafolio_Proyectos!$AR292="","",Portafolio_Proyectos!$A292),"")</f>
        <v/>
      </c>
      <c r="H877" s="5" t="str">
        <f>IFERROR(IF(Portafolio_Proyectos!$AR292="","",Portafolio_Proyectos!$E292),"")</f>
        <v/>
      </c>
    </row>
    <row r="878" spans="1:8" x14ac:dyDescent="0.35">
      <c r="A878" s="5" t="str">
        <f>IFERROR(IF(Portafolio_Proyectos!$AP293="","","CAP-"&amp;ROW()-1),"")</f>
        <v/>
      </c>
      <c r="B878" s="5" t="str">
        <f>IFERROR(IF(Portafolio_Proyectos!$AP293="","",Portafolio_Proyectos!$AP293),"")</f>
        <v/>
      </c>
      <c r="C878" s="5" t="str">
        <f>IFERROR(IF(Portafolio_Proyectos!$AP293="","","Emergente"),"")</f>
        <v/>
      </c>
      <c r="D878" s="5" t="str">
        <f>IFERROR(IF(Portafolio_Proyectos!$AP293="","",Portafolio_Proyectos!$C293),"")</f>
        <v/>
      </c>
      <c r="E878" s="5" t="str">
        <f>IFERROR(IF(Portafolio_Proyectos!$AP293="","",Portafolio_Proyectos!$B293),"")</f>
        <v/>
      </c>
      <c r="F878" s="5" t="str">
        <f>IFERROR(IF(Portafolio_Proyectos!$AP293="","",Portafolio_Proyectos!$D293),"")</f>
        <v/>
      </c>
      <c r="G878" s="5" t="str">
        <f>IFERROR(IF(Portafolio_Proyectos!$AP293="","",Portafolio_Proyectos!$A293),"")</f>
        <v/>
      </c>
      <c r="H878" s="5" t="str">
        <f>IFERROR(IF(Portafolio_Proyectos!$AP293="","",Portafolio_Proyectos!$E293),"")</f>
        <v/>
      </c>
    </row>
    <row r="879" spans="1:8" x14ac:dyDescent="0.35">
      <c r="A879" s="5" t="str">
        <f>IFERROR(IF(Portafolio_Proyectos!$AQ293="","","CAP-"&amp;ROW()-1),"")</f>
        <v/>
      </c>
      <c r="B879" s="5" t="str">
        <f>IFERROR(IF(Portafolio_Proyectos!$AQ293="","",Portafolio_Proyectos!$AQ293),"")</f>
        <v/>
      </c>
      <c r="C879" s="5" t="str">
        <f>IFERROR(IF(Portafolio_Proyectos!$AQ293="","","Consolidada"),"")</f>
        <v/>
      </c>
      <c r="D879" s="5" t="str">
        <f>IFERROR(IF(Portafolio_Proyectos!$AQ293="","",Portafolio_Proyectos!$C293),"")</f>
        <v/>
      </c>
      <c r="E879" s="5" t="str">
        <f>IFERROR(IF(Portafolio_Proyectos!$AQ293="","",Portafolio_Proyectos!$B293),"")</f>
        <v/>
      </c>
      <c r="F879" s="5" t="str">
        <f>IFERROR(IF(Portafolio_Proyectos!$AQ293="","",Portafolio_Proyectos!$D293),"")</f>
        <v/>
      </c>
      <c r="G879" s="5" t="str">
        <f>IFERROR(IF(Portafolio_Proyectos!$AQ293="","",Portafolio_Proyectos!$A293),"")</f>
        <v/>
      </c>
      <c r="H879" s="5" t="str">
        <f>IFERROR(IF(Portafolio_Proyectos!$AQ293="","",Portafolio_Proyectos!$E293),"")</f>
        <v/>
      </c>
    </row>
    <row r="880" spans="1:8" x14ac:dyDescent="0.35">
      <c r="A880" s="5" t="str">
        <f>IFERROR(IF(Portafolio_Proyectos!$AR293="","","CAP-"&amp;ROW()-1),"")</f>
        <v/>
      </c>
      <c r="B880" s="5" t="str">
        <f>IFERROR(IF(Portafolio_Proyectos!$AR293="","",Portafolio_Proyectos!$AR293),"")</f>
        <v/>
      </c>
      <c r="C880" s="5" t="str">
        <f>IFERROR(IF(Portafolio_Proyectos!$AR293="","","Distintiva"),"")</f>
        <v/>
      </c>
      <c r="D880" s="5" t="str">
        <f>IFERROR(IF(Portafolio_Proyectos!$AR293="","",Portafolio_Proyectos!$C293),"")</f>
        <v/>
      </c>
      <c r="E880" s="5" t="str">
        <f>IFERROR(IF(Portafolio_Proyectos!$AR293="","",Portafolio_Proyectos!$B293),"")</f>
        <v/>
      </c>
      <c r="F880" s="5" t="str">
        <f>IFERROR(IF(Portafolio_Proyectos!$AR293="","",Portafolio_Proyectos!$D293),"")</f>
        <v/>
      </c>
      <c r="G880" s="5" t="str">
        <f>IFERROR(IF(Portafolio_Proyectos!$AR293="","",Portafolio_Proyectos!$A293),"")</f>
        <v/>
      </c>
      <c r="H880" s="5" t="str">
        <f>IFERROR(IF(Portafolio_Proyectos!$AR293="","",Portafolio_Proyectos!$E293),"")</f>
        <v/>
      </c>
    </row>
    <row r="881" spans="1:8" x14ac:dyDescent="0.35">
      <c r="A881" s="5" t="str">
        <f>IFERROR(IF(Portafolio_Proyectos!$AP294="","","CAP-"&amp;ROW()-1),"")</f>
        <v/>
      </c>
      <c r="B881" s="5" t="str">
        <f>IFERROR(IF(Portafolio_Proyectos!$AP294="","",Portafolio_Proyectos!$AP294),"")</f>
        <v/>
      </c>
      <c r="C881" s="5" t="str">
        <f>IFERROR(IF(Portafolio_Proyectos!$AP294="","","Emergente"),"")</f>
        <v/>
      </c>
      <c r="D881" s="5" t="str">
        <f>IFERROR(IF(Portafolio_Proyectos!$AP294="","",Portafolio_Proyectos!$C294),"")</f>
        <v/>
      </c>
      <c r="E881" s="5" t="str">
        <f>IFERROR(IF(Portafolio_Proyectos!$AP294="","",Portafolio_Proyectos!$B294),"")</f>
        <v/>
      </c>
      <c r="F881" s="5" t="str">
        <f>IFERROR(IF(Portafolio_Proyectos!$AP294="","",Portafolio_Proyectos!$D294),"")</f>
        <v/>
      </c>
      <c r="G881" s="5" t="str">
        <f>IFERROR(IF(Portafolio_Proyectos!$AP294="","",Portafolio_Proyectos!$A294),"")</f>
        <v/>
      </c>
      <c r="H881" s="5" t="str">
        <f>IFERROR(IF(Portafolio_Proyectos!$AP294="","",Portafolio_Proyectos!$E294),"")</f>
        <v/>
      </c>
    </row>
    <row r="882" spans="1:8" x14ac:dyDescent="0.35">
      <c r="A882" s="5" t="str">
        <f>IFERROR(IF(Portafolio_Proyectos!$AQ294="","","CAP-"&amp;ROW()-1),"")</f>
        <v/>
      </c>
      <c r="B882" s="5" t="str">
        <f>IFERROR(IF(Portafolio_Proyectos!$AQ294="","",Portafolio_Proyectos!$AQ294),"")</f>
        <v/>
      </c>
      <c r="C882" s="5" t="str">
        <f>IFERROR(IF(Portafolio_Proyectos!$AQ294="","","Consolidada"),"")</f>
        <v/>
      </c>
      <c r="D882" s="5" t="str">
        <f>IFERROR(IF(Portafolio_Proyectos!$AQ294="","",Portafolio_Proyectos!$C294),"")</f>
        <v/>
      </c>
      <c r="E882" s="5" t="str">
        <f>IFERROR(IF(Portafolio_Proyectos!$AQ294="","",Portafolio_Proyectos!$B294),"")</f>
        <v/>
      </c>
      <c r="F882" s="5" t="str">
        <f>IFERROR(IF(Portafolio_Proyectos!$AQ294="","",Portafolio_Proyectos!$D294),"")</f>
        <v/>
      </c>
      <c r="G882" s="5" t="str">
        <f>IFERROR(IF(Portafolio_Proyectos!$AQ294="","",Portafolio_Proyectos!$A294),"")</f>
        <v/>
      </c>
      <c r="H882" s="5" t="str">
        <f>IFERROR(IF(Portafolio_Proyectos!$AQ294="","",Portafolio_Proyectos!$E294),"")</f>
        <v/>
      </c>
    </row>
    <row r="883" spans="1:8" x14ac:dyDescent="0.35">
      <c r="A883" s="5" t="str">
        <f>IFERROR(IF(Portafolio_Proyectos!$AR294="","","CAP-"&amp;ROW()-1),"")</f>
        <v/>
      </c>
      <c r="B883" s="5" t="str">
        <f>IFERROR(IF(Portafolio_Proyectos!$AR294="","",Portafolio_Proyectos!$AR294),"")</f>
        <v/>
      </c>
      <c r="C883" s="5" t="str">
        <f>IFERROR(IF(Portafolio_Proyectos!$AR294="","","Distintiva"),"")</f>
        <v/>
      </c>
      <c r="D883" s="5" t="str">
        <f>IFERROR(IF(Portafolio_Proyectos!$AR294="","",Portafolio_Proyectos!$C294),"")</f>
        <v/>
      </c>
      <c r="E883" s="5" t="str">
        <f>IFERROR(IF(Portafolio_Proyectos!$AR294="","",Portafolio_Proyectos!$B294),"")</f>
        <v/>
      </c>
      <c r="F883" s="5" t="str">
        <f>IFERROR(IF(Portafolio_Proyectos!$AR294="","",Portafolio_Proyectos!$D294),"")</f>
        <v/>
      </c>
      <c r="G883" s="5" t="str">
        <f>IFERROR(IF(Portafolio_Proyectos!$AR294="","",Portafolio_Proyectos!$A294),"")</f>
        <v/>
      </c>
      <c r="H883" s="5" t="str">
        <f>IFERROR(IF(Portafolio_Proyectos!$AR294="","",Portafolio_Proyectos!$E294),"")</f>
        <v/>
      </c>
    </row>
    <row r="884" spans="1:8" x14ac:dyDescent="0.35">
      <c r="A884" s="5" t="str">
        <f>IFERROR(IF(Portafolio_Proyectos!$AP295="","","CAP-"&amp;ROW()-1),"")</f>
        <v/>
      </c>
      <c r="B884" s="5" t="str">
        <f>IFERROR(IF(Portafolio_Proyectos!$AP295="","",Portafolio_Proyectos!$AP295),"")</f>
        <v/>
      </c>
      <c r="C884" s="5" t="str">
        <f>IFERROR(IF(Portafolio_Proyectos!$AP295="","","Emergente"),"")</f>
        <v/>
      </c>
      <c r="D884" s="5" t="str">
        <f>IFERROR(IF(Portafolio_Proyectos!$AP295="","",Portafolio_Proyectos!$C295),"")</f>
        <v/>
      </c>
      <c r="E884" s="5" t="str">
        <f>IFERROR(IF(Portafolio_Proyectos!$AP295="","",Portafolio_Proyectos!$B295),"")</f>
        <v/>
      </c>
      <c r="F884" s="5" t="str">
        <f>IFERROR(IF(Portafolio_Proyectos!$AP295="","",Portafolio_Proyectos!$D295),"")</f>
        <v/>
      </c>
      <c r="G884" s="5" t="str">
        <f>IFERROR(IF(Portafolio_Proyectos!$AP295="","",Portafolio_Proyectos!$A295),"")</f>
        <v/>
      </c>
      <c r="H884" s="5" t="str">
        <f>IFERROR(IF(Portafolio_Proyectos!$AP295="","",Portafolio_Proyectos!$E295),"")</f>
        <v/>
      </c>
    </row>
    <row r="885" spans="1:8" x14ac:dyDescent="0.35">
      <c r="A885" s="5" t="str">
        <f>IFERROR(IF(Portafolio_Proyectos!$AQ295="","","CAP-"&amp;ROW()-1),"")</f>
        <v/>
      </c>
      <c r="B885" s="5" t="str">
        <f>IFERROR(IF(Portafolio_Proyectos!$AQ295="","",Portafolio_Proyectos!$AQ295),"")</f>
        <v/>
      </c>
      <c r="C885" s="5" t="str">
        <f>IFERROR(IF(Portafolio_Proyectos!$AQ295="","","Consolidada"),"")</f>
        <v/>
      </c>
      <c r="D885" s="5" t="str">
        <f>IFERROR(IF(Portafolio_Proyectos!$AQ295="","",Portafolio_Proyectos!$C295),"")</f>
        <v/>
      </c>
      <c r="E885" s="5" t="str">
        <f>IFERROR(IF(Portafolio_Proyectos!$AQ295="","",Portafolio_Proyectos!$B295),"")</f>
        <v/>
      </c>
      <c r="F885" s="5" t="str">
        <f>IFERROR(IF(Portafolio_Proyectos!$AQ295="","",Portafolio_Proyectos!$D295),"")</f>
        <v/>
      </c>
      <c r="G885" s="5" t="str">
        <f>IFERROR(IF(Portafolio_Proyectos!$AQ295="","",Portafolio_Proyectos!$A295),"")</f>
        <v/>
      </c>
      <c r="H885" s="5" t="str">
        <f>IFERROR(IF(Portafolio_Proyectos!$AQ295="","",Portafolio_Proyectos!$E295),"")</f>
        <v/>
      </c>
    </row>
    <row r="886" spans="1:8" x14ac:dyDescent="0.35">
      <c r="A886" s="5" t="str">
        <f>IFERROR(IF(Portafolio_Proyectos!$AR295="","","CAP-"&amp;ROW()-1),"")</f>
        <v/>
      </c>
      <c r="B886" s="5" t="str">
        <f>IFERROR(IF(Portafolio_Proyectos!$AR295="","",Portafolio_Proyectos!$AR295),"")</f>
        <v/>
      </c>
      <c r="C886" s="5" t="str">
        <f>IFERROR(IF(Portafolio_Proyectos!$AR295="","","Distintiva"),"")</f>
        <v/>
      </c>
      <c r="D886" s="5" t="str">
        <f>IFERROR(IF(Portafolio_Proyectos!$AR295="","",Portafolio_Proyectos!$C295),"")</f>
        <v/>
      </c>
      <c r="E886" s="5" t="str">
        <f>IFERROR(IF(Portafolio_Proyectos!$AR295="","",Portafolio_Proyectos!$B295),"")</f>
        <v/>
      </c>
      <c r="F886" s="5" t="str">
        <f>IFERROR(IF(Portafolio_Proyectos!$AR295="","",Portafolio_Proyectos!$D295),"")</f>
        <v/>
      </c>
      <c r="G886" s="5" t="str">
        <f>IFERROR(IF(Portafolio_Proyectos!$AR295="","",Portafolio_Proyectos!$A295),"")</f>
        <v/>
      </c>
      <c r="H886" s="5" t="str">
        <f>IFERROR(IF(Portafolio_Proyectos!$AR295="","",Portafolio_Proyectos!$E295),"")</f>
        <v/>
      </c>
    </row>
    <row r="887" spans="1:8" x14ac:dyDescent="0.35">
      <c r="A887" s="5" t="str">
        <f>IFERROR(IF(Portafolio_Proyectos!$AP296="","","CAP-"&amp;ROW()-1),"")</f>
        <v/>
      </c>
      <c r="B887" s="5" t="str">
        <f>IFERROR(IF(Portafolio_Proyectos!$AP296="","",Portafolio_Proyectos!$AP296),"")</f>
        <v/>
      </c>
      <c r="C887" s="5" t="str">
        <f>IFERROR(IF(Portafolio_Proyectos!$AP296="","","Emergente"),"")</f>
        <v/>
      </c>
      <c r="D887" s="5" t="str">
        <f>IFERROR(IF(Portafolio_Proyectos!$AP296="","",Portafolio_Proyectos!$C296),"")</f>
        <v/>
      </c>
      <c r="E887" s="5" t="str">
        <f>IFERROR(IF(Portafolio_Proyectos!$AP296="","",Portafolio_Proyectos!$B296),"")</f>
        <v/>
      </c>
      <c r="F887" s="5" t="str">
        <f>IFERROR(IF(Portafolio_Proyectos!$AP296="","",Portafolio_Proyectos!$D296),"")</f>
        <v/>
      </c>
      <c r="G887" s="5" t="str">
        <f>IFERROR(IF(Portafolio_Proyectos!$AP296="","",Portafolio_Proyectos!$A296),"")</f>
        <v/>
      </c>
      <c r="H887" s="5" t="str">
        <f>IFERROR(IF(Portafolio_Proyectos!$AP296="","",Portafolio_Proyectos!$E296),"")</f>
        <v/>
      </c>
    </row>
    <row r="888" spans="1:8" x14ac:dyDescent="0.35">
      <c r="A888" s="5" t="str">
        <f>IFERROR(IF(Portafolio_Proyectos!$AQ296="","","CAP-"&amp;ROW()-1),"")</f>
        <v/>
      </c>
      <c r="B888" s="5" t="str">
        <f>IFERROR(IF(Portafolio_Proyectos!$AQ296="","",Portafolio_Proyectos!$AQ296),"")</f>
        <v/>
      </c>
      <c r="C888" s="5" t="str">
        <f>IFERROR(IF(Portafolio_Proyectos!$AQ296="","","Consolidada"),"")</f>
        <v/>
      </c>
      <c r="D888" s="5" t="str">
        <f>IFERROR(IF(Portafolio_Proyectos!$AQ296="","",Portafolio_Proyectos!$C296),"")</f>
        <v/>
      </c>
      <c r="E888" s="5" t="str">
        <f>IFERROR(IF(Portafolio_Proyectos!$AQ296="","",Portafolio_Proyectos!$B296),"")</f>
        <v/>
      </c>
      <c r="F888" s="5" t="str">
        <f>IFERROR(IF(Portafolio_Proyectos!$AQ296="","",Portafolio_Proyectos!$D296),"")</f>
        <v/>
      </c>
      <c r="G888" s="5" t="str">
        <f>IFERROR(IF(Portafolio_Proyectos!$AQ296="","",Portafolio_Proyectos!$A296),"")</f>
        <v/>
      </c>
      <c r="H888" s="5" t="str">
        <f>IFERROR(IF(Portafolio_Proyectos!$AQ296="","",Portafolio_Proyectos!$E296),"")</f>
        <v/>
      </c>
    </row>
    <row r="889" spans="1:8" x14ac:dyDescent="0.35">
      <c r="A889" s="5" t="str">
        <f>IFERROR(IF(Portafolio_Proyectos!$AR296="","","CAP-"&amp;ROW()-1),"")</f>
        <v/>
      </c>
      <c r="B889" s="5" t="str">
        <f>IFERROR(IF(Portafolio_Proyectos!$AR296="","",Portafolio_Proyectos!$AR296),"")</f>
        <v/>
      </c>
      <c r="C889" s="5" t="str">
        <f>IFERROR(IF(Portafolio_Proyectos!$AR296="","","Distintiva"),"")</f>
        <v/>
      </c>
      <c r="D889" s="5" t="str">
        <f>IFERROR(IF(Portafolio_Proyectos!$AR296="","",Portafolio_Proyectos!$C296),"")</f>
        <v/>
      </c>
      <c r="E889" s="5" t="str">
        <f>IFERROR(IF(Portafolio_Proyectos!$AR296="","",Portafolio_Proyectos!$B296),"")</f>
        <v/>
      </c>
      <c r="F889" s="5" t="str">
        <f>IFERROR(IF(Portafolio_Proyectos!$AR296="","",Portafolio_Proyectos!$D296),"")</f>
        <v/>
      </c>
      <c r="G889" s="5" t="str">
        <f>IFERROR(IF(Portafolio_Proyectos!$AR296="","",Portafolio_Proyectos!$A296),"")</f>
        <v/>
      </c>
      <c r="H889" s="5" t="str">
        <f>IFERROR(IF(Portafolio_Proyectos!$AR296="","",Portafolio_Proyectos!$E296),"")</f>
        <v/>
      </c>
    </row>
    <row r="890" spans="1:8" x14ac:dyDescent="0.35">
      <c r="A890" s="5" t="str">
        <f>IFERROR(IF(Portafolio_Proyectos!$AP297="","","CAP-"&amp;ROW()-1),"")</f>
        <v/>
      </c>
      <c r="B890" s="5" t="str">
        <f>IFERROR(IF(Portafolio_Proyectos!$AP297="","",Portafolio_Proyectos!$AP297),"")</f>
        <v/>
      </c>
      <c r="C890" s="5" t="str">
        <f>IFERROR(IF(Portafolio_Proyectos!$AP297="","","Emergente"),"")</f>
        <v/>
      </c>
      <c r="D890" s="5" t="str">
        <f>IFERROR(IF(Portafolio_Proyectos!$AP297="","",Portafolio_Proyectos!$C297),"")</f>
        <v/>
      </c>
      <c r="E890" s="5" t="str">
        <f>IFERROR(IF(Portafolio_Proyectos!$AP297="","",Portafolio_Proyectos!$B297),"")</f>
        <v/>
      </c>
      <c r="F890" s="5" t="str">
        <f>IFERROR(IF(Portafolio_Proyectos!$AP297="","",Portafolio_Proyectos!$D297),"")</f>
        <v/>
      </c>
      <c r="G890" s="5" t="str">
        <f>IFERROR(IF(Portafolio_Proyectos!$AP297="","",Portafolio_Proyectos!$A297),"")</f>
        <v/>
      </c>
      <c r="H890" s="5" t="str">
        <f>IFERROR(IF(Portafolio_Proyectos!$AP297="","",Portafolio_Proyectos!$E297),"")</f>
        <v/>
      </c>
    </row>
    <row r="891" spans="1:8" x14ac:dyDescent="0.35">
      <c r="A891" s="5" t="str">
        <f>IFERROR(IF(Portafolio_Proyectos!$AQ297="","","CAP-"&amp;ROW()-1),"")</f>
        <v/>
      </c>
      <c r="B891" s="5" t="str">
        <f>IFERROR(IF(Portafolio_Proyectos!$AQ297="","",Portafolio_Proyectos!$AQ297),"")</f>
        <v/>
      </c>
      <c r="C891" s="5" t="str">
        <f>IFERROR(IF(Portafolio_Proyectos!$AQ297="","","Consolidada"),"")</f>
        <v/>
      </c>
      <c r="D891" s="5" t="str">
        <f>IFERROR(IF(Portafolio_Proyectos!$AQ297="","",Portafolio_Proyectos!$C297),"")</f>
        <v/>
      </c>
      <c r="E891" s="5" t="str">
        <f>IFERROR(IF(Portafolio_Proyectos!$AQ297="","",Portafolio_Proyectos!$B297),"")</f>
        <v/>
      </c>
      <c r="F891" s="5" t="str">
        <f>IFERROR(IF(Portafolio_Proyectos!$AQ297="","",Portafolio_Proyectos!$D297),"")</f>
        <v/>
      </c>
      <c r="G891" s="5" t="str">
        <f>IFERROR(IF(Portafolio_Proyectos!$AQ297="","",Portafolio_Proyectos!$A297),"")</f>
        <v/>
      </c>
      <c r="H891" s="5" t="str">
        <f>IFERROR(IF(Portafolio_Proyectos!$AQ297="","",Portafolio_Proyectos!$E297),"")</f>
        <v/>
      </c>
    </row>
    <row r="892" spans="1:8" x14ac:dyDescent="0.35">
      <c r="A892" s="5" t="str">
        <f>IFERROR(IF(Portafolio_Proyectos!$AR297="","","CAP-"&amp;ROW()-1),"")</f>
        <v/>
      </c>
      <c r="B892" s="5" t="str">
        <f>IFERROR(IF(Portafolio_Proyectos!$AR297="","",Portafolio_Proyectos!$AR297),"")</f>
        <v/>
      </c>
      <c r="C892" s="5" t="str">
        <f>IFERROR(IF(Portafolio_Proyectos!$AR297="","","Distintiva"),"")</f>
        <v/>
      </c>
      <c r="D892" s="5" t="str">
        <f>IFERROR(IF(Portafolio_Proyectos!$AR297="","",Portafolio_Proyectos!$C297),"")</f>
        <v/>
      </c>
      <c r="E892" s="5" t="str">
        <f>IFERROR(IF(Portafolio_Proyectos!$AR297="","",Portafolio_Proyectos!$B297),"")</f>
        <v/>
      </c>
      <c r="F892" s="5" t="str">
        <f>IFERROR(IF(Portafolio_Proyectos!$AR297="","",Portafolio_Proyectos!$D297),"")</f>
        <v/>
      </c>
      <c r="G892" s="5" t="str">
        <f>IFERROR(IF(Portafolio_Proyectos!$AR297="","",Portafolio_Proyectos!$A297),"")</f>
        <v/>
      </c>
      <c r="H892" s="5" t="str">
        <f>IFERROR(IF(Portafolio_Proyectos!$AR297="","",Portafolio_Proyectos!$E297),"")</f>
        <v/>
      </c>
    </row>
    <row r="893" spans="1:8" x14ac:dyDescent="0.35">
      <c r="A893" s="5" t="str">
        <f>IFERROR(IF(Portafolio_Proyectos!$AP298="","","CAP-"&amp;ROW()-1),"")</f>
        <v/>
      </c>
      <c r="B893" s="5" t="str">
        <f>IFERROR(IF(Portafolio_Proyectos!$AP298="","",Portafolio_Proyectos!$AP298),"")</f>
        <v/>
      </c>
      <c r="C893" s="5" t="str">
        <f>IFERROR(IF(Portafolio_Proyectos!$AP298="","","Emergente"),"")</f>
        <v/>
      </c>
      <c r="D893" s="5" t="str">
        <f>IFERROR(IF(Portafolio_Proyectos!$AP298="","",Portafolio_Proyectos!$C298),"")</f>
        <v/>
      </c>
      <c r="E893" s="5" t="str">
        <f>IFERROR(IF(Portafolio_Proyectos!$AP298="","",Portafolio_Proyectos!$B298),"")</f>
        <v/>
      </c>
      <c r="F893" s="5" t="str">
        <f>IFERROR(IF(Portafolio_Proyectos!$AP298="","",Portafolio_Proyectos!$D298),"")</f>
        <v/>
      </c>
      <c r="G893" s="5" t="str">
        <f>IFERROR(IF(Portafolio_Proyectos!$AP298="","",Portafolio_Proyectos!$A298),"")</f>
        <v/>
      </c>
      <c r="H893" s="5" t="str">
        <f>IFERROR(IF(Portafolio_Proyectos!$AP298="","",Portafolio_Proyectos!$E298),"")</f>
        <v/>
      </c>
    </row>
    <row r="894" spans="1:8" x14ac:dyDescent="0.35">
      <c r="A894" s="5" t="str">
        <f>IFERROR(IF(Portafolio_Proyectos!$AQ298="","","CAP-"&amp;ROW()-1),"")</f>
        <v/>
      </c>
      <c r="B894" s="5" t="str">
        <f>IFERROR(IF(Portafolio_Proyectos!$AQ298="","",Portafolio_Proyectos!$AQ298),"")</f>
        <v/>
      </c>
      <c r="C894" s="5" t="str">
        <f>IFERROR(IF(Portafolio_Proyectos!$AQ298="","","Consolidada"),"")</f>
        <v/>
      </c>
      <c r="D894" s="5" t="str">
        <f>IFERROR(IF(Portafolio_Proyectos!$AQ298="","",Portafolio_Proyectos!$C298),"")</f>
        <v/>
      </c>
      <c r="E894" s="5" t="str">
        <f>IFERROR(IF(Portafolio_Proyectos!$AQ298="","",Portafolio_Proyectos!$B298),"")</f>
        <v/>
      </c>
      <c r="F894" s="5" t="str">
        <f>IFERROR(IF(Portafolio_Proyectos!$AQ298="","",Portafolio_Proyectos!$D298),"")</f>
        <v/>
      </c>
      <c r="G894" s="5" t="str">
        <f>IFERROR(IF(Portafolio_Proyectos!$AQ298="","",Portafolio_Proyectos!$A298),"")</f>
        <v/>
      </c>
      <c r="H894" s="5" t="str">
        <f>IFERROR(IF(Portafolio_Proyectos!$AQ298="","",Portafolio_Proyectos!$E298),"")</f>
        <v/>
      </c>
    </row>
    <row r="895" spans="1:8" x14ac:dyDescent="0.35">
      <c r="A895" s="5" t="str">
        <f>IFERROR(IF(Portafolio_Proyectos!$AR298="","","CAP-"&amp;ROW()-1),"")</f>
        <v/>
      </c>
      <c r="B895" s="5" t="str">
        <f>IFERROR(IF(Portafolio_Proyectos!$AR298="","",Portafolio_Proyectos!$AR298),"")</f>
        <v/>
      </c>
      <c r="C895" s="5" t="str">
        <f>IFERROR(IF(Portafolio_Proyectos!$AR298="","","Distintiva"),"")</f>
        <v/>
      </c>
      <c r="D895" s="5" t="str">
        <f>IFERROR(IF(Portafolio_Proyectos!$AR298="","",Portafolio_Proyectos!$C298),"")</f>
        <v/>
      </c>
      <c r="E895" s="5" t="str">
        <f>IFERROR(IF(Portafolio_Proyectos!$AR298="","",Portafolio_Proyectos!$B298),"")</f>
        <v/>
      </c>
      <c r="F895" s="5" t="str">
        <f>IFERROR(IF(Portafolio_Proyectos!$AR298="","",Portafolio_Proyectos!$D298),"")</f>
        <v/>
      </c>
      <c r="G895" s="5" t="str">
        <f>IFERROR(IF(Portafolio_Proyectos!$AR298="","",Portafolio_Proyectos!$A298),"")</f>
        <v/>
      </c>
      <c r="H895" s="5" t="str">
        <f>IFERROR(IF(Portafolio_Proyectos!$AR298="","",Portafolio_Proyectos!$E298),"")</f>
        <v/>
      </c>
    </row>
    <row r="896" spans="1:8" x14ac:dyDescent="0.35">
      <c r="A896" s="5" t="str">
        <f>IFERROR(IF(Portafolio_Proyectos!$AP299="","","CAP-"&amp;ROW()-1),"")</f>
        <v/>
      </c>
      <c r="B896" s="5" t="str">
        <f>IFERROR(IF(Portafolio_Proyectos!$AP299="","",Portafolio_Proyectos!$AP299),"")</f>
        <v/>
      </c>
      <c r="C896" s="5" t="str">
        <f>IFERROR(IF(Portafolio_Proyectos!$AP299="","","Emergente"),"")</f>
        <v/>
      </c>
      <c r="D896" s="5" t="str">
        <f>IFERROR(IF(Portafolio_Proyectos!$AP299="","",Portafolio_Proyectos!$C299),"")</f>
        <v/>
      </c>
      <c r="E896" s="5" t="str">
        <f>IFERROR(IF(Portafolio_Proyectos!$AP299="","",Portafolio_Proyectos!$B299),"")</f>
        <v/>
      </c>
      <c r="F896" s="5" t="str">
        <f>IFERROR(IF(Portafolio_Proyectos!$AP299="","",Portafolio_Proyectos!$D299),"")</f>
        <v/>
      </c>
      <c r="G896" s="5" t="str">
        <f>IFERROR(IF(Portafolio_Proyectos!$AP299="","",Portafolio_Proyectos!$A299),"")</f>
        <v/>
      </c>
      <c r="H896" s="5" t="str">
        <f>IFERROR(IF(Portafolio_Proyectos!$AP299="","",Portafolio_Proyectos!$E299),"")</f>
        <v/>
      </c>
    </row>
    <row r="897" spans="1:8" x14ac:dyDescent="0.35">
      <c r="A897" s="5" t="str">
        <f>IFERROR(IF(Portafolio_Proyectos!$AQ299="","","CAP-"&amp;ROW()-1),"")</f>
        <v/>
      </c>
      <c r="B897" s="5" t="str">
        <f>IFERROR(IF(Portafolio_Proyectos!$AQ299="","",Portafolio_Proyectos!$AQ299),"")</f>
        <v/>
      </c>
      <c r="C897" s="5" t="str">
        <f>IFERROR(IF(Portafolio_Proyectos!$AQ299="","","Consolidada"),"")</f>
        <v/>
      </c>
      <c r="D897" s="5" t="str">
        <f>IFERROR(IF(Portafolio_Proyectos!$AQ299="","",Portafolio_Proyectos!$C299),"")</f>
        <v/>
      </c>
      <c r="E897" s="5" t="str">
        <f>IFERROR(IF(Portafolio_Proyectos!$AQ299="","",Portafolio_Proyectos!$B299),"")</f>
        <v/>
      </c>
      <c r="F897" s="5" t="str">
        <f>IFERROR(IF(Portafolio_Proyectos!$AQ299="","",Portafolio_Proyectos!$D299),"")</f>
        <v/>
      </c>
      <c r="G897" s="5" t="str">
        <f>IFERROR(IF(Portafolio_Proyectos!$AQ299="","",Portafolio_Proyectos!$A299),"")</f>
        <v/>
      </c>
      <c r="H897" s="5" t="str">
        <f>IFERROR(IF(Portafolio_Proyectos!$AQ299="","",Portafolio_Proyectos!$E299),"")</f>
        <v/>
      </c>
    </row>
    <row r="898" spans="1:8" x14ac:dyDescent="0.35">
      <c r="A898" s="5" t="str">
        <f>IFERROR(IF(Portafolio_Proyectos!$AR299="","","CAP-"&amp;ROW()-1),"")</f>
        <v/>
      </c>
      <c r="B898" s="5" t="str">
        <f>IFERROR(IF(Portafolio_Proyectos!$AR299="","",Portafolio_Proyectos!$AR299),"")</f>
        <v/>
      </c>
      <c r="C898" s="5" t="str">
        <f>IFERROR(IF(Portafolio_Proyectos!$AR299="","","Distintiva"),"")</f>
        <v/>
      </c>
      <c r="D898" s="5" t="str">
        <f>IFERROR(IF(Portafolio_Proyectos!$AR299="","",Portafolio_Proyectos!$C299),"")</f>
        <v/>
      </c>
      <c r="E898" s="5" t="str">
        <f>IFERROR(IF(Portafolio_Proyectos!$AR299="","",Portafolio_Proyectos!$B299),"")</f>
        <v/>
      </c>
      <c r="F898" s="5" t="str">
        <f>IFERROR(IF(Portafolio_Proyectos!$AR299="","",Portafolio_Proyectos!$D299),"")</f>
        <v/>
      </c>
      <c r="G898" s="5" t="str">
        <f>IFERROR(IF(Portafolio_Proyectos!$AR299="","",Portafolio_Proyectos!$A299),"")</f>
        <v/>
      </c>
      <c r="H898" s="5" t="str">
        <f>IFERROR(IF(Portafolio_Proyectos!$AR299="","",Portafolio_Proyectos!$E299),"")</f>
        <v/>
      </c>
    </row>
    <row r="899" spans="1:8" x14ac:dyDescent="0.35">
      <c r="A899" s="5" t="str">
        <f>IFERROR(IF(Portafolio_Proyectos!$AP300="","","CAP-"&amp;ROW()-1),"")</f>
        <v/>
      </c>
      <c r="B899" s="5" t="str">
        <f>IFERROR(IF(Portafolio_Proyectos!$AP300="","",Portafolio_Proyectos!$AP300),"")</f>
        <v/>
      </c>
      <c r="C899" s="5" t="str">
        <f>IFERROR(IF(Portafolio_Proyectos!$AP300="","","Emergente"),"")</f>
        <v/>
      </c>
      <c r="D899" s="5" t="str">
        <f>IFERROR(IF(Portafolio_Proyectos!$AP300="","",Portafolio_Proyectos!$C300),"")</f>
        <v/>
      </c>
      <c r="E899" s="5" t="str">
        <f>IFERROR(IF(Portafolio_Proyectos!$AP300="","",Portafolio_Proyectos!$B300),"")</f>
        <v/>
      </c>
      <c r="F899" s="5" t="str">
        <f>IFERROR(IF(Portafolio_Proyectos!$AP300="","",Portafolio_Proyectos!$D300),"")</f>
        <v/>
      </c>
      <c r="G899" s="5" t="str">
        <f>IFERROR(IF(Portafolio_Proyectos!$AP300="","",Portafolio_Proyectos!$A300),"")</f>
        <v/>
      </c>
      <c r="H899" s="5" t="str">
        <f>IFERROR(IF(Portafolio_Proyectos!$AP300="","",Portafolio_Proyectos!$E300),"")</f>
        <v/>
      </c>
    </row>
    <row r="900" spans="1:8" x14ac:dyDescent="0.35">
      <c r="A900" s="5" t="str">
        <f>IFERROR(IF(Portafolio_Proyectos!$AQ300="","","CAP-"&amp;ROW()-1),"")</f>
        <v/>
      </c>
      <c r="B900" s="5" t="str">
        <f>IFERROR(IF(Portafolio_Proyectos!$AQ300="","",Portafolio_Proyectos!$AQ300),"")</f>
        <v/>
      </c>
      <c r="C900" s="5" t="str">
        <f>IFERROR(IF(Portafolio_Proyectos!$AQ300="","","Consolidada"),"")</f>
        <v/>
      </c>
      <c r="D900" s="5" t="str">
        <f>IFERROR(IF(Portafolio_Proyectos!$AQ300="","",Portafolio_Proyectos!$C300),"")</f>
        <v/>
      </c>
      <c r="E900" s="5" t="str">
        <f>IFERROR(IF(Portafolio_Proyectos!$AQ300="","",Portafolio_Proyectos!$B300),"")</f>
        <v/>
      </c>
      <c r="F900" s="5" t="str">
        <f>IFERROR(IF(Portafolio_Proyectos!$AQ300="","",Portafolio_Proyectos!$D300),"")</f>
        <v/>
      </c>
      <c r="G900" s="5" t="str">
        <f>IFERROR(IF(Portafolio_Proyectos!$AQ300="","",Portafolio_Proyectos!$A300),"")</f>
        <v/>
      </c>
      <c r="H900" s="5" t="str">
        <f>IFERROR(IF(Portafolio_Proyectos!$AQ300="","",Portafolio_Proyectos!$E300),"")</f>
        <v/>
      </c>
    </row>
    <row r="901" spans="1:8" x14ac:dyDescent="0.35">
      <c r="A901" s="5" t="str">
        <f>IFERROR(IF(Portafolio_Proyectos!$AR300="","","CAP-"&amp;ROW()-1),"")</f>
        <v/>
      </c>
      <c r="B901" s="5" t="str">
        <f>IFERROR(IF(Portafolio_Proyectos!$AR300="","",Portafolio_Proyectos!$AR300),"")</f>
        <v/>
      </c>
      <c r="C901" s="5" t="str">
        <f>IFERROR(IF(Portafolio_Proyectos!$AR300="","","Distintiva"),"")</f>
        <v/>
      </c>
      <c r="D901" s="5" t="str">
        <f>IFERROR(IF(Portafolio_Proyectos!$AR300="","",Portafolio_Proyectos!$C300),"")</f>
        <v/>
      </c>
      <c r="E901" s="5" t="str">
        <f>IFERROR(IF(Portafolio_Proyectos!$AR300="","",Portafolio_Proyectos!$B300),"")</f>
        <v/>
      </c>
      <c r="F901" s="5" t="str">
        <f>IFERROR(IF(Portafolio_Proyectos!$AR300="","",Portafolio_Proyectos!$D300),"")</f>
        <v/>
      </c>
      <c r="G901" s="5" t="str">
        <f>IFERROR(IF(Portafolio_Proyectos!$AR300="","",Portafolio_Proyectos!$A300),"")</f>
        <v/>
      </c>
      <c r="H901" s="5" t="str">
        <f>IFERROR(IF(Portafolio_Proyectos!$AR300="","",Portafolio_Proyectos!$E300),"")</f>
        <v/>
      </c>
    </row>
    <row r="902" spans="1:8" x14ac:dyDescent="0.35">
      <c r="A902" s="5" t="str">
        <f>IFERROR(IF(Portafolio_Proyectos!$AP301="","","CAP-"&amp;ROW()-1),"")</f>
        <v/>
      </c>
      <c r="B902" s="5" t="str">
        <f>IFERROR(IF(Portafolio_Proyectos!$AP301="","",Portafolio_Proyectos!$AP301),"")</f>
        <v/>
      </c>
      <c r="C902" s="5" t="str">
        <f>IFERROR(IF(Portafolio_Proyectos!$AP301="","","Emergente"),"")</f>
        <v/>
      </c>
      <c r="D902" s="5" t="str">
        <f>IFERROR(IF(Portafolio_Proyectos!$AP301="","",Portafolio_Proyectos!$C301),"")</f>
        <v/>
      </c>
      <c r="E902" s="5" t="str">
        <f>IFERROR(IF(Portafolio_Proyectos!$AP301="","",Portafolio_Proyectos!$B301),"")</f>
        <v/>
      </c>
      <c r="F902" s="5" t="str">
        <f>IFERROR(IF(Portafolio_Proyectos!$AP301="","",Portafolio_Proyectos!$D301),"")</f>
        <v/>
      </c>
      <c r="G902" s="5" t="str">
        <f>IFERROR(IF(Portafolio_Proyectos!$AP301="","",Portafolio_Proyectos!$A301),"")</f>
        <v/>
      </c>
      <c r="H902" s="5" t="str">
        <f>IFERROR(IF(Portafolio_Proyectos!$AP301="","",Portafolio_Proyectos!$E301),"")</f>
        <v/>
      </c>
    </row>
    <row r="903" spans="1:8" x14ac:dyDescent="0.35">
      <c r="A903" s="5" t="str">
        <f>IFERROR(IF(Portafolio_Proyectos!$AQ301="","","CAP-"&amp;ROW()-1),"")</f>
        <v/>
      </c>
      <c r="B903" s="5" t="str">
        <f>IFERROR(IF(Portafolio_Proyectos!$AQ301="","",Portafolio_Proyectos!$AQ301),"")</f>
        <v/>
      </c>
      <c r="C903" s="5" t="str">
        <f>IFERROR(IF(Portafolio_Proyectos!$AQ301="","","Consolidada"),"")</f>
        <v/>
      </c>
      <c r="D903" s="5" t="str">
        <f>IFERROR(IF(Portafolio_Proyectos!$AQ301="","",Portafolio_Proyectos!$C301),"")</f>
        <v/>
      </c>
      <c r="E903" s="5" t="str">
        <f>IFERROR(IF(Portafolio_Proyectos!$AQ301="","",Portafolio_Proyectos!$B301),"")</f>
        <v/>
      </c>
      <c r="F903" s="5" t="str">
        <f>IFERROR(IF(Portafolio_Proyectos!$AQ301="","",Portafolio_Proyectos!$D301),"")</f>
        <v/>
      </c>
      <c r="G903" s="5" t="str">
        <f>IFERROR(IF(Portafolio_Proyectos!$AQ301="","",Portafolio_Proyectos!$A301),"")</f>
        <v/>
      </c>
      <c r="H903" s="5" t="str">
        <f>IFERROR(IF(Portafolio_Proyectos!$AQ301="","",Portafolio_Proyectos!$E301),"")</f>
        <v/>
      </c>
    </row>
    <row r="904" spans="1:8" x14ac:dyDescent="0.35">
      <c r="A904" s="5" t="str">
        <f>IFERROR(IF(Portafolio_Proyectos!$AR301="","","CAP-"&amp;ROW()-1),"")</f>
        <v/>
      </c>
      <c r="B904" s="5" t="str">
        <f>IFERROR(IF(Portafolio_Proyectos!$AR301="","",Portafolio_Proyectos!$AR301),"")</f>
        <v/>
      </c>
      <c r="C904" s="5" t="str">
        <f>IFERROR(IF(Portafolio_Proyectos!$AR301="","","Distintiva"),"")</f>
        <v/>
      </c>
      <c r="D904" s="5" t="str">
        <f>IFERROR(IF(Portafolio_Proyectos!$AR301="","",Portafolio_Proyectos!$C301),"")</f>
        <v/>
      </c>
      <c r="E904" s="5" t="str">
        <f>IFERROR(IF(Portafolio_Proyectos!$AR301="","",Portafolio_Proyectos!$B301),"")</f>
        <v/>
      </c>
      <c r="F904" s="5" t="str">
        <f>IFERROR(IF(Portafolio_Proyectos!$AR301="","",Portafolio_Proyectos!$D301),"")</f>
        <v/>
      </c>
      <c r="G904" s="5" t="str">
        <f>IFERROR(IF(Portafolio_Proyectos!$AR301="","",Portafolio_Proyectos!$A301),"")</f>
        <v/>
      </c>
      <c r="H904" s="5" t="str">
        <f>IFERROR(IF(Portafolio_Proyectos!$AR301="","",Portafolio_Proyectos!$E301),"")</f>
        <v/>
      </c>
    </row>
    <row r="905" spans="1:8" x14ac:dyDescent="0.35">
      <c r="A905" s="5" t="str">
        <f>IFERROR(IF(Portafolio_Proyectos!$AP302="","","CAP-"&amp;ROW()-1),"")</f>
        <v/>
      </c>
      <c r="B905" s="5" t="str">
        <f>IFERROR(IF(Portafolio_Proyectos!$AP302="","",Portafolio_Proyectos!$AP302),"")</f>
        <v/>
      </c>
      <c r="C905" s="5" t="str">
        <f>IFERROR(IF(Portafolio_Proyectos!$AP302="","","Emergente"),"")</f>
        <v/>
      </c>
      <c r="D905" s="5" t="str">
        <f>IFERROR(IF(Portafolio_Proyectos!$AP302="","",Portafolio_Proyectos!$C302),"")</f>
        <v/>
      </c>
      <c r="E905" s="5" t="str">
        <f>IFERROR(IF(Portafolio_Proyectos!$AP302="","",Portafolio_Proyectos!$B302),"")</f>
        <v/>
      </c>
      <c r="F905" s="5" t="str">
        <f>IFERROR(IF(Portafolio_Proyectos!$AP302="","",Portafolio_Proyectos!$D302),"")</f>
        <v/>
      </c>
      <c r="G905" s="5" t="str">
        <f>IFERROR(IF(Portafolio_Proyectos!$AP302="","",Portafolio_Proyectos!$A302),"")</f>
        <v/>
      </c>
      <c r="H905" s="5" t="str">
        <f>IFERROR(IF(Portafolio_Proyectos!$AP302="","",Portafolio_Proyectos!$E302),"")</f>
        <v/>
      </c>
    </row>
    <row r="906" spans="1:8" x14ac:dyDescent="0.35">
      <c r="A906" s="5" t="str">
        <f>IFERROR(IF(Portafolio_Proyectos!$AQ302="","","CAP-"&amp;ROW()-1),"")</f>
        <v/>
      </c>
      <c r="B906" s="5" t="str">
        <f>IFERROR(IF(Portafolio_Proyectos!$AQ302="","",Portafolio_Proyectos!$AQ302),"")</f>
        <v/>
      </c>
      <c r="C906" s="5" t="str">
        <f>IFERROR(IF(Portafolio_Proyectos!$AQ302="","","Consolidada"),"")</f>
        <v/>
      </c>
      <c r="D906" s="5" t="str">
        <f>IFERROR(IF(Portafolio_Proyectos!$AQ302="","",Portafolio_Proyectos!$C302),"")</f>
        <v/>
      </c>
      <c r="E906" s="5" t="str">
        <f>IFERROR(IF(Portafolio_Proyectos!$AQ302="","",Portafolio_Proyectos!$B302),"")</f>
        <v/>
      </c>
      <c r="F906" s="5" t="str">
        <f>IFERROR(IF(Portafolio_Proyectos!$AQ302="","",Portafolio_Proyectos!$D302),"")</f>
        <v/>
      </c>
      <c r="G906" s="5" t="str">
        <f>IFERROR(IF(Portafolio_Proyectos!$AQ302="","",Portafolio_Proyectos!$A302),"")</f>
        <v/>
      </c>
      <c r="H906" s="5" t="str">
        <f>IFERROR(IF(Portafolio_Proyectos!$AQ302="","",Portafolio_Proyectos!$E302),"")</f>
        <v/>
      </c>
    </row>
    <row r="907" spans="1:8" x14ac:dyDescent="0.35">
      <c r="A907" s="5" t="str">
        <f>IFERROR(IF(Portafolio_Proyectos!$AR302="","","CAP-"&amp;ROW()-1),"")</f>
        <v/>
      </c>
      <c r="B907" s="5" t="str">
        <f>IFERROR(IF(Portafolio_Proyectos!$AR302="","",Portafolio_Proyectos!$AR302),"")</f>
        <v/>
      </c>
      <c r="C907" s="5" t="str">
        <f>IFERROR(IF(Portafolio_Proyectos!$AR302="","","Distintiva"),"")</f>
        <v/>
      </c>
      <c r="D907" s="5" t="str">
        <f>IFERROR(IF(Portafolio_Proyectos!$AR302="","",Portafolio_Proyectos!$C302),"")</f>
        <v/>
      </c>
      <c r="E907" s="5" t="str">
        <f>IFERROR(IF(Portafolio_Proyectos!$AR302="","",Portafolio_Proyectos!$B302),"")</f>
        <v/>
      </c>
      <c r="F907" s="5" t="str">
        <f>IFERROR(IF(Portafolio_Proyectos!$AR302="","",Portafolio_Proyectos!$D302),"")</f>
        <v/>
      </c>
      <c r="G907" s="5" t="str">
        <f>IFERROR(IF(Portafolio_Proyectos!$AR302="","",Portafolio_Proyectos!$A302),"")</f>
        <v/>
      </c>
      <c r="H907" s="5" t="str">
        <f>IFERROR(IF(Portafolio_Proyectos!$AR302="","",Portafolio_Proyectos!$E302),"")</f>
        <v/>
      </c>
    </row>
    <row r="908" spans="1:8" x14ac:dyDescent="0.35">
      <c r="A908" s="5" t="str">
        <f>IFERROR(IF(Portafolio_Proyectos!$AP303="","","CAP-"&amp;ROW()-1),"")</f>
        <v/>
      </c>
      <c r="B908" s="5" t="str">
        <f>IFERROR(IF(Portafolio_Proyectos!$AP303="","",Portafolio_Proyectos!$AP303),"")</f>
        <v/>
      </c>
      <c r="C908" s="5" t="str">
        <f>IFERROR(IF(Portafolio_Proyectos!$AP303="","","Emergente"),"")</f>
        <v/>
      </c>
      <c r="D908" s="5" t="str">
        <f>IFERROR(IF(Portafolio_Proyectos!$AP303="","",Portafolio_Proyectos!$C303),"")</f>
        <v/>
      </c>
      <c r="E908" s="5" t="str">
        <f>IFERROR(IF(Portafolio_Proyectos!$AP303="","",Portafolio_Proyectos!$B303),"")</f>
        <v/>
      </c>
      <c r="F908" s="5" t="str">
        <f>IFERROR(IF(Portafolio_Proyectos!$AP303="","",Portafolio_Proyectos!$D303),"")</f>
        <v/>
      </c>
      <c r="G908" s="5" t="str">
        <f>IFERROR(IF(Portafolio_Proyectos!$AP303="","",Portafolio_Proyectos!$A303),"")</f>
        <v/>
      </c>
      <c r="H908" s="5" t="str">
        <f>IFERROR(IF(Portafolio_Proyectos!$AP303="","",Portafolio_Proyectos!$E303),"")</f>
        <v/>
      </c>
    </row>
    <row r="909" spans="1:8" x14ac:dyDescent="0.35">
      <c r="A909" s="5" t="str">
        <f>IFERROR(IF(Portafolio_Proyectos!$AQ303="","","CAP-"&amp;ROW()-1),"")</f>
        <v/>
      </c>
      <c r="B909" s="5" t="str">
        <f>IFERROR(IF(Portafolio_Proyectos!$AQ303="","",Portafolio_Proyectos!$AQ303),"")</f>
        <v/>
      </c>
      <c r="C909" s="5" t="str">
        <f>IFERROR(IF(Portafolio_Proyectos!$AQ303="","","Consolidada"),"")</f>
        <v/>
      </c>
      <c r="D909" s="5" t="str">
        <f>IFERROR(IF(Portafolio_Proyectos!$AQ303="","",Portafolio_Proyectos!$C303),"")</f>
        <v/>
      </c>
      <c r="E909" s="5" t="str">
        <f>IFERROR(IF(Portafolio_Proyectos!$AQ303="","",Portafolio_Proyectos!$B303),"")</f>
        <v/>
      </c>
      <c r="F909" s="5" t="str">
        <f>IFERROR(IF(Portafolio_Proyectos!$AQ303="","",Portafolio_Proyectos!$D303),"")</f>
        <v/>
      </c>
      <c r="G909" s="5" t="str">
        <f>IFERROR(IF(Portafolio_Proyectos!$AQ303="","",Portafolio_Proyectos!$A303),"")</f>
        <v/>
      </c>
      <c r="H909" s="5" t="str">
        <f>IFERROR(IF(Portafolio_Proyectos!$AQ303="","",Portafolio_Proyectos!$E303),"")</f>
        <v/>
      </c>
    </row>
    <row r="910" spans="1:8" x14ac:dyDescent="0.35">
      <c r="A910" s="5" t="str">
        <f>IFERROR(IF(Portafolio_Proyectos!$AR303="","","CAP-"&amp;ROW()-1),"")</f>
        <v/>
      </c>
      <c r="B910" s="5" t="str">
        <f>IFERROR(IF(Portafolio_Proyectos!$AR303="","",Portafolio_Proyectos!$AR303),"")</f>
        <v/>
      </c>
      <c r="C910" s="5" t="str">
        <f>IFERROR(IF(Portafolio_Proyectos!$AR303="","","Distintiva"),"")</f>
        <v/>
      </c>
      <c r="D910" s="5" t="str">
        <f>IFERROR(IF(Portafolio_Proyectos!$AR303="","",Portafolio_Proyectos!$C303),"")</f>
        <v/>
      </c>
      <c r="E910" s="5" t="str">
        <f>IFERROR(IF(Portafolio_Proyectos!$AR303="","",Portafolio_Proyectos!$B303),"")</f>
        <v/>
      </c>
      <c r="F910" s="5" t="str">
        <f>IFERROR(IF(Portafolio_Proyectos!$AR303="","",Portafolio_Proyectos!$D303),"")</f>
        <v/>
      </c>
      <c r="G910" s="5" t="str">
        <f>IFERROR(IF(Portafolio_Proyectos!$AR303="","",Portafolio_Proyectos!$A303),"")</f>
        <v/>
      </c>
      <c r="H910" s="5" t="str">
        <f>IFERROR(IF(Portafolio_Proyectos!$AR303="","",Portafolio_Proyectos!$E303),"")</f>
        <v/>
      </c>
    </row>
    <row r="911" spans="1:8" x14ac:dyDescent="0.35">
      <c r="A911" s="5" t="str">
        <f>IFERROR(IF(Portafolio_Proyectos!$AP304="","","CAP-"&amp;ROW()-1),"")</f>
        <v/>
      </c>
      <c r="B911" s="5" t="str">
        <f>IFERROR(IF(Portafolio_Proyectos!$AP304="","",Portafolio_Proyectos!$AP304),"")</f>
        <v/>
      </c>
      <c r="C911" s="5" t="str">
        <f>IFERROR(IF(Portafolio_Proyectos!$AP304="","","Emergente"),"")</f>
        <v/>
      </c>
      <c r="D911" s="5" t="str">
        <f>IFERROR(IF(Portafolio_Proyectos!$AP304="","",Portafolio_Proyectos!$C304),"")</f>
        <v/>
      </c>
      <c r="E911" s="5" t="str">
        <f>IFERROR(IF(Portafolio_Proyectos!$AP304="","",Portafolio_Proyectos!$B304),"")</f>
        <v/>
      </c>
      <c r="F911" s="5" t="str">
        <f>IFERROR(IF(Portafolio_Proyectos!$AP304="","",Portafolio_Proyectos!$D304),"")</f>
        <v/>
      </c>
      <c r="G911" s="5" t="str">
        <f>IFERROR(IF(Portafolio_Proyectos!$AP304="","",Portafolio_Proyectos!$A304),"")</f>
        <v/>
      </c>
      <c r="H911" s="5" t="str">
        <f>IFERROR(IF(Portafolio_Proyectos!$AP304="","",Portafolio_Proyectos!$E304),"")</f>
        <v/>
      </c>
    </row>
    <row r="912" spans="1:8" x14ac:dyDescent="0.35">
      <c r="A912" s="5" t="str">
        <f>IFERROR(IF(Portafolio_Proyectos!$AQ304="","","CAP-"&amp;ROW()-1),"")</f>
        <v/>
      </c>
      <c r="B912" s="5" t="str">
        <f>IFERROR(IF(Portafolio_Proyectos!$AQ304="","",Portafolio_Proyectos!$AQ304),"")</f>
        <v/>
      </c>
      <c r="C912" s="5" t="str">
        <f>IFERROR(IF(Portafolio_Proyectos!$AQ304="","","Consolidada"),"")</f>
        <v/>
      </c>
      <c r="D912" s="5" t="str">
        <f>IFERROR(IF(Portafolio_Proyectos!$AQ304="","",Portafolio_Proyectos!$C304),"")</f>
        <v/>
      </c>
      <c r="E912" s="5" t="str">
        <f>IFERROR(IF(Portafolio_Proyectos!$AQ304="","",Portafolio_Proyectos!$B304),"")</f>
        <v/>
      </c>
      <c r="F912" s="5" t="str">
        <f>IFERROR(IF(Portafolio_Proyectos!$AQ304="","",Portafolio_Proyectos!$D304),"")</f>
        <v/>
      </c>
      <c r="G912" s="5" t="str">
        <f>IFERROR(IF(Portafolio_Proyectos!$AQ304="","",Portafolio_Proyectos!$A304),"")</f>
        <v/>
      </c>
      <c r="H912" s="5" t="str">
        <f>IFERROR(IF(Portafolio_Proyectos!$AQ304="","",Portafolio_Proyectos!$E304),"")</f>
        <v/>
      </c>
    </row>
    <row r="913" spans="1:8" x14ac:dyDescent="0.35">
      <c r="A913" s="5" t="str">
        <f>IFERROR(IF(Portafolio_Proyectos!$AR304="","","CAP-"&amp;ROW()-1),"")</f>
        <v/>
      </c>
      <c r="B913" s="5" t="str">
        <f>IFERROR(IF(Portafolio_Proyectos!$AR304="","",Portafolio_Proyectos!$AR304),"")</f>
        <v/>
      </c>
      <c r="C913" s="5" t="str">
        <f>IFERROR(IF(Portafolio_Proyectos!$AR304="","","Distintiva"),"")</f>
        <v/>
      </c>
      <c r="D913" s="5" t="str">
        <f>IFERROR(IF(Portafolio_Proyectos!$AR304="","",Portafolio_Proyectos!$C304),"")</f>
        <v/>
      </c>
      <c r="E913" s="5" t="str">
        <f>IFERROR(IF(Portafolio_Proyectos!$AR304="","",Portafolio_Proyectos!$B304),"")</f>
        <v/>
      </c>
      <c r="F913" s="5" t="str">
        <f>IFERROR(IF(Portafolio_Proyectos!$AR304="","",Portafolio_Proyectos!$D304),"")</f>
        <v/>
      </c>
      <c r="G913" s="5" t="str">
        <f>IFERROR(IF(Portafolio_Proyectos!$AR304="","",Portafolio_Proyectos!$A304),"")</f>
        <v/>
      </c>
      <c r="H913" s="5" t="str">
        <f>IFERROR(IF(Portafolio_Proyectos!$AR304="","",Portafolio_Proyectos!$E304),"")</f>
        <v/>
      </c>
    </row>
    <row r="914" spans="1:8" x14ac:dyDescent="0.35">
      <c r="A914" s="5" t="str">
        <f>IFERROR(IF(Portafolio_Proyectos!$AP305="","","CAP-"&amp;ROW()-1),"")</f>
        <v/>
      </c>
      <c r="B914" s="5" t="str">
        <f>IFERROR(IF(Portafolio_Proyectos!$AP305="","",Portafolio_Proyectos!$AP305),"")</f>
        <v/>
      </c>
      <c r="C914" s="5" t="str">
        <f>IFERROR(IF(Portafolio_Proyectos!$AP305="","","Emergente"),"")</f>
        <v/>
      </c>
      <c r="D914" s="5" t="str">
        <f>IFERROR(IF(Portafolio_Proyectos!$AP305="","",Portafolio_Proyectos!$C305),"")</f>
        <v/>
      </c>
      <c r="E914" s="5" t="str">
        <f>IFERROR(IF(Portafolio_Proyectos!$AP305="","",Portafolio_Proyectos!$B305),"")</f>
        <v/>
      </c>
      <c r="F914" s="5" t="str">
        <f>IFERROR(IF(Portafolio_Proyectos!$AP305="","",Portafolio_Proyectos!$D305),"")</f>
        <v/>
      </c>
      <c r="G914" s="5" t="str">
        <f>IFERROR(IF(Portafolio_Proyectos!$AP305="","",Portafolio_Proyectos!$A305),"")</f>
        <v/>
      </c>
      <c r="H914" s="5" t="str">
        <f>IFERROR(IF(Portafolio_Proyectos!$AP305="","",Portafolio_Proyectos!$E305),"")</f>
        <v/>
      </c>
    </row>
    <row r="915" spans="1:8" x14ac:dyDescent="0.35">
      <c r="A915" s="5" t="str">
        <f>IFERROR(IF(Portafolio_Proyectos!$AQ305="","","CAP-"&amp;ROW()-1),"")</f>
        <v/>
      </c>
      <c r="B915" s="5" t="str">
        <f>IFERROR(IF(Portafolio_Proyectos!$AQ305="","",Portafolio_Proyectos!$AQ305),"")</f>
        <v/>
      </c>
      <c r="C915" s="5" t="str">
        <f>IFERROR(IF(Portafolio_Proyectos!$AQ305="","","Consolidada"),"")</f>
        <v/>
      </c>
      <c r="D915" s="5" t="str">
        <f>IFERROR(IF(Portafolio_Proyectos!$AQ305="","",Portafolio_Proyectos!$C305),"")</f>
        <v/>
      </c>
      <c r="E915" s="5" t="str">
        <f>IFERROR(IF(Portafolio_Proyectos!$AQ305="","",Portafolio_Proyectos!$B305),"")</f>
        <v/>
      </c>
      <c r="F915" s="5" t="str">
        <f>IFERROR(IF(Portafolio_Proyectos!$AQ305="","",Portafolio_Proyectos!$D305),"")</f>
        <v/>
      </c>
      <c r="G915" s="5" t="str">
        <f>IFERROR(IF(Portafolio_Proyectos!$AQ305="","",Portafolio_Proyectos!$A305),"")</f>
        <v/>
      </c>
      <c r="H915" s="5" t="str">
        <f>IFERROR(IF(Portafolio_Proyectos!$AQ305="","",Portafolio_Proyectos!$E305),"")</f>
        <v/>
      </c>
    </row>
    <row r="916" spans="1:8" x14ac:dyDescent="0.35">
      <c r="A916" s="5" t="str">
        <f>IFERROR(IF(Portafolio_Proyectos!$AR305="","","CAP-"&amp;ROW()-1),"")</f>
        <v/>
      </c>
      <c r="B916" s="5" t="str">
        <f>IFERROR(IF(Portafolio_Proyectos!$AR305="","",Portafolio_Proyectos!$AR305),"")</f>
        <v/>
      </c>
      <c r="C916" s="5" t="str">
        <f>IFERROR(IF(Portafolio_Proyectos!$AR305="","","Distintiva"),"")</f>
        <v/>
      </c>
      <c r="D916" s="5" t="str">
        <f>IFERROR(IF(Portafolio_Proyectos!$AR305="","",Portafolio_Proyectos!$C305),"")</f>
        <v/>
      </c>
      <c r="E916" s="5" t="str">
        <f>IFERROR(IF(Portafolio_Proyectos!$AR305="","",Portafolio_Proyectos!$B305),"")</f>
        <v/>
      </c>
      <c r="F916" s="5" t="str">
        <f>IFERROR(IF(Portafolio_Proyectos!$AR305="","",Portafolio_Proyectos!$D305),"")</f>
        <v/>
      </c>
      <c r="G916" s="5" t="str">
        <f>IFERROR(IF(Portafolio_Proyectos!$AR305="","",Portafolio_Proyectos!$A305),"")</f>
        <v/>
      </c>
      <c r="H916" s="5" t="str">
        <f>IFERROR(IF(Portafolio_Proyectos!$AR305="","",Portafolio_Proyectos!$E305),"")</f>
        <v/>
      </c>
    </row>
    <row r="917" spans="1:8" x14ac:dyDescent="0.35">
      <c r="A917" s="5" t="str">
        <f>IFERROR(IF(Portafolio_Proyectos!$AP306="","","CAP-"&amp;ROW()-1),"")</f>
        <v/>
      </c>
      <c r="B917" s="5" t="str">
        <f>IFERROR(IF(Portafolio_Proyectos!$AP306="","",Portafolio_Proyectos!$AP306),"")</f>
        <v/>
      </c>
      <c r="C917" s="5" t="str">
        <f>IFERROR(IF(Portafolio_Proyectos!$AP306="","","Emergente"),"")</f>
        <v/>
      </c>
      <c r="D917" s="5" t="str">
        <f>IFERROR(IF(Portafolio_Proyectos!$AP306="","",Portafolio_Proyectos!$C306),"")</f>
        <v/>
      </c>
      <c r="E917" s="5" t="str">
        <f>IFERROR(IF(Portafolio_Proyectos!$AP306="","",Portafolio_Proyectos!$B306),"")</f>
        <v/>
      </c>
      <c r="F917" s="5" t="str">
        <f>IFERROR(IF(Portafolio_Proyectos!$AP306="","",Portafolio_Proyectos!$D306),"")</f>
        <v/>
      </c>
      <c r="G917" s="5" t="str">
        <f>IFERROR(IF(Portafolio_Proyectos!$AP306="","",Portafolio_Proyectos!$A306),"")</f>
        <v/>
      </c>
      <c r="H917" s="5" t="str">
        <f>IFERROR(IF(Portafolio_Proyectos!$AP306="","",Portafolio_Proyectos!$E306),"")</f>
        <v/>
      </c>
    </row>
    <row r="918" spans="1:8" x14ac:dyDescent="0.35">
      <c r="A918" s="5" t="str">
        <f>IFERROR(IF(Portafolio_Proyectos!$AQ306="","","CAP-"&amp;ROW()-1),"")</f>
        <v/>
      </c>
      <c r="B918" s="5" t="str">
        <f>IFERROR(IF(Portafolio_Proyectos!$AQ306="","",Portafolio_Proyectos!$AQ306),"")</f>
        <v/>
      </c>
      <c r="C918" s="5" t="str">
        <f>IFERROR(IF(Portafolio_Proyectos!$AQ306="","","Consolidada"),"")</f>
        <v/>
      </c>
      <c r="D918" s="5" t="str">
        <f>IFERROR(IF(Portafolio_Proyectos!$AQ306="","",Portafolio_Proyectos!$C306),"")</f>
        <v/>
      </c>
      <c r="E918" s="5" t="str">
        <f>IFERROR(IF(Portafolio_Proyectos!$AQ306="","",Portafolio_Proyectos!$B306),"")</f>
        <v/>
      </c>
      <c r="F918" s="5" t="str">
        <f>IFERROR(IF(Portafolio_Proyectos!$AQ306="","",Portafolio_Proyectos!$D306),"")</f>
        <v/>
      </c>
      <c r="G918" s="5" t="str">
        <f>IFERROR(IF(Portafolio_Proyectos!$AQ306="","",Portafolio_Proyectos!$A306),"")</f>
        <v/>
      </c>
      <c r="H918" s="5" t="str">
        <f>IFERROR(IF(Portafolio_Proyectos!$AQ306="","",Portafolio_Proyectos!$E306),"")</f>
        <v/>
      </c>
    </row>
    <row r="919" spans="1:8" x14ac:dyDescent="0.35">
      <c r="A919" s="5" t="str">
        <f>IFERROR(IF(Portafolio_Proyectos!$AR306="","","CAP-"&amp;ROW()-1),"")</f>
        <v/>
      </c>
      <c r="B919" s="5" t="str">
        <f>IFERROR(IF(Portafolio_Proyectos!$AR306="","",Portafolio_Proyectos!$AR306),"")</f>
        <v/>
      </c>
      <c r="C919" s="5" t="str">
        <f>IFERROR(IF(Portafolio_Proyectos!$AR306="","","Distintiva"),"")</f>
        <v/>
      </c>
      <c r="D919" s="5" t="str">
        <f>IFERROR(IF(Portafolio_Proyectos!$AR306="","",Portafolio_Proyectos!$C306),"")</f>
        <v/>
      </c>
      <c r="E919" s="5" t="str">
        <f>IFERROR(IF(Portafolio_Proyectos!$AR306="","",Portafolio_Proyectos!$B306),"")</f>
        <v/>
      </c>
      <c r="F919" s="5" t="str">
        <f>IFERROR(IF(Portafolio_Proyectos!$AR306="","",Portafolio_Proyectos!$D306),"")</f>
        <v/>
      </c>
      <c r="G919" s="5" t="str">
        <f>IFERROR(IF(Portafolio_Proyectos!$AR306="","",Portafolio_Proyectos!$A306),"")</f>
        <v/>
      </c>
      <c r="H919" s="5" t="str">
        <f>IFERROR(IF(Portafolio_Proyectos!$AR306="","",Portafolio_Proyectos!$E306),"")</f>
        <v/>
      </c>
    </row>
    <row r="920" spans="1:8" x14ac:dyDescent="0.35">
      <c r="A920" s="5" t="str">
        <f>IFERROR(IF(Portafolio_Proyectos!$AP307="","","CAP-"&amp;ROW()-1),"")</f>
        <v/>
      </c>
      <c r="B920" s="5" t="str">
        <f>IFERROR(IF(Portafolio_Proyectos!$AP307="","",Portafolio_Proyectos!$AP307),"")</f>
        <v/>
      </c>
      <c r="C920" s="5" t="str">
        <f>IFERROR(IF(Portafolio_Proyectos!$AP307="","","Emergente"),"")</f>
        <v/>
      </c>
      <c r="D920" s="5" t="str">
        <f>IFERROR(IF(Portafolio_Proyectos!$AP307="","",Portafolio_Proyectos!$C307),"")</f>
        <v/>
      </c>
      <c r="E920" s="5" t="str">
        <f>IFERROR(IF(Portafolio_Proyectos!$AP307="","",Portafolio_Proyectos!$B307),"")</f>
        <v/>
      </c>
      <c r="F920" s="5" t="str">
        <f>IFERROR(IF(Portafolio_Proyectos!$AP307="","",Portafolio_Proyectos!$D307),"")</f>
        <v/>
      </c>
      <c r="G920" s="5" t="str">
        <f>IFERROR(IF(Portafolio_Proyectos!$AP307="","",Portafolio_Proyectos!$A307),"")</f>
        <v/>
      </c>
      <c r="H920" s="5" t="str">
        <f>IFERROR(IF(Portafolio_Proyectos!$AP307="","",Portafolio_Proyectos!$E307),"")</f>
        <v/>
      </c>
    </row>
    <row r="921" spans="1:8" x14ac:dyDescent="0.35">
      <c r="A921" s="5" t="str">
        <f>IFERROR(IF(Portafolio_Proyectos!$AQ307="","","CAP-"&amp;ROW()-1),"")</f>
        <v/>
      </c>
      <c r="B921" s="5" t="str">
        <f>IFERROR(IF(Portafolio_Proyectos!$AQ307="","",Portafolio_Proyectos!$AQ307),"")</f>
        <v/>
      </c>
      <c r="C921" s="5" t="str">
        <f>IFERROR(IF(Portafolio_Proyectos!$AQ307="","","Consolidada"),"")</f>
        <v/>
      </c>
      <c r="D921" s="5" t="str">
        <f>IFERROR(IF(Portafolio_Proyectos!$AQ307="","",Portafolio_Proyectos!$C307),"")</f>
        <v/>
      </c>
      <c r="E921" s="5" t="str">
        <f>IFERROR(IF(Portafolio_Proyectos!$AQ307="","",Portafolio_Proyectos!$B307),"")</f>
        <v/>
      </c>
      <c r="F921" s="5" t="str">
        <f>IFERROR(IF(Portafolio_Proyectos!$AQ307="","",Portafolio_Proyectos!$D307),"")</f>
        <v/>
      </c>
      <c r="G921" s="5" t="str">
        <f>IFERROR(IF(Portafolio_Proyectos!$AQ307="","",Portafolio_Proyectos!$A307),"")</f>
        <v/>
      </c>
      <c r="H921" s="5" t="str">
        <f>IFERROR(IF(Portafolio_Proyectos!$AQ307="","",Portafolio_Proyectos!$E307),"")</f>
        <v/>
      </c>
    </row>
    <row r="922" spans="1:8" x14ac:dyDescent="0.35">
      <c r="A922" s="5" t="str">
        <f>IFERROR(IF(Portafolio_Proyectos!$AR307="","","CAP-"&amp;ROW()-1),"")</f>
        <v/>
      </c>
      <c r="B922" s="5" t="str">
        <f>IFERROR(IF(Portafolio_Proyectos!$AR307="","",Portafolio_Proyectos!$AR307),"")</f>
        <v/>
      </c>
      <c r="C922" s="5" t="str">
        <f>IFERROR(IF(Portafolio_Proyectos!$AR307="","","Distintiva"),"")</f>
        <v/>
      </c>
      <c r="D922" s="5" t="str">
        <f>IFERROR(IF(Portafolio_Proyectos!$AR307="","",Portafolio_Proyectos!$C307),"")</f>
        <v/>
      </c>
      <c r="E922" s="5" t="str">
        <f>IFERROR(IF(Portafolio_Proyectos!$AR307="","",Portafolio_Proyectos!$B307),"")</f>
        <v/>
      </c>
      <c r="F922" s="5" t="str">
        <f>IFERROR(IF(Portafolio_Proyectos!$AR307="","",Portafolio_Proyectos!$D307),"")</f>
        <v/>
      </c>
      <c r="G922" s="5" t="str">
        <f>IFERROR(IF(Portafolio_Proyectos!$AR307="","",Portafolio_Proyectos!$A307),"")</f>
        <v/>
      </c>
      <c r="H922" s="5" t="str">
        <f>IFERROR(IF(Portafolio_Proyectos!$AR307="","",Portafolio_Proyectos!$E307),"")</f>
        <v/>
      </c>
    </row>
    <row r="923" spans="1:8" x14ac:dyDescent="0.35">
      <c r="A923" s="5" t="str">
        <f>IFERROR(IF(Portafolio_Proyectos!$AP308="","","CAP-"&amp;ROW()-1),"")</f>
        <v/>
      </c>
      <c r="B923" s="5" t="str">
        <f>IFERROR(IF(Portafolio_Proyectos!$AP308="","",Portafolio_Proyectos!$AP308),"")</f>
        <v/>
      </c>
      <c r="C923" s="5" t="str">
        <f>IFERROR(IF(Portafolio_Proyectos!$AP308="","","Emergente"),"")</f>
        <v/>
      </c>
      <c r="D923" s="5" t="str">
        <f>IFERROR(IF(Portafolio_Proyectos!$AP308="","",Portafolio_Proyectos!$C308),"")</f>
        <v/>
      </c>
      <c r="E923" s="5" t="str">
        <f>IFERROR(IF(Portafolio_Proyectos!$AP308="","",Portafolio_Proyectos!$B308),"")</f>
        <v/>
      </c>
      <c r="F923" s="5" t="str">
        <f>IFERROR(IF(Portafolio_Proyectos!$AP308="","",Portafolio_Proyectos!$D308),"")</f>
        <v/>
      </c>
      <c r="G923" s="5" t="str">
        <f>IFERROR(IF(Portafolio_Proyectos!$AP308="","",Portafolio_Proyectos!$A308),"")</f>
        <v/>
      </c>
      <c r="H923" s="5" t="str">
        <f>IFERROR(IF(Portafolio_Proyectos!$AP308="","",Portafolio_Proyectos!$E308),"")</f>
        <v/>
      </c>
    </row>
    <row r="924" spans="1:8" x14ac:dyDescent="0.35">
      <c r="A924" s="5" t="str">
        <f>IFERROR(IF(Portafolio_Proyectos!$AQ308="","","CAP-"&amp;ROW()-1),"")</f>
        <v/>
      </c>
      <c r="B924" s="5" t="str">
        <f>IFERROR(IF(Portafolio_Proyectos!$AQ308="","",Portafolio_Proyectos!$AQ308),"")</f>
        <v/>
      </c>
      <c r="C924" s="5" t="str">
        <f>IFERROR(IF(Portafolio_Proyectos!$AQ308="","","Consolidada"),"")</f>
        <v/>
      </c>
      <c r="D924" s="5" t="str">
        <f>IFERROR(IF(Portafolio_Proyectos!$AQ308="","",Portafolio_Proyectos!$C308),"")</f>
        <v/>
      </c>
      <c r="E924" s="5" t="str">
        <f>IFERROR(IF(Portafolio_Proyectos!$AQ308="","",Portafolio_Proyectos!$B308),"")</f>
        <v/>
      </c>
      <c r="F924" s="5" t="str">
        <f>IFERROR(IF(Portafolio_Proyectos!$AQ308="","",Portafolio_Proyectos!$D308),"")</f>
        <v/>
      </c>
      <c r="G924" s="5" t="str">
        <f>IFERROR(IF(Portafolio_Proyectos!$AQ308="","",Portafolio_Proyectos!$A308),"")</f>
        <v/>
      </c>
      <c r="H924" s="5" t="str">
        <f>IFERROR(IF(Portafolio_Proyectos!$AQ308="","",Portafolio_Proyectos!$E308),"")</f>
        <v/>
      </c>
    </row>
    <row r="925" spans="1:8" x14ac:dyDescent="0.35">
      <c r="A925" s="5" t="str">
        <f>IFERROR(IF(Portafolio_Proyectos!$AR308="","","CAP-"&amp;ROW()-1),"")</f>
        <v/>
      </c>
      <c r="B925" s="5" t="str">
        <f>IFERROR(IF(Portafolio_Proyectos!$AR308="","",Portafolio_Proyectos!$AR308),"")</f>
        <v/>
      </c>
      <c r="C925" s="5" t="str">
        <f>IFERROR(IF(Portafolio_Proyectos!$AR308="","","Distintiva"),"")</f>
        <v/>
      </c>
      <c r="D925" s="5" t="str">
        <f>IFERROR(IF(Portafolio_Proyectos!$AR308="","",Portafolio_Proyectos!$C308),"")</f>
        <v/>
      </c>
      <c r="E925" s="5" t="str">
        <f>IFERROR(IF(Portafolio_Proyectos!$AR308="","",Portafolio_Proyectos!$B308),"")</f>
        <v/>
      </c>
      <c r="F925" s="5" t="str">
        <f>IFERROR(IF(Portafolio_Proyectos!$AR308="","",Portafolio_Proyectos!$D308),"")</f>
        <v/>
      </c>
      <c r="G925" s="5" t="str">
        <f>IFERROR(IF(Portafolio_Proyectos!$AR308="","",Portafolio_Proyectos!$A308),"")</f>
        <v/>
      </c>
      <c r="H925" s="5" t="str">
        <f>IFERROR(IF(Portafolio_Proyectos!$AR308="","",Portafolio_Proyectos!$E308),"")</f>
        <v/>
      </c>
    </row>
    <row r="926" spans="1:8" x14ac:dyDescent="0.35">
      <c r="A926" s="5" t="str">
        <f>IFERROR(IF(Portafolio_Proyectos!$AP309="","","CAP-"&amp;ROW()-1),"")</f>
        <v/>
      </c>
      <c r="B926" s="5" t="str">
        <f>IFERROR(IF(Portafolio_Proyectos!$AP309="","",Portafolio_Proyectos!$AP309),"")</f>
        <v/>
      </c>
      <c r="C926" s="5" t="str">
        <f>IFERROR(IF(Portafolio_Proyectos!$AP309="","","Emergente"),"")</f>
        <v/>
      </c>
      <c r="D926" s="5" t="str">
        <f>IFERROR(IF(Portafolio_Proyectos!$AP309="","",Portafolio_Proyectos!$C309),"")</f>
        <v/>
      </c>
      <c r="E926" s="5" t="str">
        <f>IFERROR(IF(Portafolio_Proyectos!$AP309="","",Portafolio_Proyectos!$B309),"")</f>
        <v/>
      </c>
      <c r="F926" s="5" t="str">
        <f>IFERROR(IF(Portafolio_Proyectos!$AP309="","",Portafolio_Proyectos!$D309),"")</f>
        <v/>
      </c>
      <c r="G926" s="5" t="str">
        <f>IFERROR(IF(Portafolio_Proyectos!$AP309="","",Portafolio_Proyectos!$A309),"")</f>
        <v/>
      </c>
      <c r="H926" s="5" t="str">
        <f>IFERROR(IF(Portafolio_Proyectos!$AP309="","",Portafolio_Proyectos!$E309),"")</f>
        <v/>
      </c>
    </row>
    <row r="927" spans="1:8" x14ac:dyDescent="0.35">
      <c r="A927" s="5" t="str">
        <f>IFERROR(IF(Portafolio_Proyectos!$AQ309="","","CAP-"&amp;ROW()-1),"")</f>
        <v/>
      </c>
      <c r="B927" s="5" t="str">
        <f>IFERROR(IF(Portafolio_Proyectos!$AQ309="","",Portafolio_Proyectos!$AQ309),"")</f>
        <v/>
      </c>
      <c r="C927" s="5" t="str">
        <f>IFERROR(IF(Portafolio_Proyectos!$AQ309="","","Consolidada"),"")</f>
        <v/>
      </c>
      <c r="D927" s="5" t="str">
        <f>IFERROR(IF(Portafolio_Proyectos!$AQ309="","",Portafolio_Proyectos!$C309),"")</f>
        <v/>
      </c>
      <c r="E927" s="5" t="str">
        <f>IFERROR(IF(Portafolio_Proyectos!$AQ309="","",Portafolio_Proyectos!$B309),"")</f>
        <v/>
      </c>
      <c r="F927" s="5" t="str">
        <f>IFERROR(IF(Portafolio_Proyectos!$AQ309="","",Portafolio_Proyectos!$D309),"")</f>
        <v/>
      </c>
      <c r="G927" s="5" t="str">
        <f>IFERROR(IF(Portafolio_Proyectos!$AQ309="","",Portafolio_Proyectos!$A309),"")</f>
        <v/>
      </c>
      <c r="H927" s="5" t="str">
        <f>IFERROR(IF(Portafolio_Proyectos!$AQ309="","",Portafolio_Proyectos!$E309),"")</f>
        <v/>
      </c>
    </row>
    <row r="928" spans="1:8" x14ac:dyDescent="0.35">
      <c r="A928" s="5" t="str">
        <f>IFERROR(IF(Portafolio_Proyectos!$AR309="","","CAP-"&amp;ROW()-1),"")</f>
        <v/>
      </c>
      <c r="B928" s="5" t="str">
        <f>IFERROR(IF(Portafolio_Proyectos!$AR309="","",Portafolio_Proyectos!$AR309),"")</f>
        <v/>
      </c>
      <c r="C928" s="5" t="str">
        <f>IFERROR(IF(Portafolio_Proyectos!$AR309="","","Distintiva"),"")</f>
        <v/>
      </c>
      <c r="D928" s="5" t="str">
        <f>IFERROR(IF(Portafolio_Proyectos!$AR309="","",Portafolio_Proyectos!$C309),"")</f>
        <v/>
      </c>
      <c r="E928" s="5" t="str">
        <f>IFERROR(IF(Portafolio_Proyectos!$AR309="","",Portafolio_Proyectos!$B309),"")</f>
        <v/>
      </c>
      <c r="F928" s="5" t="str">
        <f>IFERROR(IF(Portafolio_Proyectos!$AR309="","",Portafolio_Proyectos!$D309),"")</f>
        <v/>
      </c>
      <c r="G928" s="5" t="str">
        <f>IFERROR(IF(Portafolio_Proyectos!$AR309="","",Portafolio_Proyectos!$A309),"")</f>
        <v/>
      </c>
      <c r="H928" s="5" t="str">
        <f>IFERROR(IF(Portafolio_Proyectos!$AR309="","",Portafolio_Proyectos!$E309),"")</f>
        <v/>
      </c>
    </row>
    <row r="929" spans="1:8" x14ac:dyDescent="0.35">
      <c r="A929" s="5" t="str">
        <f>IFERROR(IF(Portafolio_Proyectos!$AP310="","","CAP-"&amp;ROW()-1),"")</f>
        <v/>
      </c>
      <c r="B929" s="5" t="str">
        <f>IFERROR(IF(Portafolio_Proyectos!$AP310="","",Portafolio_Proyectos!$AP310),"")</f>
        <v/>
      </c>
      <c r="C929" s="5" t="str">
        <f>IFERROR(IF(Portafolio_Proyectos!$AP310="","","Emergente"),"")</f>
        <v/>
      </c>
      <c r="D929" s="5" t="str">
        <f>IFERROR(IF(Portafolio_Proyectos!$AP310="","",Portafolio_Proyectos!$C310),"")</f>
        <v/>
      </c>
      <c r="E929" s="5" t="str">
        <f>IFERROR(IF(Portafolio_Proyectos!$AP310="","",Portafolio_Proyectos!$B310),"")</f>
        <v/>
      </c>
      <c r="F929" s="5" t="str">
        <f>IFERROR(IF(Portafolio_Proyectos!$AP310="","",Portafolio_Proyectos!$D310),"")</f>
        <v/>
      </c>
      <c r="G929" s="5" t="str">
        <f>IFERROR(IF(Portafolio_Proyectos!$AP310="","",Portafolio_Proyectos!$A310),"")</f>
        <v/>
      </c>
      <c r="H929" s="5" t="str">
        <f>IFERROR(IF(Portafolio_Proyectos!$AP310="","",Portafolio_Proyectos!$E310),"")</f>
        <v/>
      </c>
    </row>
    <row r="930" spans="1:8" x14ac:dyDescent="0.35">
      <c r="A930" s="5" t="str">
        <f>IFERROR(IF(Portafolio_Proyectos!$AQ310="","","CAP-"&amp;ROW()-1),"")</f>
        <v/>
      </c>
      <c r="B930" s="5" t="str">
        <f>IFERROR(IF(Portafolio_Proyectos!$AQ310="","",Portafolio_Proyectos!$AQ310),"")</f>
        <v/>
      </c>
      <c r="C930" s="5" t="str">
        <f>IFERROR(IF(Portafolio_Proyectos!$AQ310="","","Consolidada"),"")</f>
        <v/>
      </c>
      <c r="D930" s="5" t="str">
        <f>IFERROR(IF(Portafolio_Proyectos!$AQ310="","",Portafolio_Proyectos!$C310),"")</f>
        <v/>
      </c>
      <c r="E930" s="5" t="str">
        <f>IFERROR(IF(Portafolio_Proyectos!$AQ310="","",Portafolio_Proyectos!$B310),"")</f>
        <v/>
      </c>
      <c r="F930" s="5" t="str">
        <f>IFERROR(IF(Portafolio_Proyectos!$AQ310="","",Portafolio_Proyectos!$D310),"")</f>
        <v/>
      </c>
      <c r="G930" s="5" t="str">
        <f>IFERROR(IF(Portafolio_Proyectos!$AQ310="","",Portafolio_Proyectos!$A310),"")</f>
        <v/>
      </c>
      <c r="H930" s="5" t="str">
        <f>IFERROR(IF(Portafolio_Proyectos!$AQ310="","",Portafolio_Proyectos!$E310),"")</f>
        <v/>
      </c>
    </row>
    <row r="931" spans="1:8" x14ac:dyDescent="0.35">
      <c r="A931" s="5" t="str">
        <f>IFERROR(IF(Portafolio_Proyectos!$AR310="","","CAP-"&amp;ROW()-1),"")</f>
        <v/>
      </c>
      <c r="B931" s="5" t="str">
        <f>IFERROR(IF(Portafolio_Proyectos!$AR310="","",Portafolio_Proyectos!$AR310),"")</f>
        <v/>
      </c>
      <c r="C931" s="5" t="str">
        <f>IFERROR(IF(Portafolio_Proyectos!$AR310="","","Distintiva"),"")</f>
        <v/>
      </c>
      <c r="D931" s="5" t="str">
        <f>IFERROR(IF(Portafolio_Proyectos!$AR310="","",Portafolio_Proyectos!$C310),"")</f>
        <v/>
      </c>
      <c r="E931" s="5" t="str">
        <f>IFERROR(IF(Portafolio_Proyectos!$AR310="","",Portafolio_Proyectos!$B310),"")</f>
        <v/>
      </c>
      <c r="F931" s="5" t="str">
        <f>IFERROR(IF(Portafolio_Proyectos!$AR310="","",Portafolio_Proyectos!$D310),"")</f>
        <v/>
      </c>
      <c r="G931" s="5" t="str">
        <f>IFERROR(IF(Portafolio_Proyectos!$AR310="","",Portafolio_Proyectos!$A310),"")</f>
        <v/>
      </c>
      <c r="H931" s="5" t="str">
        <f>IFERROR(IF(Portafolio_Proyectos!$AR310="","",Portafolio_Proyectos!$E310),"")</f>
        <v/>
      </c>
    </row>
    <row r="932" spans="1:8" x14ac:dyDescent="0.35">
      <c r="A932" s="5" t="str">
        <f>IFERROR(IF(Portafolio_Proyectos!$AP311="","","CAP-"&amp;ROW()-1),"")</f>
        <v/>
      </c>
      <c r="B932" s="5" t="str">
        <f>IFERROR(IF(Portafolio_Proyectos!$AP311="","",Portafolio_Proyectos!$AP311),"")</f>
        <v/>
      </c>
      <c r="C932" s="5" t="str">
        <f>IFERROR(IF(Portafolio_Proyectos!$AP311="","","Emergente"),"")</f>
        <v/>
      </c>
      <c r="D932" s="5" t="str">
        <f>IFERROR(IF(Portafolio_Proyectos!$AP311="","",Portafolio_Proyectos!$C311),"")</f>
        <v/>
      </c>
      <c r="E932" s="5" t="str">
        <f>IFERROR(IF(Portafolio_Proyectos!$AP311="","",Portafolio_Proyectos!$B311),"")</f>
        <v/>
      </c>
      <c r="F932" s="5" t="str">
        <f>IFERROR(IF(Portafolio_Proyectos!$AP311="","",Portafolio_Proyectos!$D311),"")</f>
        <v/>
      </c>
      <c r="G932" s="5" t="str">
        <f>IFERROR(IF(Portafolio_Proyectos!$AP311="","",Portafolio_Proyectos!$A311),"")</f>
        <v/>
      </c>
      <c r="H932" s="5" t="str">
        <f>IFERROR(IF(Portafolio_Proyectos!$AP311="","",Portafolio_Proyectos!$E311),"")</f>
        <v/>
      </c>
    </row>
    <row r="933" spans="1:8" x14ac:dyDescent="0.35">
      <c r="A933" s="5" t="str">
        <f>IFERROR(IF(Portafolio_Proyectos!$AQ311="","","CAP-"&amp;ROW()-1),"")</f>
        <v/>
      </c>
      <c r="B933" s="5" t="str">
        <f>IFERROR(IF(Portafolio_Proyectos!$AQ311="","",Portafolio_Proyectos!$AQ311),"")</f>
        <v/>
      </c>
      <c r="C933" s="5" t="str">
        <f>IFERROR(IF(Portafolio_Proyectos!$AQ311="","","Consolidada"),"")</f>
        <v/>
      </c>
      <c r="D933" s="5" t="str">
        <f>IFERROR(IF(Portafolio_Proyectos!$AQ311="","",Portafolio_Proyectos!$C311),"")</f>
        <v/>
      </c>
      <c r="E933" s="5" t="str">
        <f>IFERROR(IF(Portafolio_Proyectos!$AQ311="","",Portafolio_Proyectos!$B311),"")</f>
        <v/>
      </c>
      <c r="F933" s="5" t="str">
        <f>IFERROR(IF(Portafolio_Proyectos!$AQ311="","",Portafolio_Proyectos!$D311),"")</f>
        <v/>
      </c>
      <c r="G933" s="5" t="str">
        <f>IFERROR(IF(Portafolio_Proyectos!$AQ311="","",Portafolio_Proyectos!$A311),"")</f>
        <v/>
      </c>
      <c r="H933" s="5" t="str">
        <f>IFERROR(IF(Portafolio_Proyectos!$AQ311="","",Portafolio_Proyectos!$E311),"")</f>
        <v/>
      </c>
    </row>
    <row r="934" spans="1:8" x14ac:dyDescent="0.35">
      <c r="A934" s="5" t="str">
        <f>IFERROR(IF(Portafolio_Proyectos!$AR311="","","CAP-"&amp;ROW()-1),"")</f>
        <v/>
      </c>
      <c r="B934" s="5" t="str">
        <f>IFERROR(IF(Portafolio_Proyectos!$AR311="","",Portafolio_Proyectos!$AR311),"")</f>
        <v/>
      </c>
      <c r="C934" s="5" t="str">
        <f>IFERROR(IF(Portafolio_Proyectos!$AR311="","","Distintiva"),"")</f>
        <v/>
      </c>
      <c r="D934" s="5" t="str">
        <f>IFERROR(IF(Portafolio_Proyectos!$AR311="","",Portafolio_Proyectos!$C311),"")</f>
        <v/>
      </c>
      <c r="E934" s="5" t="str">
        <f>IFERROR(IF(Portafolio_Proyectos!$AR311="","",Portafolio_Proyectos!$B311),"")</f>
        <v/>
      </c>
      <c r="F934" s="5" t="str">
        <f>IFERROR(IF(Portafolio_Proyectos!$AR311="","",Portafolio_Proyectos!$D311),"")</f>
        <v/>
      </c>
      <c r="G934" s="5" t="str">
        <f>IFERROR(IF(Portafolio_Proyectos!$AR311="","",Portafolio_Proyectos!$A311),"")</f>
        <v/>
      </c>
      <c r="H934" s="5" t="str">
        <f>IFERROR(IF(Portafolio_Proyectos!$AR311="","",Portafolio_Proyectos!$E311),"")</f>
        <v/>
      </c>
    </row>
    <row r="935" spans="1:8" x14ac:dyDescent="0.35">
      <c r="A935" s="5" t="str">
        <f>IFERROR(IF(Portafolio_Proyectos!$AP312="","","CAP-"&amp;ROW()-1),"")</f>
        <v/>
      </c>
      <c r="B935" s="5" t="str">
        <f>IFERROR(IF(Portafolio_Proyectos!$AP312="","",Portafolio_Proyectos!$AP312),"")</f>
        <v/>
      </c>
      <c r="C935" s="5" t="str">
        <f>IFERROR(IF(Portafolio_Proyectos!$AP312="","","Emergente"),"")</f>
        <v/>
      </c>
      <c r="D935" s="5" t="str">
        <f>IFERROR(IF(Portafolio_Proyectos!$AP312="","",Portafolio_Proyectos!$C312),"")</f>
        <v/>
      </c>
      <c r="E935" s="5" t="str">
        <f>IFERROR(IF(Portafolio_Proyectos!$AP312="","",Portafolio_Proyectos!$B312),"")</f>
        <v/>
      </c>
      <c r="F935" s="5" t="str">
        <f>IFERROR(IF(Portafolio_Proyectos!$AP312="","",Portafolio_Proyectos!$D312),"")</f>
        <v/>
      </c>
      <c r="G935" s="5" t="str">
        <f>IFERROR(IF(Portafolio_Proyectos!$AP312="","",Portafolio_Proyectos!$A312),"")</f>
        <v/>
      </c>
      <c r="H935" s="5" t="str">
        <f>IFERROR(IF(Portafolio_Proyectos!$AP312="","",Portafolio_Proyectos!$E312),"")</f>
        <v/>
      </c>
    </row>
    <row r="936" spans="1:8" x14ac:dyDescent="0.35">
      <c r="A936" s="5" t="str">
        <f>IFERROR(IF(Portafolio_Proyectos!$AQ312="","","CAP-"&amp;ROW()-1),"")</f>
        <v/>
      </c>
      <c r="B936" s="5" t="str">
        <f>IFERROR(IF(Portafolio_Proyectos!$AQ312="","",Portafolio_Proyectos!$AQ312),"")</f>
        <v/>
      </c>
      <c r="C936" s="5" t="str">
        <f>IFERROR(IF(Portafolio_Proyectos!$AQ312="","","Consolidada"),"")</f>
        <v/>
      </c>
      <c r="D936" s="5" t="str">
        <f>IFERROR(IF(Portafolio_Proyectos!$AQ312="","",Portafolio_Proyectos!$C312),"")</f>
        <v/>
      </c>
      <c r="E936" s="5" t="str">
        <f>IFERROR(IF(Portafolio_Proyectos!$AQ312="","",Portafolio_Proyectos!$B312),"")</f>
        <v/>
      </c>
      <c r="F936" s="5" t="str">
        <f>IFERROR(IF(Portafolio_Proyectos!$AQ312="","",Portafolio_Proyectos!$D312),"")</f>
        <v/>
      </c>
      <c r="G936" s="5" t="str">
        <f>IFERROR(IF(Portafolio_Proyectos!$AQ312="","",Portafolio_Proyectos!$A312),"")</f>
        <v/>
      </c>
      <c r="H936" s="5" t="str">
        <f>IFERROR(IF(Portafolio_Proyectos!$AQ312="","",Portafolio_Proyectos!$E312),"")</f>
        <v/>
      </c>
    </row>
    <row r="937" spans="1:8" x14ac:dyDescent="0.35">
      <c r="A937" s="5" t="str">
        <f>IFERROR(IF(Portafolio_Proyectos!$AR312="","","CAP-"&amp;ROW()-1),"")</f>
        <v/>
      </c>
      <c r="B937" s="5" t="str">
        <f>IFERROR(IF(Portafolio_Proyectos!$AR312="","",Portafolio_Proyectos!$AR312),"")</f>
        <v/>
      </c>
      <c r="C937" s="5" t="str">
        <f>IFERROR(IF(Portafolio_Proyectos!$AR312="","","Distintiva"),"")</f>
        <v/>
      </c>
      <c r="D937" s="5" t="str">
        <f>IFERROR(IF(Portafolio_Proyectos!$AR312="","",Portafolio_Proyectos!$C312),"")</f>
        <v/>
      </c>
      <c r="E937" s="5" t="str">
        <f>IFERROR(IF(Portafolio_Proyectos!$AR312="","",Portafolio_Proyectos!$B312),"")</f>
        <v/>
      </c>
      <c r="F937" s="5" t="str">
        <f>IFERROR(IF(Portafolio_Proyectos!$AR312="","",Portafolio_Proyectos!$D312),"")</f>
        <v/>
      </c>
      <c r="G937" s="5" t="str">
        <f>IFERROR(IF(Portafolio_Proyectos!$AR312="","",Portafolio_Proyectos!$A312),"")</f>
        <v/>
      </c>
      <c r="H937" s="5" t="str">
        <f>IFERROR(IF(Portafolio_Proyectos!$AR312="","",Portafolio_Proyectos!$E312),"")</f>
        <v/>
      </c>
    </row>
    <row r="938" spans="1:8" x14ac:dyDescent="0.35">
      <c r="A938" s="5" t="str">
        <f>IFERROR(IF(Portafolio_Proyectos!$AP313="","","CAP-"&amp;ROW()-1),"")</f>
        <v/>
      </c>
      <c r="B938" s="5" t="str">
        <f>IFERROR(IF(Portafolio_Proyectos!$AP313="","",Portafolio_Proyectos!$AP313),"")</f>
        <v/>
      </c>
      <c r="C938" s="5" t="str">
        <f>IFERROR(IF(Portafolio_Proyectos!$AP313="","","Emergente"),"")</f>
        <v/>
      </c>
      <c r="D938" s="5" t="str">
        <f>IFERROR(IF(Portafolio_Proyectos!$AP313="","",Portafolio_Proyectos!$C313),"")</f>
        <v/>
      </c>
      <c r="E938" s="5" t="str">
        <f>IFERROR(IF(Portafolio_Proyectos!$AP313="","",Portafolio_Proyectos!$B313),"")</f>
        <v/>
      </c>
      <c r="F938" s="5" t="str">
        <f>IFERROR(IF(Portafolio_Proyectos!$AP313="","",Portafolio_Proyectos!$D313),"")</f>
        <v/>
      </c>
      <c r="G938" s="5" t="str">
        <f>IFERROR(IF(Portafolio_Proyectos!$AP313="","",Portafolio_Proyectos!$A313),"")</f>
        <v/>
      </c>
      <c r="H938" s="5" t="str">
        <f>IFERROR(IF(Portafolio_Proyectos!$AP313="","",Portafolio_Proyectos!$E313),"")</f>
        <v/>
      </c>
    </row>
    <row r="939" spans="1:8" x14ac:dyDescent="0.35">
      <c r="A939" s="5" t="str">
        <f>IFERROR(IF(Portafolio_Proyectos!$AQ313="","","CAP-"&amp;ROW()-1),"")</f>
        <v/>
      </c>
      <c r="B939" s="5" t="str">
        <f>IFERROR(IF(Portafolio_Proyectos!$AQ313="","",Portafolio_Proyectos!$AQ313),"")</f>
        <v/>
      </c>
      <c r="C939" s="5" t="str">
        <f>IFERROR(IF(Portafolio_Proyectos!$AQ313="","","Consolidada"),"")</f>
        <v/>
      </c>
      <c r="D939" s="5" t="str">
        <f>IFERROR(IF(Portafolio_Proyectos!$AQ313="","",Portafolio_Proyectos!$C313),"")</f>
        <v/>
      </c>
      <c r="E939" s="5" t="str">
        <f>IFERROR(IF(Portafolio_Proyectos!$AQ313="","",Portafolio_Proyectos!$B313),"")</f>
        <v/>
      </c>
      <c r="F939" s="5" t="str">
        <f>IFERROR(IF(Portafolio_Proyectos!$AQ313="","",Portafolio_Proyectos!$D313),"")</f>
        <v/>
      </c>
      <c r="G939" s="5" t="str">
        <f>IFERROR(IF(Portafolio_Proyectos!$AQ313="","",Portafolio_Proyectos!$A313),"")</f>
        <v/>
      </c>
      <c r="H939" s="5" t="str">
        <f>IFERROR(IF(Portafolio_Proyectos!$AQ313="","",Portafolio_Proyectos!$E313),"")</f>
        <v/>
      </c>
    </row>
    <row r="940" spans="1:8" x14ac:dyDescent="0.35">
      <c r="A940" s="5" t="str">
        <f>IFERROR(IF(Portafolio_Proyectos!$AR313="","","CAP-"&amp;ROW()-1),"")</f>
        <v/>
      </c>
      <c r="B940" s="5" t="str">
        <f>IFERROR(IF(Portafolio_Proyectos!$AR313="","",Portafolio_Proyectos!$AR313),"")</f>
        <v/>
      </c>
      <c r="C940" s="5" t="str">
        <f>IFERROR(IF(Portafolio_Proyectos!$AR313="","","Distintiva"),"")</f>
        <v/>
      </c>
      <c r="D940" s="5" t="str">
        <f>IFERROR(IF(Portafolio_Proyectos!$AR313="","",Portafolio_Proyectos!$C313),"")</f>
        <v/>
      </c>
      <c r="E940" s="5" t="str">
        <f>IFERROR(IF(Portafolio_Proyectos!$AR313="","",Portafolio_Proyectos!$B313),"")</f>
        <v/>
      </c>
      <c r="F940" s="5" t="str">
        <f>IFERROR(IF(Portafolio_Proyectos!$AR313="","",Portafolio_Proyectos!$D313),"")</f>
        <v/>
      </c>
      <c r="G940" s="5" t="str">
        <f>IFERROR(IF(Portafolio_Proyectos!$AR313="","",Portafolio_Proyectos!$A313),"")</f>
        <v/>
      </c>
      <c r="H940" s="5" t="str">
        <f>IFERROR(IF(Portafolio_Proyectos!$AR313="","",Portafolio_Proyectos!$E313),"")</f>
        <v/>
      </c>
    </row>
    <row r="941" spans="1:8" x14ac:dyDescent="0.35">
      <c r="A941" s="5" t="str">
        <f>IFERROR(IF(Portafolio_Proyectos!$AP314="","","CAP-"&amp;ROW()-1),"")</f>
        <v/>
      </c>
      <c r="B941" s="5" t="str">
        <f>IFERROR(IF(Portafolio_Proyectos!$AP314="","",Portafolio_Proyectos!$AP314),"")</f>
        <v/>
      </c>
      <c r="C941" s="5" t="str">
        <f>IFERROR(IF(Portafolio_Proyectos!$AP314="","","Emergente"),"")</f>
        <v/>
      </c>
      <c r="D941" s="5" t="str">
        <f>IFERROR(IF(Portafolio_Proyectos!$AP314="","",Portafolio_Proyectos!$C314),"")</f>
        <v/>
      </c>
      <c r="E941" s="5" t="str">
        <f>IFERROR(IF(Portafolio_Proyectos!$AP314="","",Portafolio_Proyectos!$B314),"")</f>
        <v/>
      </c>
      <c r="F941" s="5" t="str">
        <f>IFERROR(IF(Portafolio_Proyectos!$AP314="","",Portafolio_Proyectos!$D314),"")</f>
        <v/>
      </c>
      <c r="G941" s="5" t="str">
        <f>IFERROR(IF(Portafolio_Proyectos!$AP314="","",Portafolio_Proyectos!$A314),"")</f>
        <v/>
      </c>
      <c r="H941" s="5" t="str">
        <f>IFERROR(IF(Portafolio_Proyectos!$AP314="","",Portafolio_Proyectos!$E314),"")</f>
        <v/>
      </c>
    </row>
    <row r="942" spans="1:8" x14ac:dyDescent="0.35">
      <c r="A942" s="5" t="str">
        <f>IFERROR(IF(Portafolio_Proyectos!$AQ314="","","CAP-"&amp;ROW()-1),"")</f>
        <v/>
      </c>
      <c r="B942" s="5" t="str">
        <f>IFERROR(IF(Portafolio_Proyectos!$AQ314="","",Portafolio_Proyectos!$AQ314),"")</f>
        <v/>
      </c>
      <c r="C942" s="5" t="str">
        <f>IFERROR(IF(Portafolio_Proyectos!$AQ314="","","Consolidada"),"")</f>
        <v/>
      </c>
      <c r="D942" s="5" t="str">
        <f>IFERROR(IF(Portafolio_Proyectos!$AQ314="","",Portafolio_Proyectos!$C314),"")</f>
        <v/>
      </c>
      <c r="E942" s="5" t="str">
        <f>IFERROR(IF(Portafolio_Proyectos!$AQ314="","",Portafolio_Proyectos!$B314),"")</f>
        <v/>
      </c>
      <c r="F942" s="5" t="str">
        <f>IFERROR(IF(Portafolio_Proyectos!$AQ314="","",Portafolio_Proyectos!$D314),"")</f>
        <v/>
      </c>
      <c r="G942" s="5" t="str">
        <f>IFERROR(IF(Portafolio_Proyectos!$AQ314="","",Portafolio_Proyectos!$A314),"")</f>
        <v/>
      </c>
      <c r="H942" s="5" t="str">
        <f>IFERROR(IF(Portafolio_Proyectos!$AQ314="","",Portafolio_Proyectos!$E314),"")</f>
        <v/>
      </c>
    </row>
    <row r="943" spans="1:8" x14ac:dyDescent="0.35">
      <c r="A943" s="5" t="str">
        <f>IFERROR(IF(Portafolio_Proyectos!$AR314="","","CAP-"&amp;ROW()-1),"")</f>
        <v/>
      </c>
      <c r="B943" s="5" t="str">
        <f>IFERROR(IF(Portafolio_Proyectos!$AR314="","",Portafolio_Proyectos!$AR314),"")</f>
        <v/>
      </c>
      <c r="C943" s="5" t="str">
        <f>IFERROR(IF(Portafolio_Proyectos!$AR314="","","Distintiva"),"")</f>
        <v/>
      </c>
      <c r="D943" s="5" t="str">
        <f>IFERROR(IF(Portafolio_Proyectos!$AR314="","",Portafolio_Proyectos!$C314),"")</f>
        <v/>
      </c>
      <c r="E943" s="5" t="str">
        <f>IFERROR(IF(Portafolio_Proyectos!$AR314="","",Portafolio_Proyectos!$B314),"")</f>
        <v/>
      </c>
      <c r="F943" s="5" t="str">
        <f>IFERROR(IF(Portafolio_Proyectos!$AR314="","",Portafolio_Proyectos!$D314),"")</f>
        <v/>
      </c>
      <c r="G943" s="5" t="str">
        <f>IFERROR(IF(Portafolio_Proyectos!$AR314="","",Portafolio_Proyectos!$A314),"")</f>
        <v/>
      </c>
      <c r="H943" s="5" t="str">
        <f>IFERROR(IF(Portafolio_Proyectos!$AR314="","",Portafolio_Proyectos!$E314),"")</f>
        <v/>
      </c>
    </row>
    <row r="944" spans="1:8" x14ac:dyDescent="0.35">
      <c r="A944" s="5" t="str">
        <f>IFERROR(IF(Portafolio_Proyectos!$AP315="","","CAP-"&amp;ROW()-1),"")</f>
        <v/>
      </c>
      <c r="B944" s="5" t="str">
        <f>IFERROR(IF(Portafolio_Proyectos!$AP315="","",Portafolio_Proyectos!$AP315),"")</f>
        <v/>
      </c>
      <c r="C944" s="5" t="str">
        <f>IFERROR(IF(Portafolio_Proyectos!$AP315="","","Emergente"),"")</f>
        <v/>
      </c>
      <c r="D944" s="5" t="str">
        <f>IFERROR(IF(Portafolio_Proyectos!$AP315="","",Portafolio_Proyectos!$C315),"")</f>
        <v/>
      </c>
      <c r="E944" s="5" t="str">
        <f>IFERROR(IF(Portafolio_Proyectos!$AP315="","",Portafolio_Proyectos!$B315),"")</f>
        <v/>
      </c>
      <c r="F944" s="5" t="str">
        <f>IFERROR(IF(Portafolio_Proyectos!$AP315="","",Portafolio_Proyectos!$D315),"")</f>
        <v/>
      </c>
      <c r="G944" s="5" t="str">
        <f>IFERROR(IF(Portafolio_Proyectos!$AP315="","",Portafolio_Proyectos!$A315),"")</f>
        <v/>
      </c>
      <c r="H944" s="5" t="str">
        <f>IFERROR(IF(Portafolio_Proyectos!$AP315="","",Portafolio_Proyectos!$E315),"")</f>
        <v/>
      </c>
    </row>
    <row r="945" spans="1:8" x14ac:dyDescent="0.35">
      <c r="A945" s="5" t="str">
        <f>IFERROR(IF(Portafolio_Proyectos!$AQ315="","","CAP-"&amp;ROW()-1),"")</f>
        <v/>
      </c>
      <c r="B945" s="5" t="str">
        <f>IFERROR(IF(Portafolio_Proyectos!$AQ315="","",Portafolio_Proyectos!$AQ315),"")</f>
        <v/>
      </c>
      <c r="C945" s="5" t="str">
        <f>IFERROR(IF(Portafolio_Proyectos!$AQ315="","","Consolidada"),"")</f>
        <v/>
      </c>
      <c r="D945" s="5" t="str">
        <f>IFERROR(IF(Portafolio_Proyectos!$AQ315="","",Portafolio_Proyectos!$C315),"")</f>
        <v/>
      </c>
      <c r="E945" s="5" t="str">
        <f>IFERROR(IF(Portafolio_Proyectos!$AQ315="","",Portafolio_Proyectos!$B315),"")</f>
        <v/>
      </c>
      <c r="F945" s="5" t="str">
        <f>IFERROR(IF(Portafolio_Proyectos!$AQ315="","",Portafolio_Proyectos!$D315),"")</f>
        <v/>
      </c>
      <c r="G945" s="5" t="str">
        <f>IFERROR(IF(Portafolio_Proyectos!$AQ315="","",Portafolio_Proyectos!$A315),"")</f>
        <v/>
      </c>
      <c r="H945" s="5" t="str">
        <f>IFERROR(IF(Portafolio_Proyectos!$AQ315="","",Portafolio_Proyectos!$E315),"")</f>
        <v/>
      </c>
    </row>
    <row r="946" spans="1:8" x14ac:dyDescent="0.35">
      <c r="A946" s="5" t="str">
        <f>IFERROR(IF(Portafolio_Proyectos!$AR315="","","CAP-"&amp;ROW()-1),"")</f>
        <v/>
      </c>
      <c r="B946" s="5" t="str">
        <f>IFERROR(IF(Portafolio_Proyectos!$AR315="","",Portafolio_Proyectos!$AR315),"")</f>
        <v/>
      </c>
      <c r="C946" s="5" t="str">
        <f>IFERROR(IF(Portafolio_Proyectos!$AR315="","","Distintiva"),"")</f>
        <v/>
      </c>
      <c r="D946" s="5" t="str">
        <f>IFERROR(IF(Portafolio_Proyectos!$AR315="","",Portafolio_Proyectos!$C315),"")</f>
        <v/>
      </c>
      <c r="E946" s="5" t="str">
        <f>IFERROR(IF(Portafolio_Proyectos!$AR315="","",Portafolio_Proyectos!$B315),"")</f>
        <v/>
      </c>
      <c r="F946" s="5" t="str">
        <f>IFERROR(IF(Portafolio_Proyectos!$AR315="","",Portafolio_Proyectos!$D315),"")</f>
        <v/>
      </c>
      <c r="G946" s="5" t="str">
        <f>IFERROR(IF(Portafolio_Proyectos!$AR315="","",Portafolio_Proyectos!$A315),"")</f>
        <v/>
      </c>
      <c r="H946" s="5" t="str">
        <f>IFERROR(IF(Portafolio_Proyectos!$AR315="","",Portafolio_Proyectos!$E315),"")</f>
        <v/>
      </c>
    </row>
    <row r="947" spans="1:8" x14ac:dyDescent="0.35">
      <c r="A947" s="5" t="str">
        <f>IFERROR(IF(Portafolio_Proyectos!$AP316="","","CAP-"&amp;ROW()-1),"")</f>
        <v/>
      </c>
      <c r="B947" s="5" t="str">
        <f>IFERROR(IF(Portafolio_Proyectos!$AP316="","",Portafolio_Proyectos!$AP316),"")</f>
        <v/>
      </c>
      <c r="C947" s="5" t="str">
        <f>IFERROR(IF(Portafolio_Proyectos!$AP316="","","Emergente"),"")</f>
        <v/>
      </c>
      <c r="D947" s="5" t="str">
        <f>IFERROR(IF(Portafolio_Proyectos!$AP316="","",Portafolio_Proyectos!$C316),"")</f>
        <v/>
      </c>
      <c r="E947" s="5" t="str">
        <f>IFERROR(IF(Portafolio_Proyectos!$AP316="","",Portafolio_Proyectos!$B316),"")</f>
        <v/>
      </c>
      <c r="F947" s="5" t="str">
        <f>IFERROR(IF(Portafolio_Proyectos!$AP316="","",Portafolio_Proyectos!$D316),"")</f>
        <v/>
      </c>
      <c r="G947" s="5" t="str">
        <f>IFERROR(IF(Portafolio_Proyectos!$AP316="","",Portafolio_Proyectos!$A316),"")</f>
        <v/>
      </c>
      <c r="H947" s="5" t="str">
        <f>IFERROR(IF(Portafolio_Proyectos!$AP316="","",Portafolio_Proyectos!$E316),"")</f>
        <v/>
      </c>
    </row>
    <row r="948" spans="1:8" x14ac:dyDescent="0.35">
      <c r="A948" s="5" t="str">
        <f>IFERROR(IF(Portafolio_Proyectos!$AQ316="","","CAP-"&amp;ROW()-1),"")</f>
        <v/>
      </c>
      <c r="B948" s="5" t="str">
        <f>IFERROR(IF(Portafolio_Proyectos!$AQ316="","",Portafolio_Proyectos!$AQ316),"")</f>
        <v/>
      </c>
      <c r="C948" s="5" t="str">
        <f>IFERROR(IF(Portafolio_Proyectos!$AQ316="","","Consolidada"),"")</f>
        <v/>
      </c>
      <c r="D948" s="5" t="str">
        <f>IFERROR(IF(Portafolio_Proyectos!$AQ316="","",Portafolio_Proyectos!$C316),"")</f>
        <v/>
      </c>
      <c r="E948" s="5" t="str">
        <f>IFERROR(IF(Portafolio_Proyectos!$AQ316="","",Portafolio_Proyectos!$B316),"")</f>
        <v/>
      </c>
      <c r="F948" s="5" t="str">
        <f>IFERROR(IF(Portafolio_Proyectos!$AQ316="","",Portafolio_Proyectos!$D316),"")</f>
        <v/>
      </c>
      <c r="G948" s="5" t="str">
        <f>IFERROR(IF(Portafolio_Proyectos!$AQ316="","",Portafolio_Proyectos!$A316),"")</f>
        <v/>
      </c>
      <c r="H948" s="5" t="str">
        <f>IFERROR(IF(Portafolio_Proyectos!$AQ316="","",Portafolio_Proyectos!$E316),"")</f>
        <v/>
      </c>
    </row>
    <row r="949" spans="1:8" x14ac:dyDescent="0.35">
      <c r="A949" s="5" t="str">
        <f>IFERROR(IF(Portafolio_Proyectos!$AR316="","","CAP-"&amp;ROW()-1),"")</f>
        <v/>
      </c>
      <c r="B949" s="5" t="str">
        <f>IFERROR(IF(Portafolio_Proyectos!$AR316="","",Portafolio_Proyectos!$AR316),"")</f>
        <v/>
      </c>
      <c r="C949" s="5" t="str">
        <f>IFERROR(IF(Portafolio_Proyectos!$AR316="","","Distintiva"),"")</f>
        <v/>
      </c>
      <c r="D949" s="5" t="str">
        <f>IFERROR(IF(Portafolio_Proyectos!$AR316="","",Portafolio_Proyectos!$C316),"")</f>
        <v/>
      </c>
      <c r="E949" s="5" t="str">
        <f>IFERROR(IF(Portafolio_Proyectos!$AR316="","",Portafolio_Proyectos!$B316),"")</f>
        <v/>
      </c>
      <c r="F949" s="5" t="str">
        <f>IFERROR(IF(Portafolio_Proyectos!$AR316="","",Portafolio_Proyectos!$D316),"")</f>
        <v/>
      </c>
      <c r="G949" s="5" t="str">
        <f>IFERROR(IF(Portafolio_Proyectos!$AR316="","",Portafolio_Proyectos!$A316),"")</f>
        <v/>
      </c>
      <c r="H949" s="5" t="str">
        <f>IFERROR(IF(Portafolio_Proyectos!$AR316="","",Portafolio_Proyectos!$E316),"")</f>
        <v/>
      </c>
    </row>
    <row r="950" spans="1:8" x14ac:dyDescent="0.35">
      <c r="A950" s="5" t="str">
        <f>IFERROR(IF(Portafolio_Proyectos!$AP317="","","CAP-"&amp;ROW()-1),"")</f>
        <v/>
      </c>
      <c r="B950" s="5" t="str">
        <f>IFERROR(IF(Portafolio_Proyectos!$AP317="","",Portafolio_Proyectos!$AP317),"")</f>
        <v/>
      </c>
      <c r="C950" s="5" t="str">
        <f>IFERROR(IF(Portafolio_Proyectos!$AP317="","","Emergente"),"")</f>
        <v/>
      </c>
      <c r="D950" s="5" t="str">
        <f>IFERROR(IF(Portafolio_Proyectos!$AP317="","",Portafolio_Proyectos!$C317),"")</f>
        <v/>
      </c>
      <c r="E950" s="5" t="str">
        <f>IFERROR(IF(Portafolio_Proyectos!$AP317="","",Portafolio_Proyectos!$B317),"")</f>
        <v/>
      </c>
      <c r="F950" s="5" t="str">
        <f>IFERROR(IF(Portafolio_Proyectos!$AP317="","",Portafolio_Proyectos!$D317),"")</f>
        <v/>
      </c>
      <c r="G950" s="5" t="str">
        <f>IFERROR(IF(Portafolio_Proyectos!$AP317="","",Portafolio_Proyectos!$A317),"")</f>
        <v/>
      </c>
      <c r="H950" s="5" t="str">
        <f>IFERROR(IF(Portafolio_Proyectos!$AP317="","",Portafolio_Proyectos!$E317),"")</f>
        <v/>
      </c>
    </row>
    <row r="951" spans="1:8" x14ac:dyDescent="0.35">
      <c r="A951" s="5" t="str">
        <f>IFERROR(IF(Portafolio_Proyectos!$AQ317="","","CAP-"&amp;ROW()-1),"")</f>
        <v/>
      </c>
      <c r="B951" s="5" t="str">
        <f>IFERROR(IF(Portafolio_Proyectos!$AQ317="","",Portafolio_Proyectos!$AQ317),"")</f>
        <v/>
      </c>
      <c r="C951" s="5" t="str">
        <f>IFERROR(IF(Portafolio_Proyectos!$AQ317="","","Consolidada"),"")</f>
        <v/>
      </c>
      <c r="D951" s="5" t="str">
        <f>IFERROR(IF(Portafolio_Proyectos!$AQ317="","",Portafolio_Proyectos!$C317),"")</f>
        <v/>
      </c>
      <c r="E951" s="5" t="str">
        <f>IFERROR(IF(Portafolio_Proyectos!$AQ317="","",Portafolio_Proyectos!$B317),"")</f>
        <v/>
      </c>
      <c r="F951" s="5" t="str">
        <f>IFERROR(IF(Portafolio_Proyectos!$AQ317="","",Portafolio_Proyectos!$D317),"")</f>
        <v/>
      </c>
      <c r="G951" s="5" t="str">
        <f>IFERROR(IF(Portafolio_Proyectos!$AQ317="","",Portafolio_Proyectos!$A317),"")</f>
        <v/>
      </c>
      <c r="H951" s="5" t="str">
        <f>IFERROR(IF(Portafolio_Proyectos!$AQ317="","",Portafolio_Proyectos!$E317),"")</f>
        <v/>
      </c>
    </row>
    <row r="952" spans="1:8" x14ac:dyDescent="0.35">
      <c r="A952" s="5" t="str">
        <f>IFERROR(IF(Portafolio_Proyectos!$AR317="","","CAP-"&amp;ROW()-1),"")</f>
        <v/>
      </c>
      <c r="B952" s="5" t="str">
        <f>IFERROR(IF(Portafolio_Proyectos!$AR317="","",Portafolio_Proyectos!$AR317),"")</f>
        <v/>
      </c>
      <c r="C952" s="5" t="str">
        <f>IFERROR(IF(Portafolio_Proyectos!$AR317="","","Distintiva"),"")</f>
        <v/>
      </c>
      <c r="D952" s="5" t="str">
        <f>IFERROR(IF(Portafolio_Proyectos!$AR317="","",Portafolio_Proyectos!$C317),"")</f>
        <v/>
      </c>
      <c r="E952" s="5" t="str">
        <f>IFERROR(IF(Portafolio_Proyectos!$AR317="","",Portafolio_Proyectos!$B317),"")</f>
        <v/>
      </c>
      <c r="F952" s="5" t="str">
        <f>IFERROR(IF(Portafolio_Proyectos!$AR317="","",Portafolio_Proyectos!$D317),"")</f>
        <v/>
      </c>
      <c r="G952" s="5" t="str">
        <f>IFERROR(IF(Portafolio_Proyectos!$AR317="","",Portafolio_Proyectos!$A317),"")</f>
        <v/>
      </c>
      <c r="H952" s="5" t="str">
        <f>IFERROR(IF(Portafolio_Proyectos!$AR317="","",Portafolio_Proyectos!$E317),"")</f>
        <v/>
      </c>
    </row>
    <row r="953" spans="1:8" x14ac:dyDescent="0.35">
      <c r="A953" s="5" t="str">
        <f>IFERROR(IF(Portafolio_Proyectos!$AP318="","","CAP-"&amp;ROW()-1),"")</f>
        <v/>
      </c>
      <c r="B953" s="5" t="str">
        <f>IFERROR(IF(Portafolio_Proyectos!$AP318="","",Portafolio_Proyectos!$AP318),"")</f>
        <v/>
      </c>
      <c r="C953" s="5" t="str">
        <f>IFERROR(IF(Portafolio_Proyectos!$AP318="","","Emergente"),"")</f>
        <v/>
      </c>
      <c r="D953" s="5" t="str">
        <f>IFERROR(IF(Portafolio_Proyectos!$AP318="","",Portafolio_Proyectos!$C318),"")</f>
        <v/>
      </c>
      <c r="E953" s="5" t="str">
        <f>IFERROR(IF(Portafolio_Proyectos!$AP318="","",Portafolio_Proyectos!$B318),"")</f>
        <v/>
      </c>
      <c r="F953" s="5" t="str">
        <f>IFERROR(IF(Portafolio_Proyectos!$AP318="","",Portafolio_Proyectos!$D318),"")</f>
        <v/>
      </c>
      <c r="G953" s="5" t="str">
        <f>IFERROR(IF(Portafolio_Proyectos!$AP318="","",Portafolio_Proyectos!$A318),"")</f>
        <v/>
      </c>
      <c r="H953" s="5" t="str">
        <f>IFERROR(IF(Portafolio_Proyectos!$AP318="","",Portafolio_Proyectos!$E318),"")</f>
        <v/>
      </c>
    </row>
    <row r="954" spans="1:8" x14ac:dyDescent="0.35">
      <c r="A954" s="5" t="str">
        <f>IFERROR(IF(Portafolio_Proyectos!$AQ318="","","CAP-"&amp;ROW()-1),"")</f>
        <v/>
      </c>
      <c r="B954" s="5" t="str">
        <f>IFERROR(IF(Portafolio_Proyectos!$AQ318="","",Portafolio_Proyectos!$AQ318),"")</f>
        <v/>
      </c>
      <c r="C954" s="5" t="str">
        <f>IFERROR(IF(Portafolio_Proyectos!$AQ318="","","Consolidada"),"")</f>
        <v/>
      </c>
      <c r="D954" s="5" t="str">
        <f>IFERROR(IF(Portafolio_Proyectos!$AQ318="","",Portafolio_Proyectos!$C318),"")</f>
        <v/>
      </c>
      <c r="E954" s="5" t="str">
        <f>IFERROR(IF(Portafolio_Proyectos!$AQ318="","",Portafolio_Proyectos!$B318),"")</f>
        <v/>
      </c>
      <c r="F954" s="5" t="str">
        <f>IFERROR(IF(Portafolio_Proyectos!$AQ318="","",Portafolio_Proyectos!$D318),"")</f>
        <v/>
      </c>
      <c r="G954" s="5" t="str">
        <f>IFERROR(IF(Portafolio_Proyectos!$AQ318="","",Portafolio_Proyectos!$A318),"")</f>
        <v/>
      </c>
      <c r="H954" s="5" t="str">
        <f>IFERROR(IF(Portafolio_Proyectos!$AQ318="","",Portafolio_Proyectos!$E318),"")</f>
        <v/>
      </c>
    </row>
    <row r="955" spans="1:8" x14ac:dyDescent="0.35">
      <c r="A955" s="5" t="str">
        <f>IFERROR(IF(Portafolio_Proyectos!$AR318="","","CAP-"&amp;ROW()-1),"")</f>
        <v/>
      </c>
      <c r="B955" s="5" t="str">
        <f>IFERROR(IF(Portafolio_Proyectos!$AR318="","",Portafolio_Proyectos!$AR318),"")</f>
        <v/>
      </c>
      <c r="C955" s="5" t="str">
        <f>IFERROR(IF(Portafolio_Proyectos!$AR318="","","Distintiva"),"")</f>
        <v/>
      </c>
      <c r="D955" s="5" t="str">
        <f>IFERROR(IF(Portafolio_Proyectos!$AR318="","",Portafolio_Proyectos!$C318),"")</f>
        <v/>
      </c>
      <c r="E955" s="5" t="str">
        <f>IFERROR(IF(Portafolio_Proyectos!$AR318="","",Portafolio_Proyectos!$B318),"")</f>
        <v/>
      </c>
      <c r="F955" s="5" t="str">
        <f>IFERROR(IF(Portafolio_Proyectos!$AR318="","",Portafolio_Proyectos!$D318),"")</f>
        <v/>
      </c>
      <c r="G955" s="5" t="str">
        <f>IFERROR(IF(Portafolio_Proyectos!$AR318="","",Portafolio_Proyectos!$A318),"")</f>
        <v/>
      </c>
      <c r="H955" s="5" t="str">
        <f>IFERROR(IF(Portafolio_Proyectos!$AR318="","",Portafolio_Proyectos!$E318),"")</f>
        <v/>
      </c>
    </row>
    <row r="956" spans="1:8" x14ac:dyDescent="0.35">
      <c r="A956" s="5" t="str">
        <f>IFERROR(IF(Portafolio_Proyectos!$AP319="","","CAP-"&amp;ROW()-1),"")</f>
        <v/>
      </c>
      <c r="B956" s="5" t="str">
        <f>IFERROR(IF(Portafolio_Proyectos!$AP319="","",Portafolio_Proyectos!$AP319),"")</f>
        <v/>
      </c>
      <c r="C956" s="5" t="str">
        <f>IFERROR(IF(Portafolio_Proyectos!$AP319="","","Emergente"),"")</f>
        <v/>
      </c>
      <c r="D956" s="5" t="str">
        <f>IFERROR(IF(Portafolio_Proyectos!$AP319="","",Portafolio_Proyectos!$C319),"")</f>
        <v/>
      </c>
      <c r="E956" s="5" t="str">
        <f>IFERROR(IF(Portafolio_Proyectos!$AP319="","",Portafolio_Proyectos!$B319),"")</f>
        <v/>
      </c>
      <c r="F956" s="5" t="str">
        <f>IFERROR(IF(Portafolio_Proyectos!$AP319="","",Portafolio_Proyectos!$D319),"")</f>
        <v/>
      </c>
      <c r="G956" s="5" t="str">
        <f>IFERROR(IF(Portafolio_Proyectos!$AP319="","",Portafolio_Proyectos!$A319),"")</f>
        <v/>
      </c>
      <c r="H956" s="5" t="str">
        <f>IFERROR(IF(Portafolio_Proyectos!$AP319="","",Portafolio_Proyectos!$E319),"")</f>
        <v/>
      </c>
    </row>
    <row r="957" spans="1:8" x14ac:dyDescent="0.35">
      <c r="A957" s="5" t="str">
        <f>IFERROR(IF(Portafolio_Proyectos!$AQ319="","","CAP-"&amp;ROW()-1),"")</f>
        <v/>
      </c>
      <c r="B957" s="5" t="str">
        <f>IFERROR(IF(Portafolio_Proyectos!$AQ319="","",Portafolio_Proyectos!$AQ319),"")</f>
        <v/>
      </c>
      <c r="C957" s="5" t="str">
        <f>IFERROR(IF(Portafolio_Proyectos!$AQ319="","","Consolidada"),"")</f>
        <v/>
      </c>
      <c r="D957" s="5" t="str">
        <f>IFERROR(IF(Portafolio_Proyectos!$AQ319="","",Portafolio_Proyectos!$C319),"")</f>
        <v/>
      </c>
      <c r="E957" s="5" t="str">
        <f>IFERROR(IF(Portafolio_Proyectos!$AQ319="","",Portafolio_Proyectos!$B319),"")</f>
        <v/>
      </c>
      <c r="F957" s="5" t="str">
        <f>IFERROR(IF(Portafolio_Proyectos!$AQ319="","",Portafolio_Proyectos!$D319),"")</f>
        <v/>
      </c>
      <c r="G957" s="5" t="str">
        <f>IFERROR(IF(Portafolio_Proyectos!$AQ319="","",Portafolio_Proyectos!$A319),"")</f>
        <v/>
      </c>
      <c r="H957" s="5" t="str">
        <f>IFERROR(IF(Portafolio_Proyectos!$AQ319="","",Portafolio_Proyectos!$E319),"")</f>
        <v/>
      </c>
    </row>
    <row r="958" spans="1:8" x14ac:dyDescent="0.35">
      <c r="A958" s="5" t="str">
        <f>IFERROR(IF(Portafolio_Proyectos!$AR319="","","CAP-"&amp;ROW()-1),"")</f>
        <v/>
      </c>
      <c r="B958" s="5" t="str">
        <f>IFERROR(IF(Portafolio_Proyectos!$AR319="","",Portafolio_Proyectos!$AR319),"")</f>
        <v/>
      </c>
      <c r="C958" s="5" t="str">
        <f>IFERROR(IF(Portafolio_Proyectos!$AR319="","","Distintiva"),"")</f>
        <v/>
      </c>
      <c r="D958" s="5" t="str">
        <f>IFERROR(IF(Portafolio_Proyectos!$AR319="","",Portafolio_Proyectos!$C319),"")</f>
        <v/>
      </c>
      <c r="E958" s="5" t="str">
        <f>IFERROR(IF(Portafolio_Proyectos!$AR319="","",Portafolio_Proyectos!$B319),"")</f>
        <v/>
      </c>
      <c r="F958" s="5" t="str">
        <f>IFERROR(IF(Portafolio_Proyectos!$AR319="","",Portafolio_Proyectos!$D319),"")</f>
        <v/>
      </c>
      <c r="G958" s="5" t="str">
        <f>IFERROR(IF(Portafolio_Proyectos!$AR319="","",Portafolio_Proyectos!$A319),"")</f>
        <v/>
      </c>
      <c r="H958" s="5" t="str">
        <f>IFERROR(IF(Portafolio_Proyectos!$AR319="","",Portafolio_Proyectos!$E319),"")</f>
        <v/>
      </c>
    </row>
    <row r="959" spans="1:8" x14ac:dyDescent="0.35">
      <c r="A959" s="5" t="str">
        <f>IFERROR(IF(Portafolio_Proyectos!$AP320="","","CAP-"&amp;ROW()-1),"")</f>
        <v/>
      </c>
      <c r="B959" s="5" t="str">
        <f>IFERROR(IF(Portafolio_Proyectos!$AP320="","",Portafolio_Proyectos!$AP320),"")</f>
        <v/>
      </c>
      <c r="C959" s="5" t="str">
        <f>IFERROR(IF(Portafolio_Proyectos!$AP320="","","Emergente"),"")</f>
        <v/>
      </c>
      <c r="D959" s="5" t="str">
        <f>IFERROR(IF(Portafolio_Proyectos!$AP320="","",Portafolio_Proyectos!$C320),"")</f>
        <v/>
      </c>
      <c r="E959" s="5" t="str">
        <f>IFERROR(IF(Portafolio_Proyectos!$AP320="","",Portafolio_Proyectos!$B320),"")</f>
        <v/>
      </c>
      <c r="F959" s="5" t="str">
        <f>IFERROR(IF(Portafolio_Proyectos!$AP320="","",Portafolio_Proyectos!$D320),"")</f>
        <v/>
      </c>
      <c r="G959" s="5" t="str">
        <f>IFERROR(IF(Portafolio_Proyectos!$AP320="","",Portafolio_Proyectos!$A320),"")</f>
        <v/>
      </c>
      <c r="H959" s="5" t="str">
        <f>IFERROR(IF(Portafolio_Proyectos!$AP320="","",Portafolio_Proyectos!$E320),"")</f>
        <v/>
      </c>
    </row>
    <row r="960" spans="1:8" x14ac:dyDescent="0.35">
      <c r="A960" s="5" t="str">
        <f>IFERROR(IF(Portafolio_Proyectos!$AQ320="","","CAP-"&amp;ROW()-1),"")</f>
        <v/>
      </c>
      <c r="B960" s="5" t="str">
        <f>IFERROR(IF(Portafolio_Proyectos!$AQ320="","",Portafolio_Proyectos!$AQ320),"")</f>
        <v/>
      </c>
      <c r="C960" s="5" t="str">
        <f>IFERROR(IF(Portafolio_Proyectos!$AQ320="","","Consolidada"),"")</f>
        <v/>
      </c>
      <c r="D960" s="5" t="str">
        <f>IFERROR(IF(Portafolio_Proyectos!$AQ320="","",Portafolio_Proyectos!$C320),"")</f>
        <v/>
      </c>
      <c r="E960" s="5" t="str">
        <f>IFERROR(IF(Portafolio_Proyectos!$AQ320="","",Portafolio_Proyectos!$B320),"")</f>
        <v/>
      </c>
      <c r="F960" s="5" t="str">
        <f>IFERROR(IF(Portafolio_Proyectos!$AQ320="","",Portafolio_Proyectos!$D320),"")</f>
        <v/>
      </c>
      <c r="G960" s="5" t="str">
        <f>IFERROR(IF(Portafolio_Proyectos!$AQ320="","",Portafolio_Proyectos!$A320),"")</f>
        <v/>
      </c>
      <c r="H960" s="5" t="str">
        <f>IFERROR(IF(Portafolio_Proyectos!$AQ320="","",Portafolio_Proyectos!$E320),"")</f>
        <v/>
      </c>
    </row>
    <row r="961" spans="1:8" x14ac:dyDescent="0.35">
      <c r="A961" s="5" t="str">
        <f>IFERROR(IF(Portafolio_Proyectos!$AR320="","","CAP-"&amp;ROW()-1),"")</f>
        <v/>
      </c>
      <c r="B961" s="5" t="str">
        <f>IFERROR(IF(Portafolio_Proyectos!$AR320="","",Portafolio_Proyectos!$AR320),"")</f>
        <v/>
      </c>
      <c r="C961" s="5" t="str">
        <f>IFERROR(IF(Portafolio_Proyectos!$AR320="","","Distintiva"),"")</f>
        <v/>
      </c>
      <c r="D961" s="5" t="str">
        <f>IFERROR(IF(Portafolio_Proyectos!$AR320="","",Portafolio_Proyectos!$C320),"")</f>
        <v/>
      </c>
      <c r="E961" s="5" t="str">
        <f>IFERROR(IF(Portafolio_Proyectos!$AR320="","",Portafolio_Proyectos!$B320),"")</f>
        <v/>
      </c>
      <c r="F961" s="5" t="str">
        <f>IFERROR(IF(Portafolio_Proyectos!$AR320="","",Portafolio_Proyectos!$D320),"")</f>
        <v/>
      </c>
      <c r="G961" s="5" t="str">
        <f>IFERROR(IF(Portafolio_Proyectos!$AR320="","",Portafolio_Proyectos!$A320),"")</f>
        <v/>
      </c>
      <c r="H961" s="5" t="str">
        <f>IFERROR(IF(Portafolio_Proyectos!$AR320="","",Portafolio_Proyectos!$E320),"")</f>
        <v/>
      </c>
    </row>
    <row r="962" spans="1:8" x14ac:dyDescent="0.35">
      <c r="A962" s="5" t="str">
        <f>IFERROR(IF(Portafolio_Proyectos!$AP321="","","CAP-"&amp;ROW()-1),"")</f>
        <v/>
      </c>
      <c r="B962" s="5" t="str">
        <f>IFERROR(IF(Portafolio_Proyectos!$AP321="","",Portafolio_Proyectos!$AP321),"")</f>
        <v/>
      </c>
      <c r="C962" s="5" t="str">
        <f>IFERROR(IF(Portafolio_Proyectos!$AP321="","","Emergente"),"")</f>
        <v/>
      </c>
      <c r="D962" s="5" t="str">
        <f>IFERROR(IF(Portafolio_Proyectos!$AP321="","",Portafolio_Proyectos!$C321),"")</f>
        <v/>
      </c>
      <c r="E962" s="5" t="str">
        <f>IFERROR(IF(Portafolio_Proyectos!$AP321="","",Portafolio_Proyectos!$B321),"")</f>
        <v/>
      </c>
      <c r="F962" s="5" t="str">
        <f>IFERROR(IF(Portafolio_Proyectos!$AP321="","",Portafolio_Proyectos!$D321),"")</f>
        <v/>
      </c>
      <c r="G962" s="5" t="str">
        <f>IFERROR(IF(Portafolio_Proyectos!$AP321="","",Portafolio_Proyectos!$A321),"")</f>
        <v/>
      </c>
      <c r="H962" s="5" t="str">
        <f>IFERROR(IF(Portafolio_Proyectos!$AP321="","",Portafolio_Proyectos!$E321),"")</f>
        <v/>
      </c>
    </row>
    <row r="963" spans="1:8" x14ac:dyDescent="0.35">
      <c r="A963" s="5" t="str">
        <f>IFERROR(IF(Portafolio_Proyectos!$AQ321="","","CAP-"&amp;ROW()-1),"")</f>
        <v/>
      </c>
      <c r="B963" s="5" t="str">
        <f>IFERROR(IF(Portafolio_Proyectos!$AQ321="","",Portafolio_Proyectos!$AQ321),"")</f>
        <v/>
      </c>
      <c r="C963" s="5" t="str">
        <f>IFERROR(IF(Portafolio_Proyectos!$AQ321="","","Consolidada"),"")</f>
        <v/>
      </c>
      <c r="D963" s="5" t="str">
        <f>IFERROR(IF(Portafolio_Proyectos!$AQ321="","",Portafolio_Proyectos!$C321),"")</f>
        <v/>
      </c>
      <c r="E963" s="5" t="str">
        <f>IFERROR(IF(Portafolio_Proyectos!$AQ321="","",Portafolio_Proyectos!$B321),"")</f>
        <v/>
      </c>
      <c r="F963" s="5" t="str">
        <f>IFERROR(IF(Portafolio_Proyectos!$AQ321="","",Portafolio_Proyectos!$D321),"")</f>
        <v/>
      </c>
      <c r="G963" s="5" t="str">
        <f>IFERROR(IF(Portafolio_Proyectos!$AQ321="","",Portafolio_Proyectos!$A321),"")</f>
        <v/>
      </c>
      <c r="H963" s="5" t="str">
        <f>IFERROR(IF(Portafolio_Proyectos!$AQ321="","",Portafolio_Proyectos!$E321),"")</f>
        <v/>
      </c>
    </row>
    <row r="964" spans="1:8" x14ac:dyDescent="0.35">
      <c r="A964" s="5" t="str">
        <f>IFERROR(IF(Portafolio_Proyectos!$AR321="","","CAP-"&amp;ROW()-1),"")</f>
        <v/>
      </c>
      <c r="B964" s="5" t="str">
        <f>IFERROR(IF(Portafolio_Proyectos!$AR321="","",Portafolio_Proyectos!$AR321),"")</f>
        <v/>
      </c>
      <c r="C964" s="5" t="str">
        <f>IFERROR(IF(Portafolio_Proyectos!$AR321="","","Distintiva"),"")</f>
        <v/>
      </c>
      <c r="D964" s="5" t="str">
        <f>IFERROR(IF(Portafolio_Proyectos!$AR321="","",Portafolio_Proyectos!$C321),"")</f>
        <v/>
      </c>
      <c r="E964" s="5" t="str">
        <f>IFERROR(IF(Portafolio_Proyectos!$AR321="","",Portafolio_Proyectos!$B321),"")</f>
        <v/>
      </c>
      <c r="F964" s="5" t="str">
        <f>IFERROR(IF(Portafolio_Proyectos!$AR321="","",Portafolio_Proyectos!$D321),"")</f>
        <v/>
      </c>
      <c r="G964" s="5" t="str">
        <f>IFERROR(IF(Portafolio_Proyectos!$AR321="","",Portafolio_Proyectos!$A321),"")</f>
        <v/>
      </c>
      <c r="H964" s="5" t="str">
        <f>IFERROR(IF(Portafolio_Proyectos!$AR321="","",Portafolio_Proyectos!$E321),"")</f>
        <v/>
      </c>
    </row>
    <row r="965" spans="1:8" x14ac:dyDescent="0.35">
      <c r="A965" s="5" t="str">
        <f>IFERROR(IF(Portafolio_Proyectos!$AP322="","","CAP-"&amp;ROW()-1),"")</f>
        <v/>
      </c>
      <c r="B965" s="5" t="str">
        <f>IFERROR(IF(Portafolio_Proyectos!$AP322="","",Portafolio_Proyectos!$AP322),"")</f>
        <v/>
      </c>
      <c r="C965" s="5" t="str">
        <f>IFERROR(IF(Portafolio_Proyectos!$AP322="","","Emergente"),"")</f>
        <v/>
      </c>
      <c r="D965" s="5" t="str">
        <f>IFERROR(IF(Portafolio_Proyectos!$AP322="","",Portafolio_Proyectos!$C322),"")</f>
        <v/>
      </c>
      <c r="E965" s="5" t="str">
        <f>IFERROR(IF(Portafolio_Proyectos!$AP322="","",Portafolio_Proyectos!$B322),"")</f>
        <v/>
      </c>
      <c r="F965" s="5" t="str">
        <f>IFERROR(IF(Portafolio_Proyectos!$AP322="","",Portafolio_Proyectos!$D322),"")</f>
        <v/>
      </c>
      <c r="G965" s="5" t="str">
        <f>IFERROR(IF(Portafolio_Proyectos!$AP322="","",Portafolio_Proyectos!$A322),"")</f>
        <v/>
      </c>
      <c r="H965" s="5" t="str">
        <f>IFERROR(IF(Portafolio_Proyectos!$AP322="","",Portafolio_Proyectos!$E322),"")</f>
        <v/>
      </c>
    </row>
    <row r="966" spans="1:8" x14ac:dyDescent="0.35">
      <c r="A966" s="5" t="str">
        <f>IFERROR(IF(Portafolio_Proyectos!$AQ322="","","CAP-"&amp;ROW()-1),"")</f>
        <v/>
      </c>
      <c r="B966" s="5" t="str">
        <f>IFERROR(IF(Portafolio_Proyectos!$AQ322="","",Portafolio_Proyectos!$AQ322),"")</f>
        <v/>
      </c>
      <c r="C966" s="5" t="str">
        <f>IFERROR(IF(Portafolio_Proyectos!$AQ322="","","Consolidada"),"")</f>
        <v/>
      </c>
      <c r="D966" s="5" t="str">
        <f>IFERROR(IF(Portafolio_Proyectos!$AQ322="","",Portafolio_Proyectos!$C322),"")</f>
        <v/>
      </c>
      <c r="E966" s="5" t="str">
        <f>IFERROR(IF(Portafolio_Proyectos!$AQ322="","",Portafolio_Proyectos!$B322),"")</f>
        <v/>
      </c>
      <c r="F966" s="5" t="str">
        <f>IFERROR(IF(Portafolio_Proyectos!$AQ322="","",Portafolio_Proyectos!$D322),"")</f>
        <v/>
      </c>
      <c r="G966" s="5" t="str">
        <f>IFERROR(IF(Portafolio_Proyectos!$AQ322="","",Portafolio_Proyectos!$A322),"")</f>
        <v/>
      </c>
      <c r="H966" s="5" t="str">
        <f>IFERROR(IF(Portafolio_Proyectos!$AQ322="","",Portafolio_Proyectos!$E322),"")</f>
        <v/>
      </c>
    </row>
    <row r="967" spans="1:8" x14ac:dyDescent="0.35">
      <c r="A967" s="5" t="str">
        <f>IFERROR(IF(Portafolio_Proyectos!$AR322="","","CAP-"&amp;ROW()-1),"")</f>
        <v/>
      </c>
      <c r="B967" s="5" t="str">
        <f>IFERROR(IF(Portafolio_Proyectos!$AR322="","",Portafolio_Proyectos!$AR322),"")</f>
        <v/>
      </c>
      <c r="C967" s="5" t="str">
        <f>IFERROR(IF(Portafolio_Proyectos!$AR322="","","Distintiva"),"")</f>
        <v/>
      </c>
      <c r="D967" s="5" t="str">
        <f>IFERROR(IF(Portafolio_Proyectos!$AR322="","",Portafolio_Proyectos!$C322),"")</f>
        <v/>
      </c>
      <c r="E967" s="5" t="str">
        <f>IFERROR(IF(Portafolio_Proyectos!$AR322="","",Portafolio_Proyectos!$B322),"")</f>
        <v/>
      </c>
      <c r="F967" s="5" t="str">
        <f>IFERROR(IF(Portafolio_Proyectos!$AR322="","",Portafolio_Proyectos!$D322),"")</f>
        <v/>
      </c>
      <c r="G967" s="5" t="str">
        <f>IFERROR(IF(Portafolio_Proyectos!$AR322="","",Portafolio_Proyectos!$A322),"")</f>
        <v/>
      </c>
      <c r="H967" s="5" t="str">
        <f>IFERROR(IF(Portafolio_Proyectos!$AR322="","",Portafolio_Proyectos!$E322),"")</f>
        <v/>
      </c>
    </row>
    <row r="968" spans="1:8" x14ac:dyDescent="0.35">
      <c r="A968" s="5" t="str">
        <f>IFERROR(IF(Portafolio_Proyectos!$AP323="","","CAP-"&amp;ROW()-1),"")</f>
        <v/>
      </c>
      <c r="B968" s="5" t="str">
        <f>IFERROR(IF(Portafolio_Proyectos!$AP323="","",Portafolio_Proyectos!$AP323),"")</f>
        <v/>
      </c>
      <c r="C968" s="5" t="str">
        <f>IFERROR(IF(Portafolio_Proyectos!$AP323="","","Emergente"),"")</f>
        <v/>
      </c>
      <c r="D968" s="5" t="str">
        <f>IFERROR(IF(Portafolio_Proyectos!$AP323="","",Portafolio_Proyectos!$C323),"")</f>
        <v/>
      </c>
      <c r="E968" s="5" t="str">
        <f>IFERROR(IF(Portafolio_Proyectos!$AP323="","",Portafolio_Proyectos!$B323),"")</f>
        <v/>
      </c>
      <c r="F968" s="5" t="str">
        <f>IFERROR(IF(Portafolio_Proyectos!$AP323="","",Portafolio_Proyectos!$D323),"")</f>
        <v/>
      </c>
      <c r="G968" s="5" t="str">
        <f>IFERROR(IF(Portafolio_Proyectos!$AP323="","",Portafolio_Proyectos!$A323),"")</f>
        <v/>
      </c>
      <c r="H968" s="5" t="str">
        <f>IFERROR(IF(Portafolio_Proyectos!$AP323="","",Portafolio_Proyectos!$E323),"")</f>
        <v/>
      </c>
    </row>
    <row r="969" spans="1:8" x14ac:dyDescent="0.35">
      <c r="A969" s="5" t="str">
        <f>IFERROR(IF(Portafolio_Proyectos!$AQ323="","","CAP-"&amp;ROW()-1),"")</f>
        <v/>
      </c>
      <c r="B969" s="5" t="str">
        <f>IFERROR(IF(Portafolio_Proyectos!$AQ323="","",Portafolio_Proyectos!$AQ323),"")</f>
        <v/>
      </c>
      <c r="C969" s="5" t="str">
        <f>IFERROR(IF(Portafolio_Proyectos!$AQ323="","","Consolidada"),"")</f>
        <v/>
      </c>
      <c r="D969" s="5" t="str">
        <f>IFERROR(IF(Portafolio_Proyectos!$AQ323="","",Portafolio_Proyectos!$C323),"")</f>
        <v/>
      </c>
      <c r="E969" s="5" t="str">
        <f>IFERROR(IF(Portafolio_Proyectos!$AQ323="","",Portafolio_Proyectos!$B323),"")</f>
        <v/>
      </c>
      <c r="F969" s="5" t="str">
        <f>IFERROR(IF(Portafolio_Proyectos!$AQ323="","",Portafolio_Proyectos!$D323),"")</f>
        <v/>
      </c>
      <c r="G969" s="5" t="str">
        <f>IFERROR(IF(Portafolio_Proyectos!$AQ323="","",Portafolio_Proyectos!$A323),"")</f>
        <v/>
      </c>
      <c r="H969" s="5" t="str">
        <f>IFERROR(IF(Portafolio_Proyectos!$AQ323="","",Portafolio_Proyectos!$E323),"")</f>
        <v/>
      </c>
    </row>
    <row r="970" spans="1:8" x14ac:dyDescent="0.35">
      <c r="A970" s="5" t="str">
        <f>IFERROR(IF(Portafolio_Proyectos!$AR323="","","CAP-"&amp;ROW()-1),"")</f>
        <v/>
      </c>
      <c r="B970" s="5" t="str">
        <f>IFERROR(IF(Portafolio_Proyectos!$AR323="","",Portafolio_Proyectos!$AR323),"")</f>
        <v/>
      </c>
      <c r="C970" s="5" t="str">
        <f>IFERROR(IF(Portafolio_Proyectos!$AR323="","","Distintiva"),"")</f>
        <v/>
      </c>
      <c r="D970" s="5" t="str">
        <f>IFERROR(IF(Portafolio_Proyectos!$AR323="","",Portafolio_Proyectos!$C323),"")</f>
        <v/>
      </c>
      <c r="E970" s="5" t="str">
        <f>IFERROR(IF(Portafolio_Proyectos!$AR323="","",Portafolio_Proyectos!$B323),"")</f>
        <v/>
      </c>
      <c r="F970" s="5" t="str">
        <f>IFERROR(IF(Portafolio_Proyectos!$AR323="","",Portafolio_Proyectos!$D323),"")</f>
        <v/>
      </c>
      <c r="G970" s="5" t="str">
        <f>IFERROR(IF(Portafolio_Proyectos!$AR323="","",Portafolio_Proyectos!$A323),"")</f>
        <v/>
      </c>
      <c r="H970" s="5" t="str">
        <f>IFERROR(IF(Portafolio_Proyectos!$AR323="","",Portafolio_Proyectos!$E323),"")</f>
        <v/>
      </c>
    </row>
    <row r="971" spans="1:8" x14ac:dyDescent="0.35">
      <c r="A971" s="5" t="str">
        <f>IFERROR(IF(Portafolio_Proyectos!$AP324="","","CAP-"&amp;ROW()-1),"")</f>
        <v/>
      </c>
      <c r="B971" s="5" t="str">
        <f>IFERROR(IF(Portafolio_Proyectos!$AP324="","",Portafolio_Proyectos!$AP324),"")</f>
        <v/>
      </c>
      <c r="C971" s="5" t="str">
        <f>IFERROR(IF(Portafolio_Proyectos!$AP324="","","Emergente"),"")</f>
        <v/>
      </c>
      <c r="D971" s="5" t="str">
        <f>IFERROR(IF(Portafolio_Proyectos!$AP324="","",Portafolio_Proyectos!$C324),"")</f>
        <v/>
      </c>
      <c r="E971" s="5" t="str">
        <f>IFERROR(IF(Portafolio_Proyectos!$AP324="","",Portafolio_Proyectos!$B324),"")</f>
        <v/>
      </c>
      <c r="F971" s="5" t="str">
        <f>IFERROR(IF(Portafolio_Proyectos!$AP324="","",Portafolio_Proyectos!$D324),"")</f>
        <v/>
      </c>
      <c r="G971" s="5" t="str">
        <f>IFERROR(IF(Portafolio_Proyectos!$AP324="","",Portafolio_Proyectos!$A324),"")</f>
        <v/>
      </c>
      <c r="H971" s="5" t="str">
        <f>IFERROR(IF(Portafolio_Proyectos!$AP324="","",Portafolio_Proyectos!$E324),"")</f>
        <v/>
      </c>
    </row>
    <row r="972" spans="1:8" x14ac:dyDescent="0.35">
      <c r="A972" s="5" t="str">
        <f>IFERROR(IF(Portafolio_Proyectos!$AQ324="","","CAP-"&amp;ROW()-1),"")</f>
        <v/>
      </c>
      <c r="B972" s="5" t="str">
        <f>IFERROR(IF(Portafolio_Proyectos!$AQ324="","",Portafolio_Proyectos!$AQ324),"")</f>
        <v/>
      </c>
      <c r="C972" s="5" t="str">
        <f>IFERROR(IF(Portafolio_Proyectos!$AQ324="","","Consolidada"),"")</f>
        <v/>
      </c>
      <c r="D972" s="5" t="str">
        <f>IFERROR(IF(Portafolio_Proyectos!$AQ324="","",Portafolio_Proyectos!$C324),"")</f>
        <v/>
      </c>
      <c r="E972" s="5" t="str">
        <f>IFERROR(IF(Portafolio_Proyectos!$AQ324="","",Portafolio_Proyectos!$B324),"")</f>
        <v/>
      </c>
      <c r="F972" s="5" t="str">
        <f>IFERROR(IF(Portafolio_Proyectos!$AQ324="","",Portafolio_Proyectos!$D324),"")</f>
        <v/>
      </c>
      <c r="G972" s="5" t="str">
        <f>IFERROR(IF(Portafolio_Proyectos!$AQ324="","",Portafolio_Proyectos!$A324),"")</f>
        <v/>
      </c>
      <c r="H972" s="5" t="str">
        <f>IFERROR(IF(Portafolio_Proyectos!$AQ324="","",Portafolio_Proyectos!$E324),"")</f>
        <v/>
      </c>
    </row>
    <row r="973" spans="1:8" x14ac:dyDescent="0.35">
      <c r="A973" s="5" t="str">
        <f>IFERROR(IF(Portafolio_Proyectos!$AR324="","","CAP-"&amp;ROW()-1),"")</f>
        <v/>
      </c>
      <c r="B973" s="5" t="str">
        <f>IFERROR(IF(Portafolio_Proyectos!$AR324="","",Portafolio_Proyectos!$AR324),"")</f>
        <v/>
      </c>
      <c r="C973" s="5" t="str">
        <f>IFERROR(IF(Portafolio_Proyectos!$AR324="","","Distintiva"),"")</f>
        <v/>
      </c>
      <c r="D973" s="5" t="str">
        <f>IFERROR(IF(Portafolio_Proyectos!$AR324="","",Portafolio_Proyectos!$C324),"")</f>
        <v/>
      </c>
      <c r="E973" s="5" t="str">
        <f>IFERROR(IF(Portafolio_Proyectos!$AR324="","",Portafolio_Proyectos!$B324),"")</f>
        <v/>
      </c>
      <c r="F973" s="5" t="str">
        <f>IFERROR(IF(Portafolio_Proyectos!$AR324="","",Portafolio_Proyectos!$D324),"")</f>
        <v/>
      </c>
      <c r="G973" s="5" t="str">
        <f>IFERROR(IF(Portafolio_Proyectos!$AR324="","",Portafolio_Proyectos!$A324),"")</f>
        <v/>
      </c>
      <c r="H973" s="5" t="str">
        <f>IFERROR(IF(Portafolio_Proyectos!$AR324="","",Portafolio_Proyectos!$E324),"")</f>
        <v/>
      </c>
    </row>
    <row r="974" spans="1:8" x14ac:dyDescent="0.35">
      <c r="A974" s="5" t="str">
        <f>IFERROR(IF(Portafolio_Proyectos!$AP325="","","CAP-"&amp;ROW()-1),"")</f>
        <v/>
      </c>
      <c r="B974" s="5" t="str">
        <f>IFERROR(IF(Portafolio_Proyectos!$AP325="","",Portafolio_Proyectos!$AP325),"")</f>
        <v/>
      </c>
      <c r="C974" s="5" t="str">
        <f>IFERROR(IF(Portafolio_Proyectos!$AP325="","","Emergente"),"")</f>
        <v/>
      </c>
      <c r="D974" s="5" t="str">
        <f>IFERROR(IF(Portafolio_Proyectos!$AP325="","",Portafolio_Proyectos!$C325),"")</f>
        <v/>
      </c>
      <c r="E974" s="5" t="str">
        <f>IFERROR(IF(Portafolio_Proyectos!$AP325="","",Portafolio_Proyectos!$B325),"")</f>
        <v/>
      </c>
      <c r="F974" s="5" t="str">
        <f>IFERROR(IF(Portafolio_Proyectos!$AP325="","",Portafolio_Proyectos!$D325),"")</f>
        <v/>
      </c>
      <c r="G974" s="5" t="str">
        <f>IFERROR(IF(Portafolio_Proyectos!$AP325="","",Portafolio_Proyectos!$A325),"")</f>
        <v/>
      </c>
      <c r="H974" s="5" t="str">
        <f>IFERROR(IF(Portafolio_Proyectos!$AP325="","",Portafolio_Proyectos!$E325),"")</f>
        <v/>
      </c>
    </row>
    <row r="975" spans="1:8" x14ac:dyDescent="0.35">
      <c r="A975" s="5" t="str">
        <f>IFERROR(IF(Portafolio_Proyectos!$AQ325="","","CAP-"&amp;ROW()-1),"")</f>
        <v/>
      </c>
      <c r="B975" s="5" t="str">
        <f>IFERROR(IF(Portafolio_Proyectos!$AQ325="","",Portafolio_Proyectos!$AQ325),"")</f>
        <v/>
      </c>
      <c r="C975" s="5" t="str">
        <f>IFERROR(IF(Portafolio_Proyectos!$AQ325="","","Consolidada"),"")</f>
        <v/>
      </c>
      <c r="D975" s="5" t="str">
        <f>IFERROR(IF(Portafolio_Proyectos!$AQ325="","",Portafolio_Proyectos!$C325),"")</f>
        <v/>
      </c>
      <c r="E975" s="5" t="str">
        <f>IFERROR(IF(Portafolio_Proyectos!$AQ325="","",Portafolio_Proyectos!$B325),"")</f>
        <v/>
      </c>
      <c r="F975" s="5" t="str">
        <f>IFERROR(IF(Portafolio_Proyectos!$AQ325="","",Portafolio_Proyectos!$D325),"")</f>
        <v/>
      </c>
      <c r="G975" s="5" t="str">
        <f>IFERROR(IF(Portafolio_Proyectos!$AQ325="","",Portafolio_Proyectos!$A325),"")</f>
        <v/>
      </c>
      <c r="H975" s="5" t="str">
        <f>IFERROR(IF(Portafolio_Proyectos!$AQ325="","",Portafolio_Proyectos!$E325),"")</f>
        <v/>
      </c>
    </row>
    <row r="976" spans="1:8" x14ac:dyDescent="0.35">
      <c r="A976" s="5" t="str">
        <f>IFERROR(IF(Portafolio_Proyectos!$AR325="","","CAP-"&amp;ROW()-1),"")</f>
        <v/>
      </c>
      <c r="B976" s="5" t="str">
        <f>IFERROR(IF(Portafolio_Proyectos!$AR325="","",Portafolio_Proyectos!$AR325),"")</f>
        <v/>
      </c>
      <c r="C976" s="5" t="str">
        <f>IFERROR(IF(Portafolio_Proyectos!$AR325="","","Distintiva"),"")</f>
        <v/>
      </c>
      <c r="D976" s="5" t="str">
        <f>IFERROR(IF(Portafolio_Proyectos!$AR325="","",Portafolio_Proyectos!$C325),"")</f>
        <v/>
      </c>
      <c r="E976" s="5" t="str">
        <f>IFERROR(IF(Portafolio_Proyectos!$AR325="","",Portafolio_Proyectos!$B325),"")</f>
        <v/>
      </c>
      <c r="F976" s="5" t="str">
        <f>IFERROR(IF(Portafolio_Proyectos!$AR325="","",Portafolio_Proyectos!$D325),"")</f>
        <v/>
      </c>
      <c r="G976" s="5" t="str">
        <f>IFERROR(IF(Portafolio_Proyectos!$AR325="","",Portafolio_Proyectos!$A325),"")</f>
        <v/>
      </c>
      <c r="H976" s="5" t="str">
        <f>IFERROR(IF(Portafolio_Proyectos!$AR325="","",Portafolio_Proyectos!$E325),"")</f>
        <v/>
      </c>
    </row>
    <row r="977" spans="1:8" x14ac:dyDescent="0.35">
      <c r="A977" s="5" t="str">
        <f>IFERROR(IF(Portafolio_Proyectos!$AP326="","","CAP-"&amp;ROW()-1),"")</f>
        <v/>
      </c>
      <c r="B977" s="5" t="str">
        <f>IFERROR(IF(Portafolio_Proyectos!$AP326="","",Portafolio_Proyectos!$AP326),"")</f>
        <v/>
      </c>
      <c r="C977" s="5" t="str">
        <f>IFERROR(IF(Portafolio_Proyectos!$AP326="","","Emergente"),"")</f>
        <v/>
      </c>
      <c r="D977" s="5" t="str">
        <f>IFERROR(IF(Portafolio_Proyectos!$AP326="","",Portafolio_Proyectos!$C326),"")</f>
        <v/>
      </c>
      <c r="E977" s="5" t="str">
        <f>IFERROR(IF(Portafolio_Proyectos!$AP326="","",Portafolio_Proyectos!$B326),"")</f>
        <v/>
      </c>
      <c r="F977" s="5" t="str">
        <f>IFERROR(IF(Portafolio_Proyectos!$AP326="","",Portafolio_Proyectos!$D326),"")</f>
        <v/>
      </c>
      <c r="G977" s="5" t="str">
        <f>IFERROR(IF(Portafolio_Proyectos!$AP326="","",Portafolio_Proyectos!$A326),"")</f>
        <v/>
      </c>
      <c r="H977" s="5" t="str">
        <f>IFERROR(IF(Portafolio_Proyectos!$AP326="","",Portafolio_Proyectos!$E326),"")</f>
        <v/>
      </c>
    </row>
    <row r="978" spans="1:8" x14ac:dyDescent="0.35">
      <c r="A978" s="5" t="str">
        <f>IFERROR(IF(Portafolio_Proyectos!$AQ326="","","CAP-"&amp;ROW()-1),"")</f>
        <v/>
      </c>
      <c r="B978" s="5" t="str">
        <f>IFERROR(IF(Portafolio_Proyectos!$AQ326="","",Portafolio_Proyectos!$AQ326),"")</f>
        <v/>
      </c>
      <c r="C978" s="5" t="str">
        <f>IFERROR(IF(Portafolio_Proyectos!$AQ326="","","Consolidada"),"")</f>
        <v/>
      </c>
      <c r="D978" s="5" t="str">
        <f>IFERROR(IF(Portafolio_Proyectos!$AQ326="","",Portafolio_Proyectos!$C326),"")</f>
        <v/>
      </c>
      <c r="E978" s="5" t="str">
        <f>IFERROR(IF(Portafolio_Proyectos!$AQ326="","",Portafolio_Proyectos!$B326),"")</f>
        <v/>
      </c>
      <c r="F978" s="5" t="str">
        <f>IFERROR(IF(Portafolio_Proyectos!$AQ326="","",Portafolio_Proyectos!$D326),"")</f>
        <v/>
      </c>
      <c r="G978" s="5" t="str">
        <f>IFERROR(IF(Portafolio_Proyectos!$AQ326="","",Portafolio_Proyectos!$A326),"")</f>
        <v/>
      </c>
      <c r="H978" s="5" t="str">
        <f>IFERROR(IF(Portafolio_Proyectos!$AQ326="","",Portafolio_Proyectos!$E326),"")</f>
        <v/>
      </c>
    </row>
    <row r="979" spans="1:8" x14ac:dyDescent="0.35">
      <c r="A979" s="5" t="str">
        <f>IFERROR(IF(Portafolio_Proyectos!$AR326="","","CAP-"&amp;ROW()-1),"")</f>
        <v/>
      </c>
      <c r="B979" s="5" t="str">
        <f>IFERROR(IF(Portafolio_Proyectos!$AR326="","",Portafolio_Proyectos!$AR326),"")</f>
        <v/>
      </c>
      <c r="C979" s="5" t="str">
        <f>IFERROR(IF(Portafolio_Proyectos!$AR326="","","Distintiva"),"")</f>
        <v/>
      </c>
      <c r="D979" s="5" t="str">
        <f>IFERROR(IF(Portafolio_Proyectos!$AR326="","",Portafolio_Proyectos!$C326),"")</f>
        <v/>
      </c>
      <c r="E979" s="5" t="str">
        <f>IFERROR(IF(Portafolio_Proyectos!$AR326="","",Portafolio_Proyectos!$B326),"")</f>
        <v/>
      </c>
      <c r="F979" s="5" t="str">
        <f>IFERROR(IF(Portafolio_Proyectos!$AR326="","",Portafolio_Proyectos!$D326),"")</f>
        <v/>
      </c>
      <c r="G979" s="5" t="str">
        <f>IFERROR(IF(Portafolio_Proyectos!$AR326="","",Portafolio_Proyectos!$A326),"")</f>
        <v/>
      </c>
      <c r="H979" s="5" t="str">
        <f>IFERROR(IF(Portafolio_Proyectos!$AR326="","",Portafolio_Proyectos!$E326),"")</f>
        <v/>
      </c>
    </row>
    <row r="980" spans="1:8" x14ac:dyDescent="0.35">
      <c r="A980" s="5" t="str">
        <f>IFERROR(IF(Portafolio_Proyectos!$AP327="","","CAP-"&amp;ROW()-1),"")</f>
        <v/>
      </c>
      <c r="B980" s="5" t="str">
        <f>IFERROR(IF(Portafolio_Proyectos!$AP327="","",Portafolio_Proyectos!$AP327),"")</f>
        <v/>
      </c>
      <c r="C980" s="5" t="str">
        <f>IFERROR(IF(Portafolio_Proyectos!$AP327="","","Emergente"),"")</f>
        <v/>
      </c>
      <c r="D980" s="5" t="str">
        <f>IFERROR(IF(Portafolio_Proyectos!$AP327="","",Portafolio_Proyectos!$C327),"")</f>
        <v/>
      </c>
      <c r="E980" s="5" t="str">
        <f>IFERROR(IF(Portafolio_Proyectos!$AP327="","",Portafolio_Proyectos!$B327),"")</f>
        <v/>
      </c>
      <c r="F980" s="5" t="str">
        <f>IFERROR(IF(Portafolio_Proyectos!$AP327="","",Portafolio_Proyectos!$D327),"")</f>
        <v/>
      </c>
      <c r="G980" s="5" t="str">
        <f>IFERROR(IF(Portafolio_Proyectos!$AP327="","",Portafolio_Proyectos!$A327),"")</f>
        <v/>
      </c>
      <c r="H980" s="5" t="str">
        <f>IFERROR(IF(Portafolio_Proyectos!$AP327="","",Portafolio_Proyectos!$E327),"")</f>
        <v/>
      </c>
    </row>
    <row r="981" spans="1:8" x14ac:dyDescent="0.35">
      <c r="A981" s="5" t="str">
        <f>IFERROR(IF(Portafolio_Proyectos!$AQ327="","","CAP-"&amp;ROW()-1),"")</f>
        <v/>
      </c>
      <c r="B981" s="5" t="str">
        <f>IFERROR(IF(Portafolio_Proyectos!$AQ327="","",Portafolio_Proyectos!$AQ327),"")</f>
        <v/>
      </c>
      <c r="C981" s="5" t="str">
        <f>IFERROR(IF(Portafolio_Proyectos!$AQ327="","","Consolidada"),"")</f>
        <v/>
      </c>
      <c r="D981" s="5" t="str">
        <f>IFERROR(IF(Portafolio_Proyectos!$AQ327="","",Portafolio_Proyectos!$C327),"")</f>
        <v/>
      </c>
      <c r="E981" s="5" t="str">
        <f>IFERROR(IF(Portafolio_Proyectos!$AQ327="","",Portafolio_Proyectos!$B327),"")</f>
        <v/>
      </c>
      <c r="F981" s="5" t="str">
        <f>IFERROR(IF(Portafolio_Proyectos!$AQ327="","",Portafolio_Proyectos!$D327),"")</f>
        <v/>
      </c>
      <c r="G981" s="5" t="str">
        <f>IFERROR(IF(Portafolio_Proyectos!$AQ327="","",Portafolio_Proyectos!$A327),"")</f>
        <v/>
      </c>
      <c r="H981" s="5" t="str">
        <f>IFERROR(IF(Portafolio_Proyectos!$AQ327="","",Portafolio_Proyectos!$E327),"")</f>
        <v/>
      </c>
    </row>
    <row r="982" spans="1:8" x14ac:dyDescent="0.35">
      <c r="A982" s="5" t="str">
        <f>IFERROR(IF(Portafolio_Proyectos!$AR327="","","CAP-"&amp;ROW()-1),"")</f>
        <v/>
      </c>
      <c r="B982" s="5" t="str">
        <f>IFERROR(IF(Portafolio_Proyectos!$AR327="","",Portafolio_Proyectos!$AR327),"")</f>
        <v/>
      </c>
      <c r="C982" s="5" t="str">
        <f>IFERROR(IF(Portafolio_Proyectos!$AR327="","","Distintiva"),"")</f>
        <v/>
      </c>
      <c r="D982" s="5" t="str">
        <f>IFERROR(IF(Portafolio_Proyectos!$AR327="","",Portafolio_Proyectos!$C327),"")</f>
        <v/>
      </c>
      <c r="E982" s="5" t="str">
        <f>IFERROR(IF(Portafolio_Proyectos!$AR327="","",Portafolio_Proyectos!$B327),"")</f>
        <v/>
      </c>
      <c r="F982" s="5" t="str">
        <f>IFERROR(IF(Portafolio_Proyectos!$AR327="","",Portafolio_Proyectos!$D327),"")</f>
        <v/>
      </c>
      <c r="G982" s="5" t="str">
        <f>IFERROR(IF(Portafolio_Proyectos!$AR327="","",Portafolio_Proyectos!$A327),"")</f>
        <v/>
      </c>
      <c r="H982" s="5" t="str">
        <f>IFERROR(IF(Portafolio_Proyectos!$AR327="","",Portafolio_Proyectos!$E327),"")</f>
        <v/>
      </c>
    </row>
    <row r="983" spans="1:8" x14ac:dyDescent="0.35">
      <c r="A983" s="5" t="str">
        <f>IFERROR(IF(Portafolio_Proyectos!$AP328="","","CAP-"&amp;ROW()-1),"")</f>
        <v/>
      </c>
      <c r="B983" s="5" t="str">
        <f>IFERROR(IF(Portafolio_Proyectos!$AP328="","",Portafolio_Proyectos!$AP328),"")</f>
        <v/>
      </c>
      <c r="C983" s="5" t="str">
        <f>IFERROR(IF(Portafolio_Proyectos!$AP328="","","Emergente"),"")</f>
        <v/>
      </c>
      <c r="D983" s="5" t="str">
        <f>IFERROR(IF(Portafolio_Proyectos!$AP328="","",Portafolio_Proyectos!$C328),"")</f>
        <v/>
      </c>
      <c r="E983" s="5" t="str">
        <f>IFERROR(IF(Portafolio_Proyectos!$AP328="","",Portafolio_Proyectos!$B328),"")</f>
        <v/>
      </c>
      <c r="F983" s="5" t="str">
        <f>IFERROR(IF(Portafolio_Proyectos!$AP328="","",Portafolio_Proyectos!$D328),"")</f>
        <v/>
      </c>
      <c r="G983" s="5" t="str">
        <f>IFERROR(IF(Portafolio_Proyectos!$AP328="","",Portafolio_Proyectos!$A328),"")</f>
        <v/>
      </c>
      <c r="H983" s="5" t="str">
        <f>IFERROR(IF(Portafolio_Proyectos!$AP328="","",Portafolio_Proyectos!$E328),"")</f>
        <v/>
      </c>
    </row>
    <row r="984" spans="1:8" x14ac:dyDescent="0.35">
      <c r="A984" s="5" t="str">
        <f>IFERROR(IF(Portafolio_Proyectos!$AQ328="","","CAP-"&amp;ROW()-1),"")</f>
        <v/>
      </c>
      <c r="B984" s="5" t="str">
        <f>IFERROR(IF(Portafolio_Proyectos!$AQ328="","",Portafolio_Proyectos!$AQ328),"")</f>
        <v/>
      </c>
      <c r="C984" s="5" t="str">
        <f>IFERROR(IF(Portafolio_Proyectos!$AQ328="","","Consolidada"),"")</f>
        <v/>
      </c>
      <c r="D984" s="5" t="str">
        <f>IFERROR(IF(Portafolio_Proyectos!$AQ328="","",Portafolio_Proyectos!$C328),"")</f>
        <v/>
      </c>
      <c r="E984" s="5" t="str">
        <f>IFERROR(IF(Portafolio_Proyectos!$AQ328="","",Portafolio_Proyectos!$B328),"")</f>
        <v/>
      </c>
      <c r="F984" s="5" t="str">
        <f>IFERROR(IF(Portafolio_Proyectos!$AQ328="","",Portafolio_Proyectos!$D328),"")</f>
        <v/>
      </c>
      <c r="G984" s="5" t="str">
        <f>IFERROR(IF(Portafolio_Proyectos!$AQ328="","",Portafolio_Proyectos!$A328),"")</f>
        <v/>
      </c>
      <c r="H984" s="5" t="str">
        <f>IFERROR(IF(Portafolio_Proyectos!$AQ328="","",Portafolio_Proyectos!$E328),"")</f>
        <v/>
      </c>
    </row>
    <row r="985" spans="1:8" x14ac:dyDescent="0.35">
      <c r="A985" s="5" t="str">
        <f>IFERROR(IF(Portafolio_Proyectos!$AR328="","","CAP-"&amp;ROW()-1),"")</f>
        <v/>
      </c>
      <c r="B985" s="5" t="str">
        <f>IFERROR(IF(Portafolio_Proyectos!$AR328="","",Portafolio_Proyectos!$AR328),"")</f>
        <v/>
      </c>
      <c r="C985" s="5" t="str">
        <f>IFERROR(IF(Portafolio_Proyectos!$AR328="","","Distintiva"),"")</f>
        <v/>
      </c>
      <c r="D985" s="5" t="str">
        <f>IFERROR(IF(Portafolio_Proyectos!$AR328="","",Portafolio_Proyectos!$C328),"")</f>
        <v/>
      </c>
      <c r="E985" s="5" t="str">
        <f>IFERROR(IF(Portafolio_Proyectos!$AR328="","",Portafolio_Proyectos!$B328),"")</f>
        <v/>
      </c>
      <c r="F985" s="5" t="str">
        <f>IFERROR(IF(Portafolio_Proyectos!$AR328="","",Portafolio_Proyectos!$D328),"")</f>
        <v/>
      </c>
      <c r="G985" s="5" t="str">
        <f>IFERROR(IF(Portafolio_Proyectos!$AR328="","",Portafolio_Proyectos!$A328),"")</f>
        <v/>
      </c>
      <c r="H985" s="5" t="str">
        <f>IFERROR(IF(Portafolio_Proyectos!$AR328="","",Portafolio_Proyectos!$E328),"")</f>
        <v/>
      </c>
    </row>
    <row r="986" spans="1:8" x14ac:dyDescent="0.35">
      <c r="A986" s="5" t="str">
        <f>IFERROR(IF(Portafolio_Proyectos!$AP329="","","CAP-"&amp;ROW()-1),"")</f>
        <v/>
      </c>
      <c r="B986" s="5" t="str">
        <f>IFERROR(IF(Portafolio_Proyectos!$AP329="","",Portafolio_Proyectos!$AP329),"")</f>
        <v/>
      </c>
      <c r="C986" s="5" t="str">
        <f>IFERROR(IF(Portafolio_Proyectos!$AP329="","","Emergente"),"")</f>
        <v/>
      </c>
      <c r="D986" s="5" t="str">
        <f>IFERROR(IF(Portafolio_Proyectos!$AP329="","",Portafolio_Proyectos!$C329),"")</f>
        <v/>
      </c>
      <c r="E986" s="5" t="str">
        <f>IFERROR(IF(Portafolio_Proyectos!$AP329="","",Portafolio_Proyectos!$B329),"")</f>
        <v/>
      </c>
      <c r="F986" s="5" t="str">
        <f>IFERROR(IF(Portafolio_Proyectos!$AP329="","",Portafolio_Proyectos!$D329),"")</f>
        <v/>
      </c>
      <c r="G986" s="5" t="str">
        <f>IFERROR(IF(Portafolio_Proyectos!$AP329="","",Portafolio_Proyectos!$A329),"")</f>
        <v/>
      </c>
      <c r="H986" s="5" t="str">
        <f>IFERROR(IF(Portafolio_Proyectos!$AP329="","",Portafolio_Proyectos!$E329),"")</f>
        <v/>
      </c>
    </row>
    <row r="987" spans="1:8" x14ac:dyDescent="0.35">
      <c r="A987" s="5" t="str">
        <f>IFERROR(IF(Portafolio_Proyectos!$AQ329="","","CAP-"&amp;ROW()-1),"")</f>
        <v/>
      </c>
      <c r="B987" s="5" t="str">
        <f>IFERROR(IF(Portafolio_Proyectos!$AQ329="","",Portafolio_Proyectos!$AQ329),"")</f>
        <v/>
      </c>
      <c r="C987" s="5" t="str">
        <f>IFERROR(IF(Portafolio_Proyectos!$AQ329="","","Consolidada"),"")</f>
        <v/>
      </c>
      <c r="D987" s="5" t="str">
        <f>IFERROR(IF(Portafolio_Proyectos!$AQ329="","",Portafolio_Proyectos!$C329),"")</f>
        <v/>
      </c>
      <c r="E987" s="5" t="str">
        <f>IFERROR(IF(Portafolio_Proyectos!$AQ329="","",Portafolio_Proyectos!$B329),"")</f>
        <v/>
      </c>
      <c r="F987" s="5" t="str">
        <f>IFERROR(IF(Portafolio_Proyectos!$AQ329="","",Portafolio_Proyectos!$D329),"")</f>
        <v/>
      </c>
      <c r="G987" s="5" t="str">
        <f>IFERROR(IF(Portafolio_Proyectos!$AQ329="","",Portafolio_Proyectos!$A329),"")</f>
        <v/>
      </c>
      <c r="H987" s="5" t="str">
        <f>IFERROR(IF(Portafolio_Proyectos!$AQ329="","",Portafolio_Proyectos!$E329),"")</f>
        <v/>
      </c>
    </row>
    <row r="988" spans="1:8" x14ac:dyDescent="0.35">
      <c r="A988" s="5" t="str">
        <f>IFERROR(IF(Portafolio_Proyectos!$AR329="","","CAP-"&amp;ROW()-1),"")</f>
        <v/>
      </c>
      <c r="B988" s="5" t="str">
        <f>IFERROR(IF(Portafolio_Proyectos!$AR329="","",Portafolio_Proyectos!$AR329),"")</f>
        <v/>
      </c>
      <c r="C988" s="5" t="str">
        <f>IFERROR(IF(Portafolio_Proyectos!$AR329="","","Distintiva"),"")</f>
        <v/>
      </c>
      <c r="D988" s="5" t="str">
        <f>IFERROR(IF(Portafolio_Proyectos!$AR329="","",Portafolio_Proyectos!$C329),"")</f>
        <v/>
      </c>
      <c r="E988" s="5" t="str">
        <f>IFERROR(IF(Portafolio_Proyectos!$AR329="","",Portafolio_Proyectos!$B329),"")</f>
        <v/>
      </c>
      <c r="F988" s="5" t="str">
        <f>IFERROR(IF(Portafolio_Proyectos!$AR329="","",Portafolio_Proyectos!$D329),"")</f>
        <v/>
      </c>
      <c r="G988" s="5" t="str">
        <f>IFERROR(IF(Portafolio_Proyectos!$AR329="","",Portafolio_Proyectos!$A329),"")</f>
        <v/>
      </c>
      <c r="H988" s="5" t="str">
        <f>IFERROR(IF(Portafolio_Proyectos!$AR329="","",Portafolio_Proyectos!$E329),"")</f>
        <v/>
      </c>
    </row>
    <row r="989" spans="1:8" x14ac:dyDescent="0.35">
      <c r="A989" s="5" t="str">
        <f>IFERROR(IF(Portafolio_Proyectos!$AP330="","","CAP-"&amp;ROW()-1),"")</f>
        <v/>
      </c>
      <c r="B989" s="5" t="str">
        <f>IFERROR(IF(Portafolio_Proyectos!$AP330="","",Portafolio_Proyectos!$AP330),"")</f>
        <v/>
      </c>
      <c r="C989" s="5" t="str">
        <f>IFERROR(IF(Portafolio_Proyectos!$AP330="","","Emergente"),"")</f>
        <v/>
      </c>
      <c r="D989" s="5" t="str">
        <f>IFERROR(IF(Portafolio_Proyectos!$AP330="","",Portafolio_Proyectos!$C330),"")</f>
        <v/>
      </c>
      <c r="E989" s="5" t="str">
        <f>IFERROR(IF(Portafolio_Proyectos!$AP330="","",Portafolio_Proyectos!$B330),"")</f>
        <v/>
      </c>
      <c r="F989" s="5" t="str">
        <f>IFERROR(IF(Portafolio_Proyectos!$AP330="","",Portafolio_Proyectos!$D330),"")</f>
        <v/>
      </c>
      <c r="G989" s="5" t="str">
        <f>IFERROR(IF(Portafolio_Proyectos!$AP330="","",Portafolio_Proyectos!$A330),"")</f>
        <v/>
      </c>
      <c r="H989" s="5" t="str">
        <f>IFERROR(IF(Portafolio_Proyectos!$AP330="","",Portafolio_Proyectos!$E330),"")</f>
        <v/>
      </c>
    </row>
    <row r="990" spans="1:8" x14ac:dyDescent="0.35">
      <c r="A990" s="5" t="str">
        <f>IFERROR(IF(Portafolio_Proyectos!$AQ330="","","CAP-"&amp;ROW()-1),"")</f>
        <v/>
      </c>
      <c r="B990" s="5" t="str">
        <f>IFERROR(IF(Portafolio_Proyectos!$AQ330="","",Portafolio_Proyectos!$AQ330),"")</f>
        <v/>
      </c>
      <c r="C990" s="5" t="str">
        <f>IFERROR(IF(Portafolio_Proyectos!$AQ330="","","Consolidada"),"")</f>
        <v/>
      </c>
      <c r="D990" s="5" t="str">
        <f>IFERROR(IF(Portafolio_Proyectos!$AQ330="","",Portafolio_Proyectos!$C330),"")</f>
        <v/>
      </c>
      <c r="E990" s="5" t="str">
        <f>IFERROR(IF(Portafolio_Proyectos!$AQ330="","",Portafolio_Proyectos!$B330),"")</f>
        <v/>
      </c>
      <c r="F990" s="5" t="str">
        <f>IFERROR(IF(Portafolio_Proyectos!$AQ330="","",Portafolio_Proyectos!$D330),"")</f>
        <v/>
      </c>
      <c r="G990" s="5" t="str">
        <f>IFERROR(IF(Portafolio_Proyectos!$AQ330="","",Portafolio_Proyectos!$A330),"")</f>
        <v/>
      </c>
      <c r="H990" s="5" t="str">
        <f>IFERROR(IF(Portafolio_Proyectos!$AQ330="","",Portafolio_Proyectos!$E330),"")</f>
        <v/>
      </c>
    </row>
    <row r="991" spans="1:8" x14ac:dyDescent="0.35">
      <c r="A991" s="5" t="str">
        <f>IFERROR(IF(Portafolio_Proyectos!$AR330="","","CAP-"&amp;ROW()-1),"")</f>
        <v/>
      </c>
      <c r="B991" s="5" t="str">
        <f>IFERROR(IF(Portafolio_Proyectos!$AR330="","",Portafolio_Proyectos!$AR330),"")</f>
        <v/>
      </c>
      <c r="C991" s="5" t="str">
        <f>IFERROR(IF(Portafolio_Proyectos!$AR330="","","Distintiva"),"")</f>
        <v/>
      </c>
      <c r="D991" s="5" t="str">
        <f>IFERROR(IF(Portafolio_Proyectos!$AR330="","",Portafolio_Proyectos!$C330),"")</f>
        <v/>
      </c>
      <c r="E991" s="5" t="str">
        <f>IFERROR(IF(Portafolio_Proyectos!$AR330="","",Portafolio_Proyectos!$B330),"")</f>
        <v/>
      </c>
      <c r="F991" s="5" t="str">
        <f>IFERROR(IF(Portafolio_Proyectos!$AR330="","",Portafolio_Proyectos!$D330),"")</f>
        <v/>
      </c>
      <c r="G991" s="5" t="str">
        <f>IFERROR(IF(Portafolio_Proyectos!$AR330="","",Portafolio_Proyectos!$A330),"")</f>
        <v/>
      </c>
      <c r="H991" s="5" t="str">
        <f>IFERROR(IF(Portafolio_Proyectos!$AR330="","",Portafolio_Proyectos!$E330),"")</f>
        <v/>
      </c>
    </row>
    <row r="992" spans="1:8" x14ac:dyDescent="0.35">
      <c r="A992" s="5" t="str">
        <f>IFERROR(IF(Portafolio_Proyectos!$AP331="","","CAP-"&amp;ROW()-1),"")</f>
        <v/>
      </c>
      <c r="B992" s="5" t="str">
        <f>IFERROR(IF(Portafolio_Proyectos!$AP331="","",Portafolio_Proyectos!$AP331),"")</f>
        <v/>
      </c>
      <c r="C992" s="5" t="str">
        <f>IFERROR(IF(Portafolio_Proyectos!$AP331="","","Emergente"),"")</f>
        <v/>
      </c>
      <c r="D992" s="5" t="str">
        <f>IFERROR(IF(Portafolio_Proyectos!$AP331="","",Portafolio_Proyectos!$C331),"")</f>
        <v/>
      </c>
      <c r="E992" s="5" t="str">
        <f>IFERROR(IF(Portafolio_Proyectos!$AP331="","",Portafolio_Proyectos!$B331),"")</f>
        <v/>
      </c>
      <c r="F992" s="5" t="str">
        <f>IFERROR(IF(Portafolio_Proyectos!$AP331="","",Portafolio_Proyectos!$D331),"")</f>
        <v/>
      </c>
      <c r="G992" s="5" t="str">
        <f>IFERROR(IF(Portafolio_Proyectos!$AP331="","",Portafolio_Proyectos!$A331),"")</f>
        <v/>
      </c>
      <c r="H992" s="5" t="str">
        <f>IFERROR(IF(Portafolio_Proyectos!$AP331="","",Portafolio_Proyectos!$E331),"")</f>
        <v/>
      </c>
    </row>
    <row r="993" spans="1:8" x14ac:dyDescent="0.35">
      <c r="A993" s="5" t="str">
        <f>IFERROR(IF(Portafolio_Proyectos!$AQ331="","","CAP-"&amp;ROW()-1),"")</f>
        <v/>
      </c>
      <c r="B993" s="5" t="str">
        <f>IFERROR(IF(Portafolio_Proyectos!$AQ331="","",Portafolio_Proyectos!$AQ331),"")</f>
        <v/>
      </c>
      <c r="C993" s="5" t="str">
        <f>IFERROR(IF(Portafolio_Proyectos!$AQ331="","","Consolidada"),"")</f>
        <v/>
      </c>
      <c r="D993" s="5" t="str">
        <f>IFERROR(IF(Portafolio_Proyectos!$AQ331="","",Portafolio_Proyectos!$C331),"")</f>
        <v/>
      </c>
      <c r="E993" s="5" t="str">
        <f>IFERROR(IF(Portafolio_Proyectos!$AQ331="","",Portafolio_Proyectos!$B331),"")</f>
        <v/>
      </c>
      <c r="F993" s="5" t="str">
        <f>IFERROR(IF(Portafolio_Proyectos!$AQ331="","",Portafolio_Proyectos!$D331),"")</f>
        <v/>
      </c>
      <c r="G993" s="5" t="str">
        <f>IFERROR(IF(Portafolio_Proyectos!$AQ331="","",Portafolio_Proyectos!$A331),"")</f>
        <v/>
      </c>
      <c r="H993" s="5" t="str">
        <f>IFERROR(IF(Portafolio_Proyectos!$AQ331="","",Portafolio_Proyectos!$E331),"")</f>
        <v/>
      </c>
    </row>
    <row r="994" spans="1:8" x14ac:dyDescent="0.35">
      <c r="A994" s="5" t="str">
        <f>IFERROR(IF(Portafolio_Proyectos!$AR331="","","CAP-"&amp;ROW()-1),"")</f>
        <v/>
      </c>
      <c r="B994" s="5" t="str">
        <f>IFERROR(IF(Portafolio_Proyectos!$AR331="","",Portafolio_Proyectos!$AR331),"")</f>
        <v/>
      </c>
      <c r="C994" s="5" t="str">
        <f>IFERROR(IF(Portafolio_Proyectos!$AR331="","","Distintiva"),"")</f>
        <v/>
      </c>
      <c r="D994" s="5" t="str">
        <f>IFERROR(IF(Portafolio_Proyectos!$AR331="","",Portafolio_Proyectos!$C331),"")</f>
        <v/>
      </c>
      <c r="E994" s="5" t="str">
        <f>IFERROR(IF(Portafolio_Proyectos!$AR331="","",Portafolio_Proyectos!$B331),"")</f>
        <v/>
      </c>
      <c r="F994" s="5" t="str">
        <f>IFERROR(IF(Portafolio_Proyectos!$AR331="","",Portafolio_Proyectos!$D331),"")</f>
        <v/>
      </c>
      <c r="G994" s="5" t="str">
        <f>IFERROR(IF(Portafolio_Proyectos!$AR331="","",Portafolio_Proyectos!$A331),"")</f>
        <v/>
      </c>
      <c r="H994" s="5" t="str">
        <f>IFERROR(IF(Portafolio_Proyectos!$AR331="","",Portafolio_Proyectos!$E331),"")</f>
        <v/>
      </c>
    </row>
    <row r="995" spans="1:8" x14ac:dyDescent="0.35">
      <c r="A995" s="5" t="str">
        <f>IFERROR(IF(Portafolio_Proyectos!$AP332="","","CAP-"&amp;ROW()-1),"")</f>
        <v/>
      </c>
      <c r="B995" s="5" t="str">
        <f>IFERROR(IF(Portafolio_Proyectos!$AP332="","",Portafolio_Proyectos!$AP332),"")</f>
        <v/>
      </c>
      <c r="C995" s="5" t="str">
        <f>IFERROR(IF(Portafolio_Proyectos!$AP332="","","Emergente"),"")</f>
        <v/>
      </c>
      <c r="D995" s="5" t="str">
        <f>IFERROR(IF(Portafolio_Proyectos!$AP332="","",Portafolio_Proyectos!$C332),"")</f>
        <v/>
      </c>
      <c r="E995" s="5" t="str">
        <f>IFERROR(IF(Portafolio_Proyectos!$AP332="","",Portafolio_Proyectos!$B332),"")</f>
        <v/>
      </c>
      <c r="F995" s="5" t="str">
        <f>IFERROR(IF(Portafolio_Proyectos!$AP332="","",Portafolio_Proyectos!$D332),"")</f>
        <v/>
      </c>
      <c r="G995" s="5" t="str">
        <f>IFERROR(IF(Portafolio_Proyectos!$AP332="","",Portafolio_Proyectos!$A332),"")</f>
        <v/>
      </c>
      <c r="H995" s="5" t="str">
        <f>IFERROR(IF(Portafolio_Proyectos!$AP332="","",Portafolio_Proyectos!$E332),"")</f>
        <v/>
      </c>
    </row>
    <row r="996" spans="1:8" x14ac:dyDescent="0.35">
      <c r="A996" s="5" t="str">
        <f>IFERROR(IF(Portafolio_Proyectos!$AQ332="","","CAP-"&amp;ROW()-1),"")</f>
        <v/>
      </c>
      <c r="B996" s="5" t="str">
        <f>IFERROR(IF(Portafolio_Proyectos!$AQ332="","",Portafolio_Proyectos!$AQ332),"")</f>
        <v/>
      </c>
      <c r="C996" s="5" t="str">
        <f>IFERROR(IF(Portafolio_Proyectos!$AQ332="","","Consolidada"),"")</f>
        <v/>
      </c>
      <c r="D996" s="5" t="str">
        <f>IFERROR(IF(Portafolio_Proyectos!$AQ332="","",Portafolio_Proyectos!$C332),"")</f>
        <v/>
      </c>
      <c r="E996" s="5" t="str">
        <f>IFERROR(IF(Portafolio_Proyectos!$AQ332="","",Portafolio_Proyectos!$B332),"")</f>
        <v/>
      </c>
      <c r="F996" s="5" t="str">
        <f>IFERROR(IF(Portafolio_Proyectos!$AQ332="","",Portafolio_Proyectos!$D332),"")</f>
        <v/>
      </c>
      <c r="G996" s="5" t="str">
        <f>IFERROR(IF(Portafolio_Proyectos!$AQ332="","",Portafolio_Proyectos!$A332),"")</f>
        <v/>
      </c>
      <c r="H996" s="5" t="str">
        <f>IFERROR(IF(Portafolio_Proyectos!$AQ332="","",Portafolio_Proyectos!$E332),"")</f>
        <v/>
      </c>
    </row>
    <row r="997" spans="1:8" x14ac:dyDescent="0.35">
      <c r="A997" s="5" t="str">
        <f>IFERROR(IF(Portafolio_Proyectos!$AR332="","","CAP-"&amp;ROW()-1),"")</f>
        <v/>
      </c>
      <c r="B997" s="5" t="str">
        <f>IFERROR(IF(Portafolio_Proyectos!$AR332="","",Portafolio_Proyectos!$AR332),"")</f>
        <v/>
      </c>
      <c r="C997" s="5" t="str">
        <f>IFERROR(IF(Portafolio_Proyectos!$AR332="","","Distintiva"),"")</f>
        <v/>
      </c>
      <c r="D997" s="5" t="str">
        <f>IFERROR(IF(Portafolio_Proyectos!$AR332="","",Portafolio_Proyectos!$C332),"")</f>
        <v/>
      </c>
      <c r="E997" s="5" t="str">
        <f>IFERROR(IF(Portafolio_Proyectos!$AR332="","",Portafolio_Proyectos!$B332),"")</f>
        <v/>
      </c>
      <c r="F997" s="5" t="str">
        <f>IFERROR(IF(Portafolio_Proyectos!$AR332="","",Portafolio_Proyectos!$D332),"")</f>
        <v/>
      </c>
      <c r="G997" s="5" t="str">
        <f>IFERROR(IF(Portafolio_Proyectos!$AR332="","",Portafolio_Proyectos!$A332),"")</f>
        <v/>
      </c>
      <c r="H997" s="5" t="str">
        <f>IFERROR(IF(Portafolio_Proyectos!$AR332="","",Portafolio_Proyectos!$E332),"")</f>
        <v/>
      </c>
    </row>
    <row r="998" spans="1:8" x14ac:dyDescent="0.35">
      <c r="A998" s="5" t="str">
        <f>IFERROR(IF(Portafolio_Proyectos!$AP333="","","CAP-"&amp;ROW()-1),"")</f>
        <v/>
      </c>
      <c r="B998" s="5" t="str">
        <f>IFERROR(IF(Portafolio_Proyectos!$AP333="","",Portafolio_Proyectos!$AP333),"")</f>
        <v/>
      </c>
      <c r="C998" s="5" t="str">
        <f>IFERROR(IF(Portafolio_Proyectos!$AP333="","","Emergente"),"")</f>
        <v/>
      </c>
      <c r="D998" s="5" t="str">
        <f>IFERROR(IF(Portafolio_Proyectos!$AP333="","",Portafolio_Proyectos!$C333),"")</f>
        <v/>
      </c>
      <c r="E998" s="5" t="str">
        <f>IFERROR(IF(Portafolio_Proyectos!$AP333="","",Portafolio_Proyectos!$B333),"")</f>
        <v/>
      </c>
      <c r="F998" s="5" t="str">
        <f>IFERROR(IF(Portafolio_Proyectos!$AP333="","",Portafolio_Proyectos!$D333),"")</f>
        <v/>
      </c>
      <c r="G998" s="5" t="str">
        <f>IFERROR(IF(Portafolio_Proyectos!$AP333="","",Portafolio_Proyectos!$A333),"")</f>
        <v/>
      </c>
      <c r="H998" s="5" t="str">
        <f>IFERROR(IF(Portafolio_Proyectos!$AP333="","",Portafolio_Proyectos!$E333),"")</f>
        <v/>
      </c>
    </row>
    <row r="999" spans="1:8" x14ac:dyDescent="0.35">
      <c r="A999" s="5" t="str">
        <f>IFERROR(IF(Portafolio_Proyectos!$AQ333="","","CAP-"&amp;ROW()-1),"")</f>
        <v/>
      </c>
      <c r="B999" s="5" t="str">
        <f>IFERROR(IF(Portafolio_Proyectos!$AQ333="","",Portafolio_Proyectos!$AQ333),"")</f>
        <v/>
      </c>
      <c r="C999" s="5" t="str">
        <f>IFERROR(IF(Portafolio_Proyectos!$AQ333="","","Consolidada"),"")</f>
        <v/>
      </c>
      <c r="D999" s="5" t="str">
        <f>IFERROR(IF(Portafolio_Proyectos!$AQ333="","",Portafolio_Proyectos!$C333),"")</f>
        <v/>
      </c>
      <c r="E999" s="5" t="str">
        <f>IFERROR(IF(Portafolio_Proyectos!$AQ333="","",Portafolio_Proyectos!$B333),"")</f>
        <v/>
      </c>
      <c r="F999" s="5" t="str">
        <f>IFERROR(IF(Portafolio_Proyectos!$AQ333="","",Portafolio_Proyectos!$D333),"")</f>
        <v/>
      </c>
      <c r="G999" s="5" t="str">
        <f>IFERROR(IF(Portafolio_Proyectos!$AQ333="","",Portafolio_Proyectos!$A333),"")</f>
        <v/>
      </c>
      <c r="H999" s="5" t="str">
        <f>IFERROR(IF(Portafolio_Proyectos!$AQ333="","",Portafolio_Proyectos!$E333),"")</f>
        <v/>
      </c>
    </row>
    <row r="1000" spans="1:8" x14ac:dyDescent="0.35">
      <c r="A1000" s="5" t="str">
        <f>IFERROR(IF(Portafolio_Proyectos!$AR333="","","CAP-"&amp;ROW()-1),"")</f>
        <v/>
      </c>
      <c r="B1000" s="5" t="str">
        <f>IFERROR(IF(Portafolio_Proyectos!$AR333="","",Portafolio_Proyectos!$AR333),"")</f>
        <v/>
      </c>
      <c r="C1000" s="5" t="str">
        <f>IFERROR(IF(Portafolio_Proyectos!$AR333="","","Distintiva"),"")</f>
        <v/>
      </c>
      <c r="D1000" s="5" t="str">
        <f>IFERROR(IF(Portafolio_Proyectos!$AR333="","",Portafolio_Proyectos!$C333),"")</f>
        <v/>
      </c>
      <c r="E1000" s="5" t="str">
        <f>IFERROR(IF(Portafolio_Proyectos!$AR333="","",Portafolio_Proyectos!$B333),"")</f>
        <v/>
      </c>
      <c r="F1000" s="5" t="str">
        <f>IFERROR(IF(Portafolio_Proyectos!$AR333="","",Portafolio_Proyectos!$D333),"")</f>
        <v/>
      </c>
      <c r="G1000" s="5" t="str">
        <f>IFERROR(IF(Portafolio_Proyectos!$AR333="","",Portafolio_Proyectos!$A333),"")</f>
        <v/>
      </c>
      <c r="H1000" s="5" t="str">
        <f>IFERROR(IF(Portafolio_Proyectos!$AR333="","",Portafolio_Proyectos!$E333),"")</f>
        <v/>
      </c>
    </row>
    <row r="1001" spans="1:8" x14ac:dyDescent="0.35">
      <c r="A1001" s="5" t="str">
        <f>IFERROR(IF(Portafolio_Proyectos!$AP334="","","CAP-"&amp;ROW()-1),"")</f>
        <v/>
      </c>
      <c r="B1001" s="5" t="str">
        <f>IFERROR(IF(Portafolio_Proyectos!$AP334="","",Portafolio_Proyectos!$AP334),"")</f>
        <v/>
      </c>
      <c r="C1001" s="5" t="str">
        <f>IFERROR(IF(Portafolio_Proyectos!$AP334="","","Emergente"),"")</f>
        <v/>
      </c>
      <c r="D1001" s="5" t="str">
        <f>IFERROR(IF(Portafolio_Proyectos!$AP334="","",Portafolio_Proyectos!$C334),"")</f>
        <v/>
      </c>
      <c r="E1001" s="5" t="str">
        <f>IFERROR(IF(Portafolio_Proyectos!$AP334="","",Portafolio_Proyectos!$B334),"")</f>
        <v/>
      </c>
      <c r="F1001" s="5" t="str">
        <f>IFERROR(IF(Portafolio_Proyectos!$AP334="","",Portafolio_Proyectos!$D334),"")</f>
        <v/>
      </c>
      <c r="G1001" s="5" t="str">
        <f>IFERROR(IF(Portafolio_Proyectos!$AP334="","",Portafolio_Proyectos!$A334),"")</f>
        <v/>
      </c>
      <c r="H1001" s="5" t="str">
        <f>IFERROR(IF(Portafolio_Proyectos!$AP334="","",Portafolio_Proyectos!$E334),"")</f>
        <v/>
      </c>
    </row>
    <row r="1002" spans="1:8" x14ac:dyDescent="0.35">
      <c r="A1002" s="5" t="str">
        <f>IFERROR(IF(Portafolio_Proyectos!$AQ334="","","CAP-"&amp;ROW()-1),"")</f>
        <v/>
      </c>
      <c r="B1002" s="5" t="str">
        <f>IFERROR(IF(Portafolio_Proyectos!$AQ334="","",Portafolio_Proyectos!$AQ334),"")</f>
        <v/>
      </c>
      <c r="C1002" s="5" t="str">
        <f>IFERROR(IF(Portafolio_Proyectos!$AQ334="","","Consolidada"),"")</f>
        <v/>
      </c>
      <c r="D1002" s="5" t="str">
        <f>IFERROR(IF(Portafolio_Proyectos!$AQ334="","",Portafolio_Proyectos!$C334),"")</f>
        <v/>
      </c>
      <c r="E1002" s="5" t="str">
        <f>IFERROR(IF(Portafolio_Proyectos!$AQ334="","",Portafolio_Proyectos!$B334),"")</f>
        <v/>
      </c>
      <c r="F1002" s="5" t="str">
        <f>IFERROR(IF(Portafolio_Proyectos!$AQ334="","",Portafolio_Proyectos!$D334),"")</f>
        <v/>
      </c>
      <c r="G1002" s="5" t="str">
        <f>IFERROR(IF(Portafolio_Proyectos!$AQ334="","",Portafolio_Proyectos!$A334),"")</f>
        <v/>
      </c>
      <c r="H1002" s="5" t="str">
        <f>IFERROR(IF(Portafolio_Proyectos!$AQ334="","",Portafolio_Proyectos!$E334),"")</f>
        <v/>
      </c>
    </row>
    <row r="1003" spans="1:8" x14ac:dyDescent="0.35">
      <c r="A1003" s="5" t="str">
        <f>IFERROR(IF(Portafolio_Proyectos!$AR334="","","CAP-"&amp;ROW()-1),"")</f>
        <v/>
      </c>
      <c r="B1003" s="5" t="str">
        <f>IFERROR(IF(Portafolio_Proyectos!$AR334="","",Portafolio_Proyectos!$AR334),"")</f>
        <v/>
      </c>
      <c r="C1003" s="5" t="str">
        <f>IFERROR(IF(Portafolio_Proyectos!$AR334="","","Distintiva"),"")</f>
        <v/>
      </c>
      <c r="D1003" s="5" t="str">
        <f>IFERROR(IF(Portafolio_Proyectos!$AR334="","",Portafolio_Proyectos!$C334),"")</f>
        <v/>
      </c>
      <c r="E1003" s="5" t="str">
        <f>IFERROR(IF(Portafolio_Proyectos!$AR334="","",Portafolio_Proyectos!$B334),"")</f>
        <v/>
      </c>
      <c r="F1003" s="5" t="str">
        <f>IFERROR(IF(Portafolio_Proyectos!$AR334="","",Portafolio_Proyectos!$D334),"")</f>
        <v/>
      </c>
      <c r="G1003" s="5" t="str">
        <f>IFERROR(IF(Portafolio_Proyectos!$AR334="","",Portafolio_Proyectos!$A334),"")</f>
        <v/>
      </c>
      <c r="H1003" s="5" t="str">
        <f>IFERROR(IF(Portafolio_Proyectos!$AR334="","",Portafolio_Proyectos!$E334),"")</f>
        <v/>
      </c>
    </row>
    <row r="1004" spans="1:8" x14ac:dyDescent="0.35">
      <c r="A1004" s="5" t="str">
        <f>IFERROR(IF(Portafolio_Proyectos!$AP335="","","CAP-"&amp;ROW()-1),"")</f>
        <v/>
      </c>
      <c r="B1004" s="5" t="str">
        <f>IFERROR(IF(Portafolio_Proyectos!$AP335="","",Portafolio_Proyectos!$AP335),"")</f>
        <v/>
      </c>
      <c r="C1004" s="5" t="str">
        <f>IFERROR(IF(Portafolio_Proyectos!$AP335="","","Emergente"),"")</f>
        <v/>
      </c>
      <c r="D1004" s="5" t="str">
        <f>IFERROR(IF(Portafolio_Proyectos!$AP335="","",Portafolio_Proyectos!$C335),"")</f>
        <v/>
      </c>
      <c r="E1004" s="5" t="str">
        <f>IFERROR(IF(Portafolio_Proyectos!$AP335="","",Portafolio_Proyectos!$B335),"")</f>
        <v/>
      </c>
      <c r="F1004" s="5" t="str">
        <f>IFERROR(IF(Portafolio_Proyectos!$AP335="","",Portafolio_Proyectos!$D335),"")</f>
        <v/>
      </c>
      <c r="G1004" s="5" t="str">
        <f>IFERROR(IF(Portafolio_Proyectos!$AP335="","",Portafolio_Proyectos!$A335),"")</f>
        <v/>
      </c>
      <c r="H1004" s="5" t="str">
        <f>IFERROR(IF(Portafolio_Proyectos!$AP335="","",Portafolio_Proyectos!$E335),"")</f>
        <v/>
      </c>
    </row>
    <row r="1005" spans="1:8" x14ac:dyDescent="0.35">
      <c r="A1005" s="5" t="str">
        <f>IFERROR(IF(Portafolio_Proyectos!$AQ335="","","CAP-"&amp;ROW()-1),"")</f>
        <v/>
      </c>
      <c r="B1005" s="5" t="str">
        <f>IFERROR(IF(Portafolio_Proyectos!$AQ335="","",Portafolio_Proyectos!$AQ335),"")</f>
        <v/>
      </c>
      <c r="C1005" s="5" t="str">
        <f>IFERROR(IF(Portafolio_Proyectos!$AQ335="","","Consolidada"),"")</f>
        <v/>
      </c>
      <c r="D1005" s="5" t="str">
        <f>IFERROR(IF(Portafolio_Proyectos!$AQ335="","",Portafolio_Proyectos!$C335),"")</f>
        <v/>
      </c>
      <c r="E1005" s="5" t="str">
        <f>IFERROR(IF(Portafolio_Proyectos!$AQ335="","",Portafolio_Proyectos!$B335),"")</f>
        <v/>
      </c>
      <c r="F1005" s="5" t="str">
        <f>IFERROR(IF(Portafolio_Proyectos!$AQ335="","",Portafolio_Proyectos!$D335),"")</f>
        <v/>
      </c>
      <c r="G1005" s="5" t="str">
        <f>IFERROR(IF(Portafolio_Proyectos!$AQ335="","",Portafolio_Proyectos!$A335),"")</f>
        <v/>
      </c>
      <c r="H1005" s="5" t="str">
        <f>IFERROR(IF(Portafolio_Proyectos!$AQ335="","",Portafolio_Proyectos!$E335),"")</f>
        <v/>
      </c>
    </row>
    <row r="1006" spans="1:8" x14ac:dyDescent="0.35">
      <c r="A1006" s="5" t="str">
        <f>IFERROR(IF(Portafolio_Proyectos!$AR335="","","CAP-"&amp;ROW()-1),"")</f>
        <v/>
      </c>
      <c r="B1006" s="5" t="str">
        <f>IFERROR(IF(Portafolio_Proyectos!$AR335="","",Portafolio_Proyectos!$AR335),"")</f>
        <v/>
      </c>
      <c r="C1006" s="5" t="str">
        <f>IFERROR(IF(Portafolio_Proyectos!$AR335="","","Distintiva"),"")</f>
        <v/>
      </c>
      <c r="D1006" s="5" t="str">
        <f>IFERROR(IF(Portafolio_Proyectos!$AR335="","",Portafolio_Proyectos!$C335),"")</f>
        <v/>
      </c>
      <c r="E1006" s="5" t="str">
        <f>IFERROR(IF(Portafolio_Proyectos!$AR335="","",Portafolio_Proyectos!$B335),"")</f>
        <v/>
      </c>
      <c r="F1006" s="5" t="str">
        <f>IFERROR(IF(Portafolio_Proyectos!$AR335="","",Portafolio_Proyectos!$D335),"")</f>
        <v/>
      </c>
      <c r="G1006" s="5" t="str">
        <f>IFERROR(IF(Portafolio_Proyectos!$AR335="","",Portafolio_Proyectos!$A335),"")</f>
        <v/>
      </c>
      <c r="H1006" s="5" t="str">
        <f>IFERROR(IF(Portafolio_Proyectos!$AR335="","",Portafolio_Proyectos!$E335),"")</f>
        <v/>
      </c>
    </row>
    <row r="1007" spans="1:8" x14ac:dyDescent="0.35">
      <c r="A1007" s="5" t="str">
        <f>IFERROR(IF(Portafolio_Proyectos!$AP336="","","CAP-"&amp;ROW()-1),"")</f>
        <v/>
      </c>
      <c r="B1007" s="5" t="str">
        <f>IFERROR(IF(Portafolio_Proyectos!$AP336="","",Portafolio_Proyectos!$AP336),"")</f>
        <v/>
      </c>
      <c r="C1007" s="5" t="str">
        <f>IFERROR(IF(Portafolio_Proyectos!$AP336="","","Emergente"),"")</f>
        <v/>
      </c>
      <c r="D1007" s="5" t="str">
        <f>IFERROR(IF(Portafolio_Proyectos!$AP336="","",Portafolio_Proyectos!$C336),"")</f>
        <v/>
      </c>
      <c r="E1007" s="5" t="str">
        <f>IFERROR(IF(Portafolio_Proyectos!$AP336="","",Portafolio_Proyectos!$B336),"")</f>
        <v/>
      </c>
      <c r="F1007" s="5" t="str">
        <f>IFERROR(IF(Portafolio_Proyectos!$AP336="","",Portafolio_Proyectos!$D336),"")</f>
        <v/>
      </c>
      <c r="G1007" s="5" t="str">
        <f>IFERROR(IF(Portafolio_Proyectos!$AP336="","",Portafolio_Proyectos!$A336),"")</f>
        <v/>
      </c>
      <c r="H1007" s="5" t="str">
        <f>IFERROR(IF(Portafolio_Proyectos!$AP336="","",Portafolio_Proyectos!$E336),"")</f>
        <v/>
      </c>
    </row>
    <row r="1008" spans="1:8" x14ac:dyDescent="0.35">
      <c r="A1008" s="5" t="str">
        <f>IFERROR(IF(Portafolio_Proyectos!$AQ336="","","CAP-"&amp;ROW()-1),"")</f>
        <v/>
      </c>
      <c r="B1008" s="5" t="str">
        <f>IFERROR(IF(Portafolio_Proyectos!$AQ336="","",Portafolio_Proyectos!$AQ336),"")</f>
        <v/>
      </c>
      <c r="C1008" s="5" t="str">
        <f>IFERROR(IF(Portafolio_Proyectos!$AQ336="","","Consolidada"),"")</f>
        <v/>
      </c>
      <c r="D1008" s="5" t="str">
        <f>IFERROR(IF(Portafolio_Proyectos!$AQ336="","",Portafolio_Proyectos!$C336),"")</f>
        <v/>
      </c>
      <c r="E1008" s="5" t="str">
        <f>IFERROR(IF(Portafolio_Proyectos!$AQ336="","",Portafolio_Proyectos!$B336),"")</f>
        <v/>
      </c>
      <c r="F1008" s="5" t="str">
        <f>IFERROR(IF(Portafolio_Proyectos!$AQ336="","",Portafolio_Proyectos!$D336),"")</f>
        <v/>
      </c>
      <c r="G1008" s="5" t="str">
        <f>IFERROR(IF(Portafolio_Proyectos!$AQ336="","",Portafolio_Proyectos!$A336),"")</f>
        <v/>
      </c>
      <c r="H1008" s="5" t="str">
        <f>IFERROR(IF(Portafolio_Proyectos!$AQ336="","",Portafolio_Proyectos!$E336),"")</f>
        <v/>
      </c>
    </row>
    <row r="1009" spans="1:8" x14ac:dyDescent="0.35">
      <c r="A1009" s="5" t="str">
        <f>IFERROR(IF(Portafolio_Proyectos!$AR336="","","CAP-"&amp;ROW()-1),"")</f>
        <v/>
      </c>
      <c r="B1009" s="5" t="str">
        <f>IFERROR(IF(Portafolio_Proyectos!$AR336="","",Portafolio_Proyectos!$AR336),"")</f>
        <v/>
      </c>
      <c r="C1009" s="5" t="str">
        <f>IFERROR(IF(Portafolio_Proyectos!$AR336="","","Distintiva"),"")</f>
        <v/>
      </c>
      <c r="D1009" s="5" t="str">
        <f>IFERROR(IF(Portafolio_Proyectos!$AR336="","",Portafolio_Proyectos!$C336),"")</f>
        <v/>
      </c>
      <c r="E1009" s="5" t="str">
        <f>IFERROR(IF(Portafolio_Proyectos!$AR336="","",Portafolio_Proyectos!$B336),"")</f>
        <v/>
      </c>
      <c r="F1009" s="5" t="str">
        <f>IFERROR(IF(Portafolio_Proyectos!$AR336="","",Portafolio_Proyectos!$D336),"")</f>
        <v/>
      </c>
      <c r="G1009" s="5" t="str">
        <f>IFERROR(IF(Portafolio_Proyectos!$AR336="","",Portafolio_Proyectos!$A336),"")</f>
        <v/>
      </c>
      <c r="H1009" s="5" t="str">
        <f>IFERROR(IF(Portafolio_Proyectos!$AR336="","",Portafolio_Proyectos!$E336),"")</f>
        <v/>
      </c>
    </row>
    <row r="1010" spans="1:8" x14ac:dyDescent="0.35">
      <c r="A1010" s="5" t="str">
        <f>IFERROR(IF(Portafolio_Proyectos!$AP337="","","CAP-"&amp;ROW()-1),"")</f>
        <v/>
      </c>
      <c r="B1010" s="5" t="str">
        <f>IFERROR(IF(Portafolio_Proyectos!$AP337="","",Portafolio_Proyectos!$AP337),"")</f>
        <v/>
      </c>
      <c r="C1010" s="5" t="str">
        <f>IFERROR(IF(Portafolio_Proyectos!$AP337="","","Emergente"),"")</f>
        <v/>
      </c>
      <c r="D1010" s="5" t="str">
        <f>IFERROR(IF(Portafolio_Proyectos!$AP337="","",Portafolio_Proyectos!$C337),"")</f>
        <v/>
      </c>
      <c r="E1010" s="5" t="str">
        <f>IFERROR(IF(Portafolio_Proyectos!$AP337="","",Portafolio_Proyectos!$B337),"")</f>
        <v/>
      </c>
      <c r="F1010" s="5" t="str">
        <f>IFERROR(IF(Portafolio_Proyectos!$AP337="","",Portafolio_Proyectos!$D337),"")</f>
        <v/>
      </c>
      <c r="G1010" s="5" t="str">
        <f>IFERROR(IF(Portafolio_Proyectos!$AP337="","",Portafolio_Proyectos!$A337),"")</f>
        <v/>
      </c>
      <c r="H1010" s="5" t="str">
        <f>IFERROR(IF(Portafolio_Proyectos!$AP337="","",Portafolio_Proyectos!$E337),"")</f>
        <v/>
      </c>
    </row>
    <row r="1011" spans="1:8" x14ac:dyDescent="0.35">
      <c r="A1011" s="5" t="str">
        <f>IFERROR(IF(Portafolio_Proyectos!$AQ337="","","CAP-"&amp;ROW()-1),"")</f>
        <v/>
      </c>
      <c r="B1011" s="5" t="str">
        <f>IFERROR(IF(Portafolio_Proyectos!$AQ337="","",Portafolio_Proyectos!$AQ337),"")</f>
        <v/>
      </c>
      <c r="C1011" s="5" t="str">
        <f>IFERROR(IF(Portafolio_Proyectos!$AQ337="","","Consolidada"),"")</f>
        <v/>
      </c>
      <c r="D1011" s="5" t="str">
        <f>IFERROR(IF(Portafolio_Proyectos!$AQ337="","",Portafolio_Proyectos!$C337),"")</f>
        <v/>
      </c>
      <c r="E1011" s="5" t="str">
        <f>IFERROR(IF(Portafolio_Proyectos!$AQ337="","",Portafolio_Proyectos!$B337),"")</f>
        <v/>
      </c>
      <c r="F1011" s="5" t="str">
        <f>IFERROR(IF(Portafolio_Proyectos!$AQ337="","",Portafolio_Proyectos!$D337),"")</f>
        <v/>
      </c>
      <c r="G1011" s="5" t="str">
        <f>IFERROR(IF(Portafolio_Proyectos!$AQ337="","",Portafolio_Proyectos!$A337),"")</f>
        <v/>
      </c>
      <c r="H1011" s="5" t="str">
        <f>IFERROR(IF(Portafolio_Proyectos!$AQ337="","",Portafolio_Proyectos!$E337),"")</f>
        <v/>
      </c>
    </row>
    <row r="1012" spans="1:8" x14ac:dyDescent="0.35">
      <c r="A1012" s="5" t="str">
        <f>IFERROR(IF(Portafolio_Proyectos!$AR337="","","CAP-"&amp;ROW()-1),"")</f>
        <v/>
      </c>
      <c r="B1012" s="5" t="str">
        <f>IFERROR(IF(Portafolio_Proyectos!$AR337="","",Portafolio_Proyectos!$AR337),"")</f>
        <v/>
      </c>
      <c r="C1012" s="5" t="str">
        <f>IFERROR(IF(Portafolio_Proyectos!$AR337="","","Distintiva"),"")</f>
        <v/>
      </c>
      <c r="D1012" s="5" t="str">
        <f>IFERROR(IF(Portafolio_Proyectos!$AR337="","",Portafolio_Proyectos!$C337),"")</f>
        <v/>
      </c>
      <c r="E1012" s="5" t="str">
        <f>IFERROR(IF(Portafolio_Proyectos!$AR337="","",Portafolio_Proyectos!$B337),"")</f>
        <v/>
      </c>
      <c r="F1012" s="5" t="str">
        <f>IFERROR(IF(Portafolio_Proyectos!$AR337="","",Portafolio_Proyectos!$D337),"")</f>
        <v/>
      </c>
      <c r="G1012" s="5" t="str">
        <f>IFERROR(IF(Portafolio_Proyectos!$AR337="","",Portafolio_Proyectos!$A337),"")</f>
        <v/>
      </c>
      <c r="H1012" s="5" t="str">
        <f>IFERROR(IF(Portafolio_Proyectos!$AR337="","",Portafolio_Proyectos!$E337),"")</f>
        <v/>
      </c>
    </row>
    <row r="1013" spans="1:8" x14ac:dyDescent="0.35">
      <c r="A1013" s="5" t="str">
        <f>IFERROR(IF(Portafolio_Proyectos!$AP338="","","CAP-"&amp;ROW()-1),"")</f>
        <v/>
      </c>
      <c r="B1013" s="5" t="str">
        <f>IFERROR(IF(Portafolio_Proyectos!$AP338="","",Portafolio_Proyectos!$AP338),"")</f>
        <v/>
      </c>
      <c r="C1013" s="5" t="str">
        <f>IFERROR(IF(Portafolio_Proyectos!$AP338="","","Emergente"),"")</f>
        <v/>
      </c>
      <c r="D1013" s="5" t="str">
        <f>IFERROR(IF(Portafolio_Proyectos!$AP338="","",Portafolio_Proyectos!$C338),"")</f>
        <v/>
      </c>
      <c r="E1013" s="5" t="str">
        <f>IFERROR(IF(Portafolio_Proyectos!$AP338="","",Portafolio_Proyectos!$B338),"")</f>
        <v/>
      </c>
      <c r="F1013" s="5" t="str">
        <f>IFERROR(IF(Portafolio_Proyectos!$AP338="","",Portafolio_Proyectos!$D338),"")</f>
        <v/>
      </c>
      <c r="G1013" s="5" t="str">
        <f>IFERROR(IF(Portafolio_Proyectos!$AP338="","",Portafolio_Proyectos!$A338),"")</f>
        <v/>
      </c>
      <c r="H1013" s="5" t="str">
        <f>IFERROR(IF(Portafolio_Proyectos!$AP338="","",Portafolio_Proyectos!$E338),"")</f>
        <v/>
      </c>
    </row>
    <row r="1014" spans="1:8" x14ac:dyDescent="0.35">
      <c r="A1014" s="5" t="str">
        <f>IFERROR(IF(Portafolio_Proyectos!$AQ338="","","CAP-"&amp;ROW()-1),"")</f>
        <v/>
      </c>
      <c r="B1014" s="5" t="str">
        <f>IFERROR(IF(Portafolio_Proyectos!$AQ338="","",Portafolio_Proyectos!$AQ338),"")</f>
        <v/>
      </c>
      <c r="C1014" s="5" t="str">
        <f>IFERROR(IF(Portafolio_Proyectos!$AQ338="","","Consolidada"),"")</f>
        <v/>
      </c>
      <c r="D1014" s="5" t="str">
        <f>IFERROR(IF(Portafolio_Proyectos!$AQ338="","",Portafolio_Proyectos!$C338),"")</f>
        <v/>
      </c>
      <c r="E1014" s="5" t="str">
        <f>IFERROR(IF(Portafolio_Proyectos!$AQ338="","",Portafolio_Proyectos!$B338),"")</f>
        <v/>
      </c>
      <c r="F1014" s="5" t="str">
        <f>IFERROR(IF(Portafolio_Proyectos!$AQ338="","",Portafolio_Proyectos!$D338),"")</f>
        <v/>
      </c>
      <c r="G1014" s="5" t="str">
        <f>IFERROR(IF(Portafolio_Proyectos!$AQ338="","",Portafolio_Proyectos!$A338),"")</f>
        <v/>
      </c>
      <c r="H1014" s="5" t="str">
        <f>IFERROR(IF(Portafolio_Proyectos!$AQ338="","",Portafolio_Proyectos!$E338),"")</f>
        <v/>
      </c>
    </row>
    <row r="1015" spans="1:8" x14ac:dyDescent="0.35">
      <c r="A1015" s="5" t="str">
        <f>IFERROR(IF(Portafolio_Proyectos!$AR338="","","CAP-"&amp;ROW()-1),"")</f>
        <v/>
      </c>
      <c r="B1015" s="5" t="str">
        <f>IFERROR(IF(Portafolio_Proyectos!$AR338="","",Portafolio_Proyectos!$AR338),"")</f>
        <v/>
      </c>
      <c r="C1015" s="5" t="str">
        <f>IFERROR(IF(Portafolio_Proyectos!$AR338="","","Distintiva"),"")</f>
        <v/>
      </c>
      <c r="D1015" s="5" t="str">
        <f>IFERROR(IF(Portafolio_Proyectos!$AR338="","",Portafolio_Proyectos!$C338),"")</f>
        <v/>
      </c>
      <c r="E1015" s="5" t="str">
        <f>IFERROR(IF(Portafolio_Proyectos!$AR338="","",Portafolio_Proyectos!$B338),"")</f>
        <v/>
      </c>
      <c r="F1015" s="5" t="str">
        <f>IFERROR(IF(Portafolio_Proyectos!$AR338="","",Portafolio_Proyectos!$D338),"")</f>
        <v/>
      </c>
      <c r="G1015" s="5" t="str">
        <f>IFERROR(IF(Portafolio_Proyectos!$AR338="","",Portafolio_Proyectos!$A338),"")</f>
        <v/>
      </c>
      <c r="H1015" s="5" t="str">
        <f>IFERROR(IF(Portafolio_Proyectos!$AR338="","",Portafolio_Proyectos!$E338),"")</f>
        <v/>
      </c>
    </row>
    <row r="1016" spans="1:8" x14ac:dyDescent="0.35">
      <c r="A1016" s="5" t="str">
        <f>IFERROR(IF(Portafolio_Proyectos!$AP339="","","CAP-"&amp;ROW()-1),"")</f>
        <v/>
      </c>
      <c r="B1016" s="5" t="str">
        <f>IFERROR(IF(Portafolio_Proyectos!$AP339="","",Portafolio_Proyectos!$AP339),"")</f>
        <v/>
      </c>
      <c r="C1016" s="5" t="str">
        <f>IFERROR(IF(Portafolio_Proyectos!$AP339="","","Emergente"),"")</f>
        <v/>
      </c>
      <c r="D1016" s="5" t="str">
        <f>IFERROR(IF(Portafolio_Proyectos!$AP339="","",Portafolio_Proyectos!$C339),"")</f>
        <v/>
      </c>
      <c r="E1016" s="5" t="str">
        <f>IFERROR(IF(Portafolio_Proyectos!$AP339="","",Portafolio_Proyectos!$B339),"")</f>
        <v/>
      </c>
      <c r="F1016" s="5" t="str">
        <f>IFERROR(IF(Portafolio_Proyectos!$AP339="","",Portafolio_Proyectos!$D339),"")</f>
        <v/>
      </c>
      <c r="G1016" s="5" t="str">
        <f>IFERROR(IF(Portafolio_Proyectos!$AP339="","",Portafolio_Proyectos!$A339),"")</f>
        <v/>
      </c>
      <c r="H1016" s="5" t="str">
        <f>IFERROR(IF(Portafolio_Proyectos!$AP339="","",Portafolio_Proyectos!$E339),"")</f>
        <v/>
      </c>
    </row>
    <row r="1017" spans="1:8" x14ac:dyDescent="0.35">
      <c r="A1017" s="5" t="str">
        <f>IFERROR(IF(Portafolio_Proyectos!$AQ339="","","CAP-"&amp;ROW()-1),"")</f>
        <v/>
      </c>
      <c r="B1017" s="5" t="str">
        <f>IFERROR(IF(Portafolio_Proyectos!$AQ339="","",Portafolio_Proyectos!$AQ339),"")</f>
        <v/>
      </c>
      <c r="C1017" s="5" t="str">
        <f>IFERROR(IF(Portafolio_Proyectos!$AQ339="","","Consolidada"),"")</f>
        <v/>
      </c>
      <c r="D1017" s="5" t="str">
        <f>IFERROR(IF(Portafolio_Proyectos!$AQ339="","",Portafolio_Proyectos!$C339),"")</f>
        <v/>
      </c>
      <c r="E1017" s="5" t="str">
        <f>IFERROR(IF(Portafolio_Proyectos!$AQ339="","",Portafolio_Proyectos!$B339),"")</f>
        <v/>
      </c>
      <c r="F1017" s="5" t="str">
        <f>IFERROR(IF(Portafolio_Proyectos!$AQ339="","",Portafolio_Proyectos!$D339),"")</f>
        <v/>
      </c>
      <c r="G1017" s="5" t="str">
        <f>IFERROR(IF(Portafolio_Proyectos!$AQ339="","",Portafolio_Proyectos!$A339),"")</f>
        <v/>
      </c>
      <c r="H1017" s="5" t="str">
        <f>IFERROR(IF(Portafolio_Proyectos!$AQ339="","",Portafolio_Proyectos!$E339),"")</f>
        <v/>
      </c>
    </row>
    <row r="1018" spans="1:8" x14ac:dyDescent="0.35">
      <c r="A1018" s="5" t="str">
        <f>IFERROR(IF(Portafolio_Proyectos!$AR339="","","CAP-"&amp;ROW()-1),"")</f>
        <v/>
      </c>
      <c r="B1018" s="5" t="str">
        <f>IFERROR(IF(Portafolio_Proyectos!$AR339="","",Portafolio_Proyectos!$AR339),"")</f>
        <v/>
      </c>
      <c r="C1018" s="5" t="str">
        <f>IFERROR(IF(Portafolio_Proyectos!$AR339="","","Distintiva"),"")</f>
        <v/>
      </c>
      <c r="D1018" s="5" t="str">
        <f>IFERROR(IF(Portafolio_Proyectos!$AR339="","",Portafolio_Proyectos!$C339),"")</f>
        <v/>
      </c>
      <c r="E1018" s="5" t="str">
        <f>IFERROR(IF(Portafolio_Proyectos!$AR339="","",Portafolio_Proyectos!$B339),"")</f>
        <v/>
      </c>
      <c r="F1018" s="5" t="str">
        <f>IFERROR(IF(Portafolio_Proyectos!$AR339="","",Portafolio_Proyectos!$D339),"")</f>
        <v/>
      </c>
      <c r="G1018" s="5" t="str">
        <f>IFERROR(IF(Portafolio_Proyectos!$AR339="","",Portafolio_Proyectos!$A339),"")</f>
        <v/>
      </c>
      <c r="H1018" s="5" t="str">
        <f>IFERROR(IF(Portafolio_Proyectos!$AR339="","",Portafolio_Proyectos!$E339),"")</f>
        <v/>
      </c>
    </row>
    <row r="1019" spans="1:8" x14ac:dyDescent="0.35">
      <c r="A1019" s="5" t="str">
        <f>IFERROR(IF(Portafolio_Proyectos!$AP340="","","CAP-"&amp;ROW()-1),"")</f>
        <v/>
      </c>
      <c r="B1019" s="5" t="str">
        <f>IFERROR(IF(Portafolio_Proyectos!$AP340="","",Portafolio_Proyectos!$AP340),"")</f>
        <v/>
      </c>
      <c r="C1019" s="5" t="str">
        <f>IFERROR(IF(Portafolio_Proyectos!$AP340="","","Emergente"),"")</f>
        <v/>
      </c>
      <c r="D1019" s="5" t="str">
        <f>IFERROR(IF(Portafolio_Proyectos!$AP340="","",Portafolio_Proyectos!$C340),"")</f>
        <v/>
      </c>
      <c r="E1019" s="5" t="str">
        <f>IFERROR(IF(Portafolio_Proyectos!$AP340="","",Portafolio_Proyectos!$B340),"")</f>
        <v/>
      </c>
      <c r="F1019" s="5" t="str">
        <f>IFERROR(IF(Portafolio_Proyectos!$AP340="","",Portafolio_Proyectos!$D340),"")</f>
        <v/>
      </c>
      <c r="G1019" s="5" t="str">
        <f>IFERROR(IF(Portafolio_Proyectos!$AP340="","",Portafolio_Proyectos!$A340),"")</f>
        <v/>
      </c>
      <c r="H1019" s="5" t="str">
        <f>IFERROR(IF(Portafolio_Proyectos!$AP340="","",Portafolio_Proyectos!$E340),"")</f>
        <v/>
      </c>
    </row>
    <row r="1020" spans="1:8" x14ac:dyDescent="0.35">
      <c r="A1020" s="5" t="str">
        <f>IFERROR(IF(Portafolio_Proyectos!$AQ340="","","CAP-"&amp;ROW()-1),"")</f>
        <v/>
      </c>
      <c r="B1020" s="5" t="str">
        <f>IFERROR(IF(Portafolio_Proyectos!$AQ340="","",Portafolio_Proyectos!$AQ340),"")</f>
        <v/>
      </c>
      <c r="C1020" s="5" t="str">
        <f>IFERROR(IF(Portafolio_Proyectos!$AQ340="","","Consolidada"),"")</f>
        <v/>
      </c>
      <c r="D1020" s="5" t="str">
        <f>IFERROR(IF(Portafolio_Proyectos!$AQ340="","",Portafolio_Proyectos!$C340),"")</f>
        <v/>
      </c>
      <c r="E1020" s="5" t="str">
        <f>IFERROR(IF(Portafolio_Proyectos!$AQ340="","",Portafolio_Proyectos!$B340),"")</f>
        <v/>
      </c>
      <c r="F1020" s="5" t="str">
        <f>IFERROR(IF(Portafolio_Proyectos!$AQ340="","",Portafolio_Proyectos!$D340),"")</f>
        <v/>
      </c>
      <c r="G1020" s="5" t="str">
        <f>IFERROR(IF(Portafolio_Proyectos!$AQ340="","",Portafolio_Proyectos!$A340),"")</f>
        <v/>
      </c>
      <c r="H1020" s="5" t="str">
        <f>IFERROR(IF(Portafolio_Proyectos!$AQ340="","",Portafolio_Proyectos!$E340),"")</f>
        <v/>
      </c>
    </row>
    <row r="1021" spans="1:8" x14ac:dyDescent="0.35">
      <c r="A1021" s="5" t="str">
        <f>IFERROR(IF(Portafolio_Proyectos!$AR340="","","CAP-"&amp;ROW()-1),"")</f>
        <v/>
      </c>
      <c r="B1021" s="5" t="str">
        <f>IFERROR(IF(Portafolio_Proyectos!$AR340="","",Portafolio_Proyectos!$AR340),"")</f>
        <v/>
      </c>
      <c r="C1021" s="5" t="str">
        <f>IFERROR(IF(Portafolio_Proyectos!$AR340="","","Distintiva"),"")</f>
        <v/>
      </c>
      <c r="D1021" s="5" t="str">
        <f>IFERROR(IF(Portafolio_Proyectos!$AR340="","",Portafolio_Proyectos!$C340),"")</f>
        <v/>
      </c>
      <c r="E1021" s="5" t="str">
        <f>IFERROR(IF(Portafolio_Proyectos!$AR340="","",Portafolio_Proyectos!$B340),"")</f>
        <v/>
      </c>
      <c r="F1021" s="5" t="str">
        <f>IFERROR(IF(Portafolio_Proyectos!$AR340="","",Portafolio_Proyectos!$D340),"")</f>
        <v/>
      </c>
      <c r="G1021" s="5" t="str">
        <f>IFERROR(IF(Portafolio_Proyectos!$AR340="","",Portafolio_Proyectos!$A340),"")</f>
        <v/>
      </c>
      <c r="H1021" s="5" t="str">
        <f>IFERROR(IF(Portafolio_Proyectos!$AR340="","",Portafolio_Proyectos!$E340),"")</f>
        <v/>
      </c>
    </row>
    <row r="1022" spans="1:8" x14ac:dyDescent="0.35">
      <c r="A1022" s="5" t="str">
        <f>IFERROR(IF(Portafolio_Proyectos!$AP341="","","CAP-"&amp;ROW()-1),"")</f>
        <v/>
      </c>
      <c r="B1022" s="5" t="str">
        <f>IFERROR(IF(Portafolio_Proyectos!$AP341="","",Portafolio_Proyectos!$AP341),"")</f>
        <v/>
      </c>
      <c r="C1022" s="5" t="str">
        <f>IFERROR(IF(Portafolio_Proyectos!$AP341="","","Emergente"),"")</f>
        <v/>
      </c>
      <c r="D1022" s="5" t="str">
        <f>IFERROR(IF(Portafolio_Proyectos!$AP341="","",Portafolio_Proyectos!$C341),"")</f>
        <v/>
      </c>
      <c r="E1022" s="5" t="str">
        <f>IFERROR(IF(Portafolio_Proyectos!$AP341="","",Portafolio_Proyectos!$B341),"")</f>
        <v/>
      </c>
      <c r="F1022" s="5" t="str">
        <f>IFERROR(IF(Portafolio_Proyectos!$AP341="","",Portafolio_Proyectos!$D341),"")</f>
        <v/>
      </c>
      <c r="G1022" s="5" t="str">
        <f>IFERROR(IF(Portafolio_Proyectos!$AP341="","",Portafolio_Proyectos!$A341),"")</f>
        <v/>
      </c>
      <c r="H1022" s="5" t="str">
        <f>IFERROR(IF(Portafolio_Proyectos!$AP341="","",Portafolio_Proyectos!$E341),"")</f>
        <v/>
      </c>
    </row>
    <row r="1023" spans="1:8" x14ac:dyDescent="0.35">
      <c r="A1023" s="5" t="str">
        <f>IFERROR(IF(Portafolio_Proyectos!$AQ341="","","CAP-"&amp;ROW()-1),"")</f>
        <v/>
      </c>
      <c r="B1023" s="5" t="str">
        <f>IFERROR(IF(Portafolio_Proyectos!$AQ341="","",Portafolio_Proyectos!$AQ341),"")</f>
        <v/>
      </c>
      <c r="C1023" s="5" t="str">
        <f>IFERROR(IF(Portafolio_Proyectos!$AQ341="","","Consolidada"),"")</f>
        <v/>
      </c>
      <c r="D1023" s="5" t="str">
        <f>IFERROR(IF(Portafolio_Proyectos!$AQ341="","",Portafolio_Proyectos!$C341),"")</f>
        <v/>
      </c>
      <c r="E1023" s="5" t="str">
        <f>IFERROR(IF(Portafolio_Proyectos!$AQ341="","",Portafolio_Proyectos!$B341),"")</f>
        <v/>
      </c>
      <c r="F1023" s="5" t="str">
        <f>IFERROR(IF(Portafolio_Proyectos!$AQ341="","",Portafolio_Proyectos!$D341),"")</f>
        <v/>
      </c>
      <c r="G1023" s="5" t="str">
        <f>IFERROR(IF(Portafolio_Proyectos!$AQ341="","",Portafolio_Proyectos!$A341),"")</f>
        <v/>
      </c>
      <c r="H1023" s="5" t="str">
        <f>IFERROR(IF(Portafolio_Proyectos!$AQ341="","",Portafolio_Proyectos!$E341),"")</f>
        <v/>
      </c>
    </row>
    <row r="1024" spans="1:8" x14ac:dyDescent="0.35">
      <c r="A1024" s="5" t="str">
        <f>IFERROR(IF(Portafolio_Proyectos!$AR341="","","CAP-"&amp;ROW()-1),"")</f>
        <v/>
      </c>
      <c r="B1024" s="5" t="str">
        <f>IFERROR(IF(Portafolio_Proyectos!$AR341="","",Portafolio_Proyectos!$AR341),"")</f>
        <v/>
      </c>
      <c r="C1024" s="5" t="str">
        <f>IFERROR(IF(Portafolio_Proyectos!$AR341="","","Distintiva"),"")</f>
        <v/>
      </c>
      <c r="D1024" s="5" t="str">
        <f>IFERROR(IF(Portafolio_Proyectos!$AR341="","",Portafolio_Proyectos!$C341),"")</f>
        <v/>
      </c>
      <c r="E1024" s="5" t="str">
        <f>IFERROR(IF(Portafolio_Proyectos!$AR341="","",Portafolio_Proyectos!$B341),"")</f>
        <v/>
      </c>
      <c r="F1024" s="5" t="str">
        <f>IFERROR(IF(Portafolio_Proyectos!$AR341="","",Portafolio_Proyectos!$D341),"")</f>
        <v/>
      </c>
      <c r="G1024" s="5" t="str">
        <f>IFERROR(IF(Portafolio_Proyectos!$AR341="","",Portafolio_Proyectos!$A341),"")</f>
        <v/>
      </c>
      <c r="H1024" s="5" t="str">
        <f>IFERROR(IF(Portafolio_Proyectos!$AR341="","",Portafolio_Proyectos!$E341),"")</f>
        <v/>
      </c>
    </row>
    <row r="1025" spans="1:8" x14ac:dyDescent="0.35">
      <c r="A1025" s="5" t="str">
        <f>IFERROR(IF(Portafolio_Proyectos!$AP342="","","CAP-"&amp;ROW()-1),"")</f>
        <v/>
      </c>
      <c r="B1025" s="5" t="str">
        <f>IFERROR(IF(Portafolio_Proyectos!$AP342="","",Portafolio_Proyectos!$AP342),"")</f>
        <v/>
      </c>
      <c r="C1025" s="5" t="str">
        <f>IFERROR(IF(Portafolio_Proyectos!$AP342="","","Emergente"),"")</f>
        <v/>
      </c>
      <c r="D1025" s="5" t="str">
        <f>IFERROR(IF(Portafolio_Proyectos!$AP342="","",Portafolio_Proyectos!$C342),"")</f>
        <v/>
      </c>
      <c r="E1025" s="5" t="str">
        <f>IFERROR(IF(Portafolio_Proyectos!$AP342="","",Portafolio_Proyectos!$B342),"")</f>
        <v/>
      </c>
      <c r="F1025" s="5" t="str">
        <f>IFERROR(IF(Portafolio_Proyectos!$AP342="","",Portafolio_Proyectos!$D342),"")</f>
        <v/>
      </c>
      <c r="G1025" s="5" t="str">
        <f>IFERROR(IF(Portafolio_Proyectos!$AP342="","",Portafolio_Proyectos!$A342),"")</f>
        <v/>
      </c>
      <c r="H1025" s="5" t="str">
        <f>IFERROR(IF(Portafolio_Proyectos!$AP342="","",Portafolio_Proyectos!$E342),"")</f>
        <v/>
      </c>
    </row>
    <row r="1026" spans="1:8" x14ac:dyDescent="0.35">
      <c r="A1026" s="5" t="str">
        <f>IFERROR(IF(Portafolio_Proyectos!$AQ342="","","CAP-"&amp;ROW()-1),"")</f>
        <v/>
      </c>
      <c r="B1026" s="5" t="str">
        <f>IFERROR(IF(Portafolio_Proyectos!$AQ342="","",Portafolio_Proyectos!$AQ342),"")</f>
        <v/>
      </c>
      <c r="C1026" s="5" t="str">
        <f>IFERROR(IF(Portafolio_Proyectos!$AQ342="","","Consolidada"),"")</f>
        <v/>
      </c>
      <c r="D1026" s="5" t="str">
        <f>IFERROR(IF(Portafolio_Proyectos!$AQ342="","",Portafolio_Proyectos!$C342),"")</f>
        <v/>
      </c>
      <c r="E1026" s="5" t="str">
        <f>IFERROR(IF(Portafolio_Proyectos!$AQ342="","",Portafolio_Proyectos!$B342),"")</f>
        <v/>
      </c>
      <c r="F1026" s="5" t="str">
        <f>IFERROR(IF(Portafolio_Proyectos!$AQ342="","",Portafolio_Proyectos!$D342),"")</f>
        <v/>
      </c>
      <c r="G1026" s="5" t="str">
        <f>IFERROR(IF(Portafolio_Proyectos!$AQ342="","",Portafolio_Proyectos!$A342),"")</f>
        <v/>
      </c>
      <c r="H1026" s="5" t="str">
        <f>IFERROR(IF(Portafolio_Proyectos!$AQ342="","",Portafolio_Proyectos!$E342),"")</f>
        <v/>
      </c>
    </row>
    <row r="1027" spans="1:8" x14ac:dyDescent="0.35">
      <c r="A1027" s="5" t="str">
        <f>IFERROR(IF(Portafolio_Proyectos!$AR342="","","CAP-"&amp;ROW()-1),"")</f>
        <v/>
      </c>
      <c r="B1027" s="5" t="str">
        <f>IFERROR(IF(Portafolio_Proyectos!$AR342="","",Portafolio_Proyectos!$AR342),"")</f>
        <v/>
      </c>
      <c r="C1027" s="5" t="str">
        <f>IFERROR(IF(Portafolio_Proyectos!$AR342="","","Distintiva"),"")</f>
        <v/>
      </c>
      <c r="D1027" s="5" t="str">
        <f>IFERROR(IF(Portafolio_Proyectos!$AR342="","",Portafolio_Proyectos!$C342),"")</f>
        <v/>
      </c>
      <c r="E1027" s="5" t="str">
        <f>IFERROR(IF(Portafolio_Proyectos!$AR342="","",Portafolio_Proyectos!$B342),"")</f>
        <v/>
      </c>
      <c r="F1027" s="5" t="str">
        <f>IFERROR(IF(Portafolio_Proyectos!$AR342="","",Portafolio_Proyectos!$D342),"")</f>
        <v/>
      </c>
      <c r="G1027" s="5" t="str">
        <f>IFERROR(IF(Portafolio_Proyectos!$AR342="","",Portafolio_Proyectos!$A342),"")</f>
        <v/>
      </c>
      <c r="H1027" s="5" t="str">
        <f>IFERROR(IF(Portafolio_Proyectos!$AR342="","",Portafolio_Proyectos!$E342),"")</f>
        <v/>
      </c>
    </row>
    <row r="1028" spans="1:8" x14ac:dyDescent="0.35">
      <c r="A1028" s="5" t="str">
        <f>IFERROR(IF(Portafolio_Proyectos!$AP343="","","CAP-"&amp;ROW()-1),"")</f>
        <v/>
      </c>
      <c r="B1028" s="5" t="str">
        <f>IFERROR(IF(Portafolio_Proyectos!$AP343="","",Portafolio_Proyectos!$AP343),"")</f>
        <v/>
      </c>
      <c r="C1028" s="5" t="str">
        <f>IFERROR(IF(Portafolio_Proyectos!$AP343="","","Emergente"),"")</f>
        <v/>
      </c>
      <c r="D1028" s="5" t="str">
        <f>IFERROR(IF(Portafolio_Proyectos!$AP343="","",Portafolio_Proyectos!$C343),"")</f>
        <v/>
      </c>
      <c r="E1028" s="5" t="str">
        <f>IFERROR(IF(Portafolio_Proyectos!$AP343="","",Portafolio_Proyectos!$B343),"")</f>
        <v/>
      </c>
      <c r="F1028" s="5" t="str">
        <f>IFERROR(IF(Portafolio_Proyectos!$AP343="","",Portafolio_Proyectos!$D343),"")</f>
        <v/>
      </c>
      <c r="G1028" s="5" t="str">
        <f>IFERROR(IF(Portafolio_Proyectos!$AP343="","",Portafolio_Proyectos!$A343),"")</f>
        <v/>
      </c>
      <c r="H1028" s="5" t="str">
        <f>IFERROR(IF(Portafolio_Proyectos!$AP343="","",Portafolio_Proyectos!$E343),"")</f>
        <v/>
      </c>
    </row>
    <row r="1029" spans="1:8" x14ac:dyDescent="0.35">
      <c r="A1029" s="5" t="str">
        <f>IFERROR(IF(Portafolio_Proyectos!$AQ343="","","CAP-"&amp;ROW()-1),"")</f>
        <v/>
      </c>
      <c r="B1029" s="5" t="str">
        <f>IFERROR(IF(Portafolio_Proyectos!$AQ343="","",Portafolio_Proyectos!$AQ343),"")</f>
        <v/>
      </c>
      <c r="C1029" s="5" t="str">
        <f>IFERROR(IF(Portafolio_Proyectos!$AQ343="","","Consolidada"),"")</f>
        <v/>
      </c>
      <c r="D1029" s="5" t="str">
        <f>IFERROR(IF(Portafolio_Proyectos!$AQ343="","",Portafolio_Proyectos!$C343),"")</f>
        <v/>
      </c>
      <c r="E1029" s="5" t="str">
        <f>IFERROR(IF(Portafolio_Proyectos!$AQ343="","",Portafolio_Proyectos!$B343),"")</f>
        <v/>
      </c>
      <c r="F1029" s="5" t="str">
        <f>IFERROR(IF(Portafolio_Proyectos!$AQ343="","",Portafolio_Proyectos!$D343),"")</f>
        <v/>
      </c>
      <c r="G1029" s="5" t="str">
        <f>IFERROR(IF(Portafolio_Proyectos!$AQ343="","",Portafolio_Proyectos!$A343),"")</f>
        <v/>
      </c>
      <c r="H1029" s="5" t="str">
        <f>IFERROR(IF(Portafolio_Proyectos!$AQ343="","",Portafolio_Proyectos!$E343),"")</f>
        <v/>
      </c>
    </row>
    <row r="1030" spans="1:8" x14ac:dyDescent="0.35">
      <c r="A1030" s="5" t="str">
        <f>IFERROR(IF(Portafolio_Proyectos!$AR343="","","CAP-"&amp;ROW()-1),"")</f>
        <v/>
      </c>
      <c r="B1030" s="5" t="str">
        <f>IFERROR(IF(Portafolio_Proyectos!$AR343="","",Portafolio_Proyectos!$AR343),"")</f>
        <v/>
      </c>
      <c r="C1030" s="5" t="str">
        <f>IFERROR(IF(Portafolio_Proyectos!$AR343="","","Distintiva"),"")</f>
        <v/>
      </c>
      <c r="D1030" s="5" t="str">
        <f>IFERROR(IF(Portafolio_Proyectos!$AR343="","",Portafolio_Proyectos!$C343),"")</f>
        <v/>
      </c>
      <c r="E1030" s="5" t="str">
        <f>IFERROR(IF(Portafolio_Proyectos!$AR343="","",Portafolio_Proyectos!$B343),"")</f>
        <v/>
      </c>
      <c r="F1030" s="5" t="str">
        <f>IFERROR(IF(Portafolio_Proyectos!$AR343="","",Portafolio_Proyectos!$D343),"")</f>
        <v/>
      </c>
      <c r="G1030" s="5" t="str">
        <f>IFERROR(IF(Portafolio_Proyectos!$AR343="","",Portafolio_Proyectos!$A343),"")</f>
        <v/>
      </c>
      <c r="H1030" s="5" t="str">
        <f>IFERROR(IF(Portafolio_Proyectos!$AR343="","",Portafolio_Proyectos!$E343),"")</f>
        <v/>
      </c>
    </row>
    <row r="1031" spans="1:8" x14ac:dyDescent="0.35">
      <c r="A1031" s="5" t="str">
        <f>IFERROR(IF(Portafolio_Proyectos!$AP344="","","CAP-"&amp;ROW()-1),"")</f>
        <v/>
      </c>
      <c r="B1031" s="5" t="str">
        <f>IFERROR(IF(Portafolio_Proyectos!$AP344="","",Portafolio_Proyectos!$AP344),"")</f>
        <v/>
      </c>
      <c r="C1031" s="5" t="str">
        <f>IFERROR(IF(Portafolio_Proyectos!$AP344="","","Emergente"),"")</f>
        <v/>
      </c>
      <c r="D1031" s="5" t="str">
        <f>IFERROR(IF(Portafolio_Proyectos!$AP344="","",Portafolio_Proyectos!$C344),"")</f>
        <v/>
      </c>
      <c r="E1031" s="5" t="str">
        <f>IFERROR(IF(Portafolio_Proyectos!$AP344="","",Portafolio_Proyectos!$B344),"")</f>
        <v/>
      </c>
      <c r="F1031" s="5" t="str">
        <f>IFERROR(IF(Portafolio_Proyectos!$AP344="","",Portafolio_Proyectos!$D344),"")</f>
        <v/>
      </c>
      <c r="G1031" s="5" t="str">
        <f>IFERROR(IF(Portafolio_Proyectos!$AP344="","",Portafolio_Proyectos!$A344),"")</f>
        <v/>
      </c>
      <c r="H1031" s="5" t="str">
        <f>IFERROR(IF(Portafolio_Proyectos!$AP344="","",Portafolio_Proyectos!$E344),"")</f>
        <v/>
      </c>
    </row>
    <row r="1032" spans="1:8" x14ac:dyDescent="0.35">
      <c r="A1032" s="5" t="str">
        <f>IFERROR(IF(Portafolio_Proyectos!$AQ344="","","CAP-"&amp;ROW()-1),"")</f>
        <v/>
      </c>
      <c r="B1032" s="5" t="str">
        <f>IFERROR(IF(Portafolio_Proyectos!$AQ344="","",Portafolio_Proyectos!$AQ344),"")</f>
        <v/>
      </c>
      <c r="C1032" s="5" t="str">
        <f>IFERROR(IF(Portafolio_Proyectos!$AQ344="","","Consolidada"),"")</f>
        <v/>
      </c>
      <c r="D1032" s="5" t="str">
        <f>IFERROR(IF(Portafolio_Proyectos!$AQ344="","",Portafolio_Proyectos!$C344),"")</f>
        <v/>
      </c>
      <c r="E1032" s="5" t="str">
        <f>IFERROR(IF(Portafolio_Proyectos!$AQ344="","",Portafolio_Proyectos!$B344),"")</f>
        <v/>
      </c>
      <c r="F1032" s="5" t="str">
        <f>IFERROR(IF(Portafolio_Proyectos!$AQ344="","",Portafolio_Proyectos!$D344),"")</f>
        <v/>
      </c>
      <c r="G1032" s="5" t="str">
        <f>IFERROR(IF(Portafolio_Proyectos!$AQ344="","",Portafolio_Proyectos!$A344),"")</f>
        <v/>
      </c>
      <c r="H1032" s="5" t="str">
        <f>IFERROR(IF(Portafolio_Proyectos!$AQ344="","",Portafolio_Proyectos!$E344),"")</f>
        <v/>
      </c>
    </row>
    <row r="1033" spans="1:8" x14ac:dyDescent="0.35">
      <c r="A1033" s="5" t="str">
        <f>IFERROR(IF(Portafolio_Proyectos!$AR344="","","CAP-"&amp;ROW()-1),"")</f>
        <v/>
      </c>
      <c r="B1033" s="5" t="str">
        <f>IFERROR(IF(Portafolio_Proyectos!$AR344="","",Portafolio_Proyectos!$AR344),"")</f>
        <v/>
      </c>
      <c r="C1033" s="5" t="str">
        <f>IFERROR(IF(Portafolio_Proyectos!$AR344="","","Distintiva"),"")</f>
        <v/>
      </c>
      <c r="D1033" s="5" t="str">
        <f>IFERROR(IF(Portafolio_Proyectos!$AR344="","",Portafolio_Proyectos!$C344),"")</f>
        <v/>
      </c>
      <c r="E1033" s="5" t="str">
        <f>IFERROR(IF(Portafolio_Proyectos!$AR344="","",Portafolio_Proyectos!$B344),"")</f>
        <v/>
      </c>
      <c r="F1033" s="5" t="str">
        <f>IFERROR(IF(Portafolio_Proyectos!$AR344="","",Portafolio_Proyectos!$D344),"")</f>
        <v/>
      </c>
      <c r="G1033" s="5" t="str">
        <f>IFERROR(IF(Portafolio_Proyectos!$AR344="","",Portafolio_Proyectos!$A344),"")</f>
        <v/>
      </c>
      <c r="H1033" s="5" t="str">
        <f>IFERROR(IF(Portafolio_Proyectos!$AR344="","",Portafolio_Proyectos!$E344),"")</f>
        <v/>
      </c>
    </row>
    <row r="1034" spans="1:8" x14ac:dyDescent="0.35">
      <c r="A1034" s="5" t="str">
        <f>IFERROR(IF(Portafolio_Proyectos!$AP345="","","CAP-"&amp;ROW()-1),"")</f>
        <v/>
      </c>
      <c r="B1034" s="5" t="str">
        <f>IFERROR(IF(Portafolio_Proyectos!$AP345="","",Portafolio_Proyectos!$AP345),"")</f>
        <v/>
      </c>
      <c r="C1034" s="5" t="str">
        <f>IFERROR(IF(Portafolio_Proyectos!$AP345="","","Emergente"),"")</f>
        <v/>
      </c>
      <c r="D1034" s="5" t="str">
        <f>IFERROR(IF(Portafolio_Proyectos!$AP345="","",Portafolio_Proyectos!$C345),"")</f>
        <v/>
      </c>
      <c r="E1034" s="5" t="str">
        <f>IFERROR(IF(Portafolio_Proyectos!$AP345="","",Portafolio_Proyectos!$B345),"")</f>
        <v/>
      </c>
      <c r="F1034" s="5" t="str">
        <f>IFERROR(IF(Portafolio_Proyectos!$AP345="","",Portafolio_Proyectos!$D345),"")</f>
        <v/>
      </c>
      <c r="G1034" s="5" t="str">
        <f>IFERROR(IF(Portafolio_Proyectos!$AP345="","",Portafolio_Proyectos!$A345),"")</f>
        <v/>
      </c>
      <c r="H1034" s="5" t="str">
        <f>IFERROR(IF(Portafolio_Proyectos!$AP345="","",Portafolio_Proyectos!$E345),"")</f>
        <v/>
      </c>
    </row>
    <row r="1035" spans="1:8" x14ac:dyDescent="0.35">
      <c r="A1035" s="5" t="str">
        <f>IFERROR(IF(Portafolio_Proyectos!$AQ345="","","CAP-"&amp;ROW()-1),"")</f>
        <v/>
      </c>
      <c r="B1035" s="5" t="str">
        <f>IFERROR(IF(Portafolio_Proyectos!$AQ345="","",Portafolio_Proyectos!$AQ345),"")</f>
        <v/>
      </c>
      <c r="C1035" s="5" t="str">
        <f>IFERROR(IF(Portafolio_Proyectos!$AQ345="","","Consolidada"),"")</f>
        <v/>
      </c>
      <c r="D1035" s="5" t="str">
        <f>IFERROR(IF(Portafolio_Proyectos!$AQ345="","",Portafolio_Proyectos!$C345),"")</f>
        <v/>
      </c>
      <c r="E1035" s="5" t="str">
        <f>IFERROR(IF(Portafolio_Proyectos!$AQ345="","",Portafolio_Proyectos!$B345),"")</f>
        <v/>
      </c>
      <c r="F1035" s="5" t="str">
        <f>IFERROR(IF(Portafolio_Proyectos!$AQ345="","",Portafolio_Proyectos!$D345),"")</f>
        <v/>
      </c>
      <c r="G1035" s="5" t="str">
        <f>IFERROR(IF(Portafolio_Proyectos!$AQ345="","",Portafolio_Proyectos!$A345),"")</f>
        <v/>
      </c>
      <c r="H1035" s="5" t="str">
        <f>IFERROR(IF(Portafolio_Proyectos!$AQ345="","",Portafolio_Proyectos!$E345),"")</f>
        <v/>
      </c>
    </row>
    <row r="1036" spans="1:8" x14ac:dyDescent="0.35">
      <c r="A1036" s="5" t="str">
        <f>IFERROR(IF(Portafolio_Proyectos!$AR345="","","CAP-"&amp;ROW()-1),"")</f>
        <v/>
      </c>
      <c r="B1036" s="5" t="str">
        <f>IFERROR(IF(Portafolio_Proyectos!$AR345="","",Portafolio_Proyectos!$AR345),"")</f>
        <v/>
      </c>
      <c r="C1036" s="5" t="str">
        <f>IFERROR(IF(Portafolio_Proyectos!$AR345="","","Distintiva"),"")</f>
        <v/>
      </c>
      <c r="D1036" s="5" t="str">
        <f>IFERROR(IF(Portafolio_Proyectos!$AR345="","",Portafolio_Proyectos!$C345),"")</f>
        <v/>
      </c>
      <c r="E1036" s="5" t="str">
        <f>IFERROR(IF(Portafolio_Proyectos!$AR345="","",Portafolio_Proyectos!$B345),"")</f>
        <v/>
      </c>
      <c r="F1036" s="5" t="str">
        <f>IFERROR(IF(Portafolio_Proyectos!$AR345="","",Portafolio_Proyectos!$D345),"")</f>
        <v/>
      </c>
      <c r="G1036" s="5" t="str">
        <f>IFERROR(IF(Portafolio_Proyectos!$AR345="","",Portafolio_Proyectos!$A345),"")</f>
        <v/>
      </c>
      <c r="H1036" s="5" t="str">
        <f>IFERROR(IF(Portafolio_Proyectos!$AR345="","",Portafolio_Proyectos!$E345),"")</f>
        <v/>
      </c>
    </row>
    <row r="1037" spans="1:8" x14ac:dyDescent="0.35">
      <c r="A1037" s="5" t="str">
        <f>IFERROR(IF(Portafolio_Proyectos!$AP346="","","CAP-"&amp;ROW()-1),"")</f>
        <v/>
      </c>
      <c r="B1037" s="5" t="str">
        <f>IFERROR(IF(Portafolio_Proyectos!$AP346="","",Portafolio_Proyectos!$AP346),"")</f>
        <v/>
      </c>
      <c r="C1037" s="5" t="str">
        <f>IFERROR(IF(Portafolio_Proyectos!$AP346="","","Emergente"),"")</f>
        <v/>
      </c>
      <c r="D1037" s="5" t="str">
        <f>IFERROR(IF(Portafolio_Proyectos!$AP346="","",Portafolio_Proyectos!$C346),"")</f>
        <v/>
      </c>
      <c r="E1037" s="5" t="str">
        <f>IFERROR(IF(Portafolio_Proyectos!$AP346="","",Portafolio_Proyectos!$B346),"")</f>
        <v/>
      </c>
      <c r="F1037" s="5" t="str">
        <f>IFERROR(IF(Portafolio_Proyectos!$AP346="","",Portafolio_Proyectos!$D346),"")</f>
        <v/>
      </c>
      <c r="G1037" s="5" t="str">
        <f>IFERROR(IF(Portafolio_Proyectos!$AP346="","",Portafolio_Proyectos!$A346),"")</f>
        <v/>
      </c>
      <c r="H1037" s="5" t="str">
        <f>IFERROR(IF(Portafolio_Proyectos!$AP346="","",Portafolio_Proyectos!$E346),"")</f>
        <v/>
      </c>
    </row>
    <row r="1038" spans="1:8" x14ac:dyDescent="0.35">
      <c r="A1038" s="5" t="str">
        <f>IFERROR(IF(Portafolio_Proyectos!$AQ346="","","CAP-"&amp;ROW()-1),"")</f>
        <v/>
      </c>
      <c r="B1038" s="5" t="str">
        <f>IFERROR(IF(Portafolio_Proyectos!$AQ346="","",Portafolio_Proyectos!$AQ346),"")</f>
        <v/>
      </c>
      <c r="C1038" s="5" t="str">
        <f>IFERROR(IF(Portafolio_Proyectos!$AQ346="","","Consolidada"),"")</f>
        <v/>
      </c>
      <c r="D1038" s="5" t="str">
        <f>IFERROR(IF(Portafolio_Proyectos!$AQ346="","",Portafolio_Proyectos!$C346),"")</f>
        <v/>
      </c>
      <c r="E1038" s="5" t="str">
        <f>IFERROR(IF(Portafolio_Proyectos!$AQ346="","",Portafolio_Proyectos!$B346),"")</f>
        <v/>
      </c>
      <c r="F1038" s="5" t="str">
        <f>IFERROR(IF(Portafolio_Proyectos!$AQ346="","",Portafolio_Proyectos!$D346),"")</f>
        <v/>
      </c>
      <c r="G1038" s="5" t="str">
        <f>IFERROR(IF(Portafolio_Proyectos!$AQ346="","",Portafolio_Proyectos!$A346),"")</f>
        <v/>
      </c>
      <c r="H1038" s="5" t="str">
        <f>IFERROR(IF(Portafolio_Proyectos!$AQ346="","",Portafolio_Proyectos!$E346),"")</f>
        <v/>
      </c>
    </row>
    <row r="1039" spans="1:8" x14ac:dyDescent="0.35">
      <c r="A1039" s="5" t="str">
        <f>IFERROR(IF(Portafolio_Proyectos!$AR346="","","CAP-"&amp;ROW()-1),"")</f>
        <v/>
      </c>
      <c r="B1039" s="5" t="str">
        <f>IFERROR(IF(Portafolio_Proyectos!$AR346="","",Portafolio_Proyectos!$AR346),"")</f>
        <v/>
      </c>
      <c r="C1039" s="5" t="str">
        <f>IFERROR(IF(Portafolio_Proyectos!$AR346="","","Distintiva"),"")</f>
        <v/>
      </c>
      <c r="D1039" s="5" t="str">
        <f>IFERROR(IF(Portafolio_Proyectos!$AR346="","",Portafolio_Proyectos!$C346),"")</f>
        <v/>
      </c>
      <c r="E1039" s="5" t="str">
        <f>IFERROR(IF(Portafolio_Proyectos!$AR346="","",Portafolio_Proyectos!$B346),"")</f>
        <v/>
      </c>
      <c r="F1039" s="5" t="str">
        <f>IFERROR(IF(Portafolio_Proyectos!$AR346="","",Portafolio_Proyectos!$D346),"")</f>
        <v/>
      </c>
      <c r="G1039" s="5" t="str">
        <f>IFERROR(IF(Portafolio_Proyectos!$AR346="","",Portafolio_Proyectos!$A346),"")</f>
        <v/>
      </c>
      <c r="H1039" s="5" t="str">
        <f>IFERROR(IF(Portafolio_Proyectos!$AR346="","",Portafolio_Proyectos!$E346),"")</f>
        <v/>
      </c>
    </row>
    <row r="1040" spans="1:8" x14ac:dyDescent="0.35">
      <c r="A1040" s="5" t="str">
        <f>IFERROR(IF(Portafolio_Proyectos!$AP347="","","CAP-"&amp;ROW()-1),"")</f>
        <v/>
      </c>
      <c r="B1040" s="5" t="str">
        <f>IFERROR(IF(Portafolio_Proyectos!$AP347="","",Portafolio_Proyectos!$AP347),"")</f>
        <v/>
      </c>
      <c r="C1040" s="5" t="str">
        <f>IFERROR(IF(Portafolio_Proyectos!$AP347="","","Emergente"),"")</f>
        <v/>
      </c>
      <c r="D1040" s="5" t="str">
        <f>IFERROR(IF(Portafolio_Proyectos!$AP347="","",Portafolio_Proyectos!$C347),"")</f>
        <v/>
      </c>
      <c r="E1040" s="5" t="str">
        <f>IFERROR(IF(Portafolio_Proyectos!$AP347="","",Portafolio_Proyectos!$B347),"")</f>
        <v/>
      </c>
      <c r="F1040" s="5" t="str">
        <f>IFERROR(IF(Portafolio_Proyectos!$AP347="","",Portafolio_Proyectos!$D347),"")</f>
        <v/>
      </c>
      <c r="G1040" s="5" t="str">
        <f>IFERROR(IF(Portafolio_Proyectos!$AP347="","",Portafolio_Proyectos!$A347),"")</f>
        <v/>
      </c>
      <c r="H1040" s="5" t="str">
        <f>IFERROR(IF(Portafolio_Proyectos!$AP347="","",Portafolio_Proyectos!$E347),"")</f>
        <v/>
      </c>
    </row>
    <row r="1041" spans="1:8" x14ac:dyDescent="0.35">
      <c r="A1041" s="5" t="str">
        <f>IFERROR(IF(Portafolio_Proyectos!$AQ347="","","CAP-"&amp;ROW()-1),"")</f>
        <v/>
      </c>
      <c r="B1041" s="5" t="str">
        <f>IFERROR(IF(Portafolio_Proyectos!$AQ347="","",Portafolio_Proyectos!$AQ347),"")</f>
        <v/>
      </c>
      <c r="C1041" s="5" t="str">
        <f>IFERROR(IF(Portafolio_Proyectos!$AQ347="","","Consolidada"),"")</f>
        <v/>
      </c>
      <c r="D1041" s="5" t="str">
        <f>IFERROR(IF(Portafolio_Proyectos!$AQ347="","",Portafolio_Proyectos!$C347),"")</f>
        <v/>
      </c>
      <c r="E1041" s="5" t="str">
        <f>IFERROR(IF(Portafolio_Proyectos!$AQ347="","",Portafolio_Proyectos!$B347),"")</f>
        <v/>
      </c>
      <c r="F1041" s="5" t="str">
        <f>IFERROR(IF(Portafolio_Proyectos!$AQ347="","",Portafolio_Proyectos!$D347),"")</f>
        <v/>
      </c>
      <c r="G1041" s="5" t="str">
        <f>IFERROR(IF(Portafolio_Proyectos!$AQ347="","",Portafolio_Proyectos!$A347),"")</f>
        <v/>
      </c>
      <c r="H1041" s="5" t="str">
        <f>IFERROR(IF(Portafolio_Proyectos!$AQ347="","",Portafolio_Proyectos!$E347),"")</f>
        <v/>
      </c>
    </row>
    <row r="1042" spans="1:8" x14ac:dyDescent="0.35">
      <c r="A1042" s="5" t="str">
        <f>IFERROR(IF(Portafolio_Proyectos!$AR347="","","CAP-"&amp;ROW()-1),"")</f>
        <v/>
      </c>
      <c r="B1042" s="5" t="str">
        <f>IFERROR(IF(Portafolio_Proyectos!$AR347="","",Portafolio_Proyectos!$AR347),"")</f>
        <v/>
      </c>
      <c r="C1042" s="5" t="str">
        <f>IFERROR(IF(Portafolio_Proyectos!$AR347="","","Distintiva"),"")</f>
        <v/>
      </c>
      <c r="D1042" s="5" t="str">
        <f>IFERROR(IF(Portafolio_Proyectos!$AR347="","",Portafolio_Proyectos!$C347),"")</f>
        <v/>
      </c>
      <c r="E1042" s="5" t="str">
        <f>IFERROR(IF(Portafolio_Proyectos!$AR347="","",Portafolio_Proyectos!$B347),"")</f>
        <v/>
      </c>
      <c r="F1042" s="5" t="str">
        <f>IFERROR(IF(Portafolio_Proyectos!$AR347="","",Portafolio_Proyectos!$D347),"")</f>
        <v/>
      </c>
      <c r="G1042" s="5" t="str">
        <f>IFERROR(IF(Portafolio_Proyectos!$AR347="","",Portafolio_Proyectos!$A347),"")</f>
        <v/>
      </c>
      <c r="H1042" s="5" t="str">
        <f>IFERROR(IF(Portafolio_Proyectos!$AR347="","",Portafolio_Proyectos!$E347),"")</f>
        <v/>
      </c>
    </row>
    <row r="1043" spans="1:8" x14ac:dyDescent="0.35">
      <c r="A1043" s="5" t="str">
        <f>IFERROR(IF(Portafolio_Proyectos!$AP348="","","CAP-"&amp;ROW()-1),"")</f>
        <v/>
      </c>
      <c r="B1043" s="5" t="str">
        <f>IFERROR(IF(Portafolio_Proyectos!$AP348="","",Portafolio_Proyectos!$AP348),"")</f>
        <v/>
      </c>
      <c r="C1043" s="5" t="str">
        <f>IFERROR(IF(Portafolio_Proyectos!$AP348="","","Emergente"),"")</f>
        <v/>
      </c>
      <c r="D1043" s="5" t="str">
        <f>IFERROR(IF(Portafolio_Proyectos!$AP348="","",Portafolio_Proyectos!$C348),"")</f>
        <v/>
      </c>
      <c r="E1043" s="5" t="str">
        <f>IFERROR(IF(Portafolio_Proyectos!$AP348="","",Portafolio_Proyectos!$B348),"")</f>
        <v/>
      </c>
      <c r="F1043" s="5" t="str">
        <f>IFERROR(IF(Portafolio_Proyectos!$AP348="","",Portafolio_Proyectos!$D348),"")</f>
        <v/>
      </c>
      <c r="G1043" s="5" t="str">
        <f>IFERROR(IF(Portafolio_Proyectos!$AP348="","",Portafolio_Proyectos!$A348),"")</f>
        <v/>
      </c>
      <c r="H1043" s="5" t="str">
        <f>IFERROR(IF(Portafolio_Proyectos!$AP348="","",Portafolio_Proyectos!$E348),"")</f>
        <v/>
      </c>
    </row>
    <row r="1044" spans="1:8" x14ac:dyDescent="0.35">
      <c r="A1044" s="5" t="str">
        <f>IFERROR(IF(Portafolio_Proyectos!$AQ348="","","CAP-"&amp;ROW()-1),"")</f>
        <v/>
      </c>
      <c r="B1044" s="5" t="str">
        <f>IFERROR(IF(Portafolio_Proyectos!$AQ348="","",Portafolio_Proyectos!$AQ348),"")</f>
        <v/>
      </c>
      <c r="C1044" s="5" t="str">
        <f>IFERROR(IF(Portafolio_Proyectos!$AQ348="","","Consolidada"),"")</f>
        <v/>
      </c>
      <c r="D1044" s="5" t="str">
        <f>IFERROR(IF(Portafolio_Proyectos!$AQ348="","",Portafolio_Proyectos!$C348),"")</f>
        <v/>
      </c>
      <c r="E1044" s="5" t="str">
        <f>IFERROR(IF(Portafolio_Proyectos!$AQ348="","",Portafolio_Proyectos!$B348),"")</f>
        <v/>
      </c>
      <c r="F1044" s="5" t="str">
        <f>IFERROR(IF(Portafolio_Proyectos!$AQ348="","",Portafolio_Proyectos!$D348),"")</f>
        <v/>
      </c>
      <c r="G1044" s="5" t="str">
        <f>IFERROR(IF(Portafolio_Proyectos!$AQ348="","",Portafolio_Proyectos!$A348),"")</f>
        <v/>
      </c>
      <c r="H1044" s="5" t="str">
        <f>IFERROR(IF(Portafolio_Proyectos!$AQ348="","",Portafolio_Proyectos!$E348),"")</f>
        <v/>
      </c>
    </row>
    <row r="1045" spans="1:8" x14ac:dyDescent="0.35">
      <c r="A1045" s="5" t="str">
        <f>IFERROR(IF(Portafolio_Proyectos!$AR348="","","CAP-"&amp;ROW()-1),"")</f>
        <v/>
      </c>
      <c r="B1045" s="5" t="str">
        <f>IFERROR(IF(Portafolio_Proyectos!$AR348="","",Portafolio_Proyectos!$AR348),"")</f>
        <v/>
      </c>
      <c r="C1045" s="5" t="str">
        <f>IFERROR(IF(Portafolio_Proyectos!$AR348="","","Distintiva"),"")</f>
        <v/>
      </c>
      <c r="D1045" s="5" t="str">
        <f>IFERROR(IF(Portafolio_Proyectos!$AR348="","",Portafolio_Proyectos!$C348),"")</f>
        <v/>
      </c>
      <c r="E1045" s="5" t="str">
        <f>IFERROR(IF(Portafolio_Proyectos!$AR348="","",Portafolio_Proyectos!$B348),"")</f>
        <v/>
      </c>
      <c r="F1045" s="5" t="str">
        <f>IFERROR(IF(Portafolio_Proyectos!$AR348="","",Portafolio_Proyectos!$D348),"")</f>
        <v/>
      </c>
      <c r="G1045" s="5" t="str">
        <f>IFERROR(IF(Portafolio_Proyectos!$AR348="","",Portafolio_Proyectos!$A348),"")</f>
        <v/>
      </c>
      <c r="H1045" s="5" t="str">
        <f>IFERROR(IF(Portafolio_Proyectos!$AR348="","",Portafolio_Proyectos!$E348),"")</f>
        <v/>
      </c>
    </row>
    <row r="1046" spans="1:8" x14ac:dyDescent="0.35">
      <c r="A1046" s="5" t="str">
        <f>IFERROR(IF(Portafolio_Proyectos!$AP349="","","CAP-"&amp;ROW()-1),"")</f>
        <v/>
      </c>
      <c r="B1046" s="5" t="str">
        <f>IFERROR(IF(Portafolio_Proyectos!$AP349="","",Portafolio_Proyectos!$AP349),"")</f>
        <v/>
      </c>
      <c r="C1046" s="5" t="str">
        <f>IFERROR(IF(Portafolio_Proyectos!$AP349="","","Emergente"),"")</f>
        <v/>
      </c>
      <c r="D1046" s="5" t="str">
        <f>IFERROR(IF(Portafolio_Proyectos!$AP349="","",Portafolio_Proyectos!$C349),"")</f>
        <v/>
      </c>
      <c r="E1046" s="5" t="str">
        <f>IFERROR(IF(Portafolio_Proyectos!$AP349="","",Portafolio_Proyectos!$B349),"")</f>
        <v/>
      </c>
      <c r="F1046" s="5" t="str">
        <f>IFERROR(IF(Portafolio_Proyectos!$AP349="","",Portafolio_Proyectos!$D349),"")</f>
        <v/>
      </c>
      <c r="G1046" s="5" t="str">
        <f>IFERROR(IF(Portafolio_Proyectos!$AP349="","",Portafolio_Proyectos!$A349),"")</f>
        <v/>
      </c>
      <c r="H1046" s="5" t="str">
        <f>IFERROR(IF(Portafolio_Proyectos!$AP349="","",Portafolio_Proyectos!$E349),"")</f>
        <v/>
      </c>
    </row>
    <row r="1047" spans="1:8" x14ac:dyDescent="0.35">
      <c r="A1047" s="5" t="str">
        <f>IFERROR(IF(Portafolio_Proyectos!$AQ349="","","CAP-"&amp;ROW()-1),"")</f>
        <v/>
      </c>
      <c r="B1047" s="5" t="str">
        <f>IFERROR(IF(Portafolio_Proyectos!$AQ349="","",Portafolio_Proyectos!$AQ349),"")</f>
        <v/>
      </c>
      <c r="C1047" s="5" t="str">
        <f>IFERROR(IF(Portafolio_Proyectos!$AQ349="","","Consolidada"),"")</f>
        <v/>
      </c>
      <c r="D1047" s="5" t="str">
        <f>IFERROR(IF(Portafolio_Proyectos!$AQ349="","",Portafolio_Proyectos!$C349),"")</f>
        <v/>
      </c>
      <c r="E1047" s="5" t="str">
        <f>IFERROR(IF(Portafolio_Proyectos!$AQ349="","",Portafolio_Proyectos!$B349),"")</f>
        <v/>
      </c>
      <c r="F1047" s="5" t="str">
        <f>IFERROR(IF(Portafolio_Proyectos!$AQ349="","",Portafolio_Proyectos!$D349),"")</f>
        <v/>
      </c>
      <c r="G1047" s="5" t="str">
        <f>IFERROR(IF(Portafolio_Proyectos!$AQ349="","",Portafolio_Proyectos!$A349),"")</f>
        <v/>
      </c>
      <c r="H1047" s="5" t="str">
        <f>IFERROR(IF(Portafolio_Proyectos!$AQ349="","",Portafolio_Proyectos!$E349),"")</f>
        <v/>
      </c>
    </row>
    <row r="1048" spans="1:8" x14ac:dyDescent="0.35">
      <c r="A1048" s="5" t="str">
        <f>IFERROR(IF(Portafolio_Proyectos!$AR349="","","CAP-"&amp;ROW()-1),"")</f>
        <v/>
      </c>
      <c r="B1048" s="5" t="str">
        <f>IFERROR(IF(Portafolio_Proyectos!$AR349="","",Portafolio_Proyectos!$AR349),"")</f>
        <v/>
      </c>
      <c r="C1048" s="5" t="str">
        <f>IFERROR(IF(Portafolio_Proyectos!$AR349="","","Distintiva"),"")</f>
        <v/>
      </c>
      <c r="D1048" s="5" t="str">
        <f>IFERROR(IF(Portafolio_Proyectos!$AR349="","",Portafolio_Proyectos!$C349),"")</f>
        <v/>
      </c>
      <c r="E1048" s="5" t="str">
        <f>IFERROR(IF(Portafolio_Proyectos!$AR349="","",Portafolio_Proyectos!$B349),"")</f>
        <v/>
      </c>
      <c r="F1048" s="5" t="str">
        <f>IFERROR(IF(Portafolio_Proyectos!$AR349="","",Portafolio_Proyectos!$D349),"")</f>
        <v/>
      </c>
      <c r="G1048" s="5" t="str">
        <f>IFERROR(IF(Portafolio_Proyectos!$AR349="","",Portafolio_Proyectos!$A349),"")</f>
        <v/>
      </c>
      <c r="H1048" s="5" t="str">
        <f>IFERROR(IF(Portafolio_Proyectos!$AR349="","",Portafolio_Proyectos!$E349),"")</f>
        <v/>
      </c>
    </row>
    <row r="1049" spans="1:8" x14ac:dyDescent="0.35">
      <c r="A1049" s="5" t="str">
        <f>IFERROR(IF(Portafolio_Proyectos!$AP350="","","CAP-"&amp;ROW()-1),"")</f>
        <v/>
      </c>
      <c r="B1049" s="5" t="str">
        <f>IFERROR(IF(Portafolio_Proyectos!$AP350="","",Portafolio_Proyectos!$AP350),"")</f>
        <v/>
      </c>
      <c r="C1049" s="5" t="str">
        <f>IFERROR(IF(Portafolio_Proyectos!$AP350="","","Emergente"),"")</f>
        <v/>
      </c>
      <c r="D1049" s="5" t="str">
        <f>IFERROR(IF(Portafolio_Proyectos!$AP350="","",Portafolio_Proyectos!$C350),"")</f>
        <v/>
      </c>
      <c r="E1049" s="5" t="str">
        <f>IFERROR(IF(Portafolio_Proyectos!$AP350="","",Portafolio_Proyectos!$B350),"")</f>
        <v/>
      </c>
      <c r="F1049" s="5" t="str">
        <f>IFERROR(IF(Portafolio_Proyectos!$AP350="","",Portafolio_Proyectos!$D350),"")</f>
        <v/>
      </c>
      <c r="G1049" s="5" t="str">
        <f>IFERROR(IF(Portafolio_Proyectos!$AP350="","",Portafolio_Proyectos!$A350),"")</f>
        <v/>
      </c>
      <c r="H1049" s="5" t="str">
        <f>IFERROR(IF(Portafolio_Proyectos!$AP350="","",Portafolio_Proyectos!$E350),"")</f>
        <v/>
      </c>
    </row>
    <row r="1050" spans="1:8" x14ac:dyDescent="0.35">
      <c r="A1050" s="5" t="str">
        <f>IFERROR(IF(Portafolio_Proyectos!$AQ350="","","CAP-"&amp;ROW()-1),"")</f>
        <v/>
      </c>
      <c r="B1050" s="5" t="str">
        <f>IFERROR(IF(Portafolio_Proyectos!$AQ350="","",Portafolio_Proyectos!$AQ350),"")</f>
        <v/>
      </c>
      <c r="C1050" s="5" t="str">
        <f>IFERROR(IF(Portafolio_Proyectos!$AQ350="","","Consolidada"),"")</f>
        <v/>
      </c>
      <c r="D1050" s="5" t="str">
        <f>IFERROR(IF(Portafolio_Proyectos!$AQ350="","",Portafolio_Proyectos!$C350),"")</f>
        <v/>
      </c>
      <c r="E1050" s="5" t="str">
        <f>IFERROR(IF(Portafolio_Proyectos!$AQ350="","",Portafolio_Proyectos!$B350),"")</f>
        <v/>
      </c>
      <c r="F1050" s="5" t="str">
        <f>IFERROR(IF(Portafolio_Proyectos!$AQ350="","",Portafolio_Proyectos!$D350),"")</f>
        <v/>
      </c>
      <c r="G1050" s="5" t="str">
        <f>IFERROR(IF(Portafolio_Proyectos!$AQ350="","",Portafolio_Proyectos!$A350),"")</f>
        <v/>
      </c>
      <c r="H1050" s="5" t="str">
        <f>IFERROR(IF(Portafolio_Proyectos!$AQ350="","",Portafolio_Proyectos!$E350),"")</f>
        <v/>
      </c>
    </row>
    <row r="1051" spans="1:8" x14ac:dyDescent="0.35">
      <c r="A1051" s="5" t="str">
        <f>IFERROR(IF(Portafolio_Proyectos!$AR350="","","CAP-"&amp;ROW()-1),"")</f>
        <v/>
      </c>
      <c r="B1051" s="5" t="str">
        <f>IFERROR(IF(Portafolio_Proyectos!$AR350="","",Portafolio_Proyectos!$AR350),"")</f>
        <v/>
      </c>
      <c r="C1051" s="5" t="str">
        <f>IFERROR(IF(Portafolio_Proyectos!$AR350="","","Distintiva"),"")</f>
        <v/>
      </c>
      <c r="D1051" s="5" t="str">
        <f>IFERROR(IF(Portafolio_Proyectos!$AR350="","",Portafolio_Proyectos!$C350),"")</f>
        <v/>
      </c>
      <c r="E1051" s="5" t="str">
        <f>IFERROR(IF(Portafolio_Proyectos!$AR350="","",Portafolio_Proyectos!$B350),"")</f>
        <v/>
      </c>
      <c r="F1051" s="5" t="str">
        <f>IFERROR(IF(Portafolio_Proyectos!$AR350="","",Portafolio_Proyectos!$D350),"")</f>
        <v/>
      </c>
      <c r="G1051" s="5" t="str">
        <f>IFERROR(IF(Portafolio_Proyectos!$AR350="","",Portafolio_Proyectos!$A350),"")</f>
        <v/>
      </c>
      <c r="H1051" s="5" t="str">
        <f>IFERROR(IF(Portafolio_Proyectos!$AR350="","",Portafolio_Proyectos!$E350),"")</f>
        <v/>
      </c>
    </row>
    <row r="1052" spans="1:8" x14ac:dyDescent="0.35">
      <c r="A1052" s="5" t="str">
        <f>IFERROR(IF(Portafolio_Proyectos!$AP351="","","CAP-"&amp;ROW()-1),"")</f>
        <v/>
      </c>
      <c r="B1052" s="5" t="str">
        <f>IFERROR(IF(Portafolio_Proyectos!$AP351="","",Portafolio_Proyectos!$AP351),"")</f>
        <v/>
      </c>
      <c r="C1052" s="5" t="str">
        <f>IFERROR(IF(Portafolio_Proyectos!$AP351="","","Emergente"),"")</f>
        <v/>
      </c>
      <c r="D1052" s="5" t="str">
        <f>IFERROR(IF(Portafolio_Proyectos!$AP351="","",Portafolio_Proyectos!$C351),"")</f>
        <v/>
      </c>
      <c r="E1052" s="5" t="str">
        <f>IFERROR(IF(Portafolio_Proyectos!$AP351="","",Portafolio_Proyectos!$B351),"")</f>
        <v/>
      </c>
      <c r="F1052" s="5" t="str">
        <f>IFERROR(IF(Portafolio_Proyectos!$AP351="","",Portafolio_Proyectos!$D351),"")</f>
        <v/>
      </c>
      <c r="G1052" s="5" t="str">
        <f>IFERROR(IF(Portafolio_Proyectos!$AP351="","",Portafolio_Proyectos!$A351),"")</f>
        <v/>
      </c>
      <c r="H1052" s="5" t="str">
        <f>IFERROR(IF(Portafolio_Proyectos!$AP351="","",Portafolio_Proyectos!$E351),"")</f>
        <v/>
      </c>
    </row>
    <row r="1053" spans="1:8" x14ac:dyDescent="0.35">
      <c r="A1053" s="5" t="str">
        <f>IFERROR(IF(Portafolio_Proyectos!$AQ351="","","CAP-"&amp;ROW()-1),"")</f>
        <v/>
      </c>
      <c r="B1053" s="5" t="str">
        <f>IFERROR(IF(Portafolio_Proyectos!$AQ351="","",Portafolio_Proyectos!$AQ351),"")</f>
        <v/>
      </c>
      <c r="C1053" s="5" t="str">
        <f>IFERROR(IF(Portafolio_Proyectos!$AQ351="","","Consolidada"),"")</f>
        <v/>
      </c>
      <c r="D1053" s="5" t="str">
        <f>IFERROR(IF(Portafolio_Proyectos!$AQ351="","",Portafolio_Proyectos!$C351),"")</f>
        <v/>
      </c>
      <c r="E1053" s="5" t="str">
        <f>IFERROR(IF(Portafolio_Proyectos!$AQ351="","",Portafolio_Proyectos!$B351),"")</f>
        <v/>
      </c>
      <c r="F1053" s="5" t="str">
        <f>IFERROR(IF(Portafolio_Proyectos!$AQ351="","",Portafolio_Proyectos!$D351),"")</f>
        <v/>
      </c>
      <c r="G1053" s="5" t="str">
        <f>IFERROR(IF(Portafolio_Proyectos!$AQ351="","",Portafolio_Proyectos!$A351),"")</f>
        <v/>
      </c>
      <c r="H1053" s="5" t="str">
        <f>IFERROR(IF(Portafolio_Proyectos!$AQ351="","",Portafolio_Proyectos!$E351),"")</f>
        <v/>
      </c>
    </row>
    <row r="1054" spans="1:8" x14ac:dyDescent="0.35">
      <c r="A1054" s="5" t="str">
        <f>IFERROR(IF(Portafolio_Proyectos!$AR351="","","CAP-"&amp;ROW()-1),"")</f>
        <v/>
      </c>
      <c r="B1054" s="5" t="str">
        <f>IFERROR(IF(Portafolio_Proyectos!$AR351="","",Portafolio_Proyectos!$AR351),"")</f>
        <v/>
      </c>
      <c r="C1054" s="5" t="str">
        <f>IFERROR(IF(Portafolio_Proyectos!$AR351="","","Distintiva"),"")</f>
        <v/>
      </c>
      <c r="D1054" s="5" t="str">
        <f>IFERROR(IF(Portafolio_Proyectos!$AR351="","",Portafolio_Proyectos!$C351),"")</f>
        <v/>
      </c>
      <c r="E1054" s="5" t="str">
        <f>IFERROR(IF(Portafolio_Proyectos!$AR351="","",Portafolio_Proyectos!$B351),"")</f>
        <v/>
      </c>
      <c r="F1054" s="5" t="str">
        <f>IFERROR(IF(Portafolio_Proyectos!$AR351="","",Portafolio_Proyectos!$D351),"")</f>
        <v/>
      </c>
      <c r="G1054" s="5" t="str">
        <f>IFERROR(IF(Portafolio_Proyectos!$AR351="","",Portafolio_Proyectos!$A351),"")</f>
        <v/>
      </c>
      <c r="H1054" s="5" t="str">
        <f>IFERROR(IF(Portafolio_Proyectos!$AR351="","",Portafolio_Proyectos!$E351),"")</f>
        <v/>
      </c>
    </row>
    <row r="1055" spans="1:8" x14ac:dyDescent="0.35">
      <c r="A1055" s="5" t="str">
        <f>IFERROR(IF(Portafolio_Proyectos!$AP352="","","CAP-"&amp;ROW()-1),"")</f>
        <v/>
      </c>
      <c r="B1055" s="5" t="str">
        <f>IFERROR(IF(Portafolio_Proyectos!$AP352="","",Portafolio_Proyectos!$AP352),"")</f>
        <v/>
      </c>
      <c r="C1055" s="5" t="str">
        <f>IFERROR(IF(Portafolio_Proyectos!$AP352="","","Emergente"),"")</f>
        <v/>
      </c>
      <c r="D1055" s="5" t="str">
        <f>IFERROR(IF(Portafolio_Proyectos!$AP352="","",Portafolio_Proyectos!$C352),"")</f>
        <v/>
      </c>
      <c r="E1055" s="5" t="str">
        <f>IFERROR(IF(Portafolio_Proyectos!$AP352="","",Portafolio_Proyectos!$B352),"")</f>
        <v/>
      </c>
      <c r="F1055" s="5" t="str">
        <f>IFERROR(IF(Portafolio_Proyectos!$AP352="","",Portafolio_Proyectos!$D352),"")</f>
        <v/>
      </c>
      <c r="G1055" s="5" t="str">
        <f>IFERROR(IF(Portafolio_Proyectos!$AP352="","",Portafolio_Proyectos!$A352),"")</f>
        <v/>
      </c>
      <c r="H1055" s="5" t="str">
        <f>IFERROR(IF(Portafolio_Proyectos!$AP352="","",Portafolio_Proyectos!$E352),"")</f>
        <v/>
      </c>
    </row>
    <row r="1056" spans="1:8" x14ac:dyDescent="0.35">
      <c r="A1056" s="5" t="str">
        <f>IFERROR(IF(Portafolio_Proyectos!$AQ352="","","CAP-"&amp;ROW()-1),"")</f>
        <v/>
      </c>
      <c r="B1056" s="5" t="str">
        <f>IFERROR(IF(Portafolio_Proyectos!$AQ352="","",Portafolio_Proyectos!$AQ352),"")</f>
        <v/>
      </c>
      <c r="C1056" s="5" t="str">
        <f>IFERROR(IF(Portafolio_Proyectos!$AQ352="","","Consolidada"),"")</f>
        <v/>
      </c>
      <c r="D1056" s="5" t="str">
        <f>IFERROR(IF(Portafolio_Proyectos!$AQ352="","",Portafolio_Proyectos!$C352),"")</f>
        <v/>
      </c>
      <c r="E1056" s="5" t="str">
        <f>IFERROR(IF(Portafolio_Proyectos!$AQ352="","",Portafolio_Proyectos!$B352),"")</f>
        <v/>
      </c>
      <c r="F1056" s="5" t="str">
        <f>IFERROR(IF(Portafolio_Proyectos!$AQ352="","",Portafolio_Proyectos!$D352),"")</f>
        <v/>
      </c>
      <c r="G1056" s="5" t="str">
        <f>IFERROR(IF(Portafolio_Proyectos!$AQ352="","",Portafolio_Proyectos!$A352),"")</f>
        <v/>
      </c>
      <c r="H1056" s="5" t="str">
        <f>IFERROR(IF(Portafolio_Proyectos!$AQ352="","",Portafolio_Proyectos!$E352),"")</f>
        <v/>
      </c>
    </row>
    <row r="1057" spans="1:8" x14ac:dyDescent="0.35">
      <c r="A1057" s="5" t="str">
        <f>IFERROR(IF(Portafolio_Proyectos!$AR352="","","CAP-"&amp;ROW()-1),"")</f>
        <v/>
      </c>
      <c r="B1057" s="5" t="str">
        <f>IFERROR(IF(Portafolio_Proyectos!$AR352="","",Portafolio_Proyectos!$AR352),"")</f>
        <v/>
      </c>
      <c r="C1057" s="5" t="str">
        <f>IFERROR(IF(Portafolio_Proyectos!$AR352="","","Distintiva"),"")</f>
        <v/>
      </c>
      <c r="D1057" s="5" t="str">
        <f>IFERROR(IF(Portafolio_Proyectos!$AR352="","",Portafolio_Proyectos!$C352),"")</f>
        <v/>
      </c>
      <c r="E1057" s="5" t="str">
        <f>IFERROR(IF(Portafolio_Proyectos!$AR352="","",Portafolio_Proyectos!$B352),"")</f>
        <v/>
      </c>
      <c r="F1057" s="5" t="str">
        <f>IFERROR(IF(Portafolio_Proyectos!$AR352="","",Portafolio_Proyectos!$D352),"")</f>
        <v/>
      </c>
      <c r="G1057" s="5" t="str">
        <f>IFERROR(IF(Portafolio_Proyectos!$AR352="","",Portafolio_Proyectos!$A352),"")</f>
        <v/>
      </c>
      <c r="H1057" s="5" t="str">
        <f>IFERROR(IF(Portafolio_Proyectos!$AR352="","",Portafolio_Proyectos!$E352),"")</f>
        <v/>
      </c>
    </row>
    <row r="1058" spans="1:8" x14ac:dyDescent="0.35">
      <c r="A1058" s="5" t="str">
        <f>IFERROR(IF(Portafolio_Proyectos!$AP353="","","CAP-"&amp;ROW()-1),"")</f>
        <v/>
      </c>
      <c r="B1058" s="5" t="str">
        <f>IFERROR(IF(Portafolio_Proyectos!$AP353="","",Portafolio_Proyectos!$AP353),"")</f>
        <v/>
      </c>
      <c r="C1058" s="5" t="str">
        <f>IFERROR(IF(Portafolio_Proyectos!$AP353="","","Emergente"),"")</f>
        <v/>
      </c>
      <c r="D1058" s="5" t="str">
        <f>IFERROR(IF(Portafolio_Proyectos!$AP353="","",Portafolio_Proyectos!$C353),"")</f>
        <v/>
      </c>
      <c r="E1058" s="5" t="str">
        <f>IFERROR(IF(Portafolio_Proyectos!$AP353="","",Portafolio_Proyectos!$B353),"")</f>
        <v/>
      </c>
      <c r="F1058" s="5" t="str">
        <f>IFERROR(IF(Portafolio_Proyectos!$AP353="","",Portafolio_Proyectos!$D353),"")</f>
        <v/>
      </c>
      <c r="G1058" s="5" t="str">
        <f>IFERROR(IF(Portafolio_Proyectos!$AP353="","",Portafolio_Proyectos!$A353),"")</f>
        <v/>
      </c>
      <c r="H1058" s="5" t="str">
        <f>IFERROR(IF(Portafolio_Proyectos!$AP353="","",Portafolio_Proyectos!$E353),"")</f>
        <v/>
      </c>
    </row>
    <row r="1059" spans="1:8" x14ac:dyDescent="0.35">
      <c r="A1059" s="5" t="str">
        <f>IFERROR(IF(Portafolio_Proyectos!$AQ353="","","CAP-"&amp;ROW()-1),"")</f>
        <v/>
      </c>
      <c r="B1059" s="5" t="str">
        <f>IFERROR(IF(Portafolio_Proyectos!$AQ353="","",Portafolio_Proyectos!$AQ353),"")</f>
        <v/>
      </c>
      <c r="C1059" s="5" t="str">
        <f>IFERROR(IF(Portafolio_Proyectos!$AQ353="","","Consolidada"),"")</f>
        <v/>
      </c>
      <c r="D1059" s="5" t="str">
        <f>IFERROR(IF(Portafolio_Proyectos!$AQ353="","",Portafolio_Proyectos!$C353),"")</f>
        <v/>
      </c>
      <c r="E1059" s="5" t="str">
        <f>IFERROR(IF(Portafolio_Proyectos!$AQ353="","",Portafolio_Proyectos!$B353),"")</f>
        <v/>
      </c>
      <c r="F1059" s="5" t="str">
        <f>IFERROR(IF(Portafolio_Proyectos!$AQ353="","",Portafolio_Proyectos!$D353),"")</f>
        <v/>
      </c>
      <c r="G1059" s="5" t="str">
        <f>IFERROR(IF(Portafolio_Proyectos!$AQ353="","",Portafolio_Proyectos!$A353),"")</f>
        <v/>
      </c>
      <c r="H1059" s="5" t="str">
        <f>IFERROR(IF(Portafolio_Proyectos!$AQ353="","",Portafolio_Proyectos!$E353),"")</f>
        <v/>
      </c>
    </row>
    <row r="1060" spans="1:8" x14ac:dyDescent="0.35">
      <c r="A1060" s="5" t="str">
        <f>IFERROR(IF(Portafolio_Proyectos!$AR353="","","CAP-"&amp;ROW()-1),"")</f>
        <v/>
      </c>
      <c r="B1060" s="5" t="str">
        <f>IFERROR(IF(Portafolio_Proyectos!$AR353="","",Portafolio_Proyectos!$AR353),"")</f>
        <v/>
      </c>
      <c r="C1060" s="5" t="str">
        <f>IFERROR(IF(Portafolio_Proyectos!$AR353="","","Distintiva"),"")</f>
        <v/>
      </c>
      <c r="D1060" s="5" t="str">
        <f>IFERROR(IF(Portafolio_Proyectos!$AR353="","",Portafolio_Proyectos!$C353),"")</f>
        <v/>
      </c>
      <c r="E1060" s="5" t="str">
        <f>IFERROR(IF(Portafolio_Proyectos!$AR353="","",Portafolio_Proyectos!$B353),"")</f>
        <v/>
      </c>
      <c r="F1060" s="5" t="str">
        <f>IFERROR(IF(Portafolio_Proyectos!$AR353="","",Portafolio_Proyectos!$D353),"")</f>
        <v/>
      </c>
      <c r="G1060" s="5" t="str">
        <f>IFERROR(IF(Portafolio_Proyectos!$AR353="","",Portafolio_Proyectos!$A353),"")</f>
        <v/>
      </c>
      <c r="H1060" s="5" t="str">
        <f>IFERROR(IF(Portafolio_Proyectos!$AR353="","",Portafolio_Proyectos!$E353),"")</f>
        <v/>
      </c>
    </row>
    <row r="1061" spans="1:8" x14ac:dyDescent="0.35">
      <c r="A1061" s="5" t="str">
        <f>IFERROR(IF(Portafolio_Proyectos!$AP354="","","CAP-"&amp;ROW()-1),"")</f>
        <v/>
      </c>
      <c r="B1061" s="5" t="str">
        <f>IFERROR(IF(Portafolio_Proyectos!$AP354="","",Portafolio_Proyectos!$AP354),"")</f>
        <v/>
      </c>
      <c r="C1061" s="5" t="str">
        <f>IFERROR(IF(Portafolio_Proyectos!$AP354="","","Emergente"),"")</f>
        <v/>
      </c>
      <c r="D1061" s="5" t="str">
        <f>IFERROR(IF(Portafolio_Proyectos!$AP354="","",Portafolio_Proyectos!$C354),"")</f>
        <v/>
      </c>
      <c r="E1061" s="5" t="str">
        <f>IFERROR(IF(Portafolio_Proyectos!$AP354="","",Portafolio_Proyectos!$B354),"")</f>
        <v/>
      </c>
      <c r="F1061" s="5" t="str">
        <f>IFERROR(IF(Portafolio_Proyectos!$AP354="","",Portafolio_Proyectos!$D354),"")</f>
        <v/>
      </c>
      <c r="G1061" s="5" t="str">
        <f>IFERROR(IF(Portafolio_Proyectos!$AP354="","",Portafolio_Proyectos!$A354),"")</f>
        <v/>
      </c>
      <c r="H1061" s="5" t="str">
        <f>IFERROR(IF(Portafolio_Proyectos!$AP354="","",Portafolio_Proyectos!$E354),"")</f>
        <v/>
      </c>
    </row>
    <row r="1062" spans="1:8" x14ac:dyDescent="0.35">
      <c r="A1062" s="5" t="str">
        <f>IFERROR(IF(Portafolio_Proyectos!$AQ354="","","CAP-"&amp;ROW()-1),"")</f>
        <v/>
      </c>
      <c r="B1062" s="5" t="str">
        <f>IFERROR(IF(Portafolio_Proyectos!$AQ354="","",Portafolio_Proyectos!$AQ354),"")</f>
        <v/>
      </c>
      <c r="C1062" s="5" t="str">
        <f>IFERROR(IF(Portafolio_Proyectos!$AQ354="","","Consolidada"),"")</f>
        <v/>
      </c>
      <c r="D1062" s="5" t="str">
        <f>IFERROR(IF(Portafolio_Proyectos!$AQ354="","",Portafolio_Proyectos!$C354),"")</f>
        <v/>
      </c>
      <c r="E1062" s="5" t="str">
        <f>IFERROR(IF(Portafolio_Proyectos!$AQ354="","",Portafolio_Proyectos!$B354),"")</f>
        <v/>
      </c>
      <c r="F1062" s="5" t="str">
        <f>IFERROR(IF(Portafolio_Proyectos!$AQ354="","",Portafolio_Proyectos!$D354),"")</f>
        <v/>
      </c>
      <c r="G1062" s="5" t="str">
        <f>IFERROR(IF(Portafolio_Proyectos!$AQ354="","",Portafolio_Proyectos!$A354),"")</f>
        <v/>
      </c>
      <c r="H1062" s="5" t="str">
        <f>IFERROR(IF(Portafolio_Proyectos!$AQ354="","",Portafolio_Proyectos!$E354),"")</f>
        <v/>
      </c>
    </row>
    <row r="1063" spans="1:8" x14ac:dyDescent="0.35">
      <c r="A1063" s="5" t="str">
        <f>IFERROR(IF(Portafolio_Proyectos!$AR354="","","CAP-"&amp;ROW()-1),"")</f>
        <v/>
      </c>
      <c r="B1063" s="5" t="str">
        <f>IFERROR(IF(Portafolio_Proyectos!$AR354="","",Portafolio_Proyectos!$AR354),"")</f>
        <v/>
      </c>
      <c r="C1063" s="5" t="str">
        <f>IFERROR(IF(Portafolio_Proyectos!$AR354="","","Distintiva"),"")</f>
        <v/>
      </c>
      <c r="D1063" s="5" t="str">
        <f>IFERROR(IF(Portafolio_Proyectos!$AR354="","",Portafolio_Proyectos!$C354),"")</f>
        <v/>
      </c>
      <c r="E1063" s="5" t="str">
        <f>IFERROR(IF(Portafolio_Proyectos!$AR354="","",Portafolio_Proyectos!$B354),"")</f>
        <v/>
      </c>
      <c r="F1063" s="5" t="str">
        <f>IFERROR(IF(Portafolio_Proyectos!$AR354="","",Portafolio_Proyectos!$D354),"")</f>
        <v/>
      </c>
      <c r="G1063" s="5" t="str">
        <f>IFERROR(IF(Portafolio_Proyectos!$AR354="","",Portafolio_Proyectos!$A354),"")</f>
        <v/>
      </c>
      <c r="H1063" s="5" t="str">
        <f>IFERROR(IF(Portafolio_Proyectos!$AR354="","",Portafolio_Proyectos!$E354),"")</f>
        <v/>
      </c>
    </row>
    <row r="1064" spans="1:8" x14ac:dyDescent="0.35">
      <c r="A1064" s="5" t="str">
        <f>IFERROR(IF(Portafolio_Proyectos!$AP355="","","CAP-"&amp;ROW()-1),"")</f>
        <v/>
      </c>
      <c r="B1064" s="5" t="str">
        <f>IFERROR(IF(Portafolio_Proyectos!$AP355="","",Portafolio_Proyectos!$AP355),"")</f>
        <v/>
      </c>
      <c r="C1064" s="5" t="str">
        <f>IFERROR(IF(Portafolio_Proyectos!$AP355="","","Emergente"),"")</f>
        <v/>
      </c>
      <c r="D1064" s="5" t="str">
        <f>IFERROR(IF(Portafolio_Proyectos!$AP355="","",Portafolio_Proyectos!$C355),"")</f>
        <v/>
      </c>
      <c r="E1064" s="5" t="str">
        <f>IFERROR(IF(Portafolio_Proyectos!$AP355="","",Portafolio_Proyectos!$B355),"")</f>
        <v/>
      </c>
      <c r="F1064" s="5" t="str">
        <f>IFERROR(IF(Portafolio_Proyectos!$AP355="","",Portafolio_Proyectos!$D355),"")</f>
        <v/>
      </c>
      <c r="G1064" s="5" t="str">
        <f>IFERROR(IF(Portafolio_Proyectos!$AP355="","",Portafolio_Proyectos!$A355),"")</f>
        <v/>
      </c>
      <c r="H1064" s="5" t="str">
        <f>IFERROR(IF(Portafolio_Proyectos!$AP355="","",Portafolio_Proyectos!$E355),"")</f>
        <v/>
      </c>
    </row>
    <row r="1065" spans="1:8" x14ac:dyDescent="0.35">
      <c r="A1065" s="5" t="str">
        <f>IFERROR(IF(Portafolio_Proyectos!$AQ355="","","CAP-"&amp;ROW()-1),"")</f>
        <v/>
      </c>
      <c r="B1065" s="5" t="str">
        <f>IFERROR(IF(Portafolio_Proyectos!$AQ355="","",Portafolio_Proyectos!$AQ355),"")</f>
        <v/>
      </c>
      <c r="C1065" s="5" t="str">
        <f>IFERROR(IF(Portafolio_Proyectos!$AQ355="","","Consolidada"),"")</f>
        <v/>
      </c>
      <c r="D1065" s="5" t="str">
        <f>IFERROR(IF(Portafolio_Proyectos!$AQ355="","",Portafolio_Proyectos!$C355),"")</f>
        <v/>
      </c>
      <c r="E1065" s="5" t="str">
        <f>IFERROR(IF(Portafolio_Proyectos!$AQ355="","",Portafolio_Proyectos!$B355),"")</f>
        <v/>
      </c>
      <c r="F1065" s="5" t="str">
        <f>IFERROR(IF(Portafolio_Proyectos!$AQ355="","",Portafolio_Proyectos!$D355),"")</f>
        <v/>
      </c>
      <c r="G1065" s="5" t="str">
        <f>IFERROR(IF(Portafolio_Proyectos!$AQ355="","",Portafolio_Proyectos!$A355),"")</f>
        <v/>
      </c>
      <c r="H1065" s="5" t="str">
        <f>IFERROR(IF(Portafolio_Proyectos!$AQ355="","",Portafolio_Proyectos!$E355),"")</f>
        <v/>
      </c>
    </row>
    <row r="1066" spans="1:8" x14ac:dyDescent="0.35">
      <c r="A1066" s="5" t="str">
        <f>IFERROR(IF(Portafolio_Proyectos!$AR355="","","CAP-"&amp;ROW()-1),"")</f>
        <v/>
      </c>
      <c r="B1066" s="5" t="str">
        <f>IFERROR(IF(Portafolio_Proyectos!$AR355="","",Portafolio_Proyectos!$AR355),"")</f>
        <v/>
      </c>
      <c r="C1066" s="5" t="str">
        <f>IFERROR(IF(Portafolio_Proyectos!$AR355="","","Distintiva"),"")</f>
        <v/>
      </c>
      <c r="D1066" s="5" t="str">
        <f>IFERROR(IF(Portafolio_Proyectos!$AR355="","",Portafolio_Proyectos!$C355),"")</f>
        <v/>
      </c>
      <c r="E1066" s="5" t="str">
        <f>IFERROR(IF(Portafolio_Proyectos!$AR355="","",Portafolio_Proyectos!$B355),"")</f>
        <v/>
      </c>
      <c r="F1066" s="5" t="str">
        <f>IFERROR(IF(Portafolio_Proyectos!$AR355="","",Portafolio_Proyectos!$D355),"")</f>
        <v/>
      </c>
      <c r="G1066" s="5" t="str">
        <f>IFERROR(IF(Portafolio_Proyectos!$AR355="","",Portafolio_Proyectos!$A355),"")</f>
        <v/>
      </c>
      <c r="H1066" s="5" t="str">
        <f>IFERROR(IF(Portafolio_Proyectos!$AR355="","",Portafolio_Proyectos!$E355),"")</f>
        <v/>
      </c>
    </row>
    <row r="1067" spans="1:8" x14ac:dyDescent="0.35">
      <c r="A1067" s="5" t="str">
        <f>IFERROR(IF(Portafolio_Proyectos!$AP356="","","CAP-"&amp;ROW()-1),"")</f>
        <v/>
      </c>
      <c r="B1067" s="5" t="str">
        <f>IFERROR(IF(Portafolio_Proyectos!$AP356="","",Portafolio_Proyectos!$AP356),"")</f>
        <v/>
      </c>
      <c r="C1067" s="5" t="str">
        <f>IFERROR(IF(Portafolio_Proyectos!$AP356="","","Emergente"),"")</f>
        <v/>
      </c>
      <c r="D1067" s="5" t="str">
        <f>IFERROR(IF(Portafolio_Proyectos!$AP356="","",Portafolio_Proyectos!$C356),"")</f>
        <v/>
      </c>
      <c r="E1067" s="5" t="str">
        <f>IFERROR(IF(Portafolio_Proyectos!$AP356="","",Portafolio_Proyectos!$B356),"")</f>
        <v/>
      </c>
      <c r="F1067" s="5" t="str">
        <f>IFERROR(IF(Portafolio_Proyectos!$AP356="","",Portafolio_Proyectos!$D356),"")</f>
        <v/>
      </c>
      <c r="G1067" s="5" t="str">
        <f>IFERROR(IF(Portafolio_Proyectos!$AP356="","",Portafolio_Proyectos!$A356),"")</f>
        <v/>
      </c>
      <c r="H1067" s="5" t="str">
        <f>IFERROR(IF(Portafolio_Proyectos!$AP356="","",Portafolio_Proyectos!$E356),"")</f>
        <v/>
      </c>
    </row>
    <row r="1068" spans="1:8" x14ac:dyDescent="0.35">
      <c r="A1068" s="5" t="str">
        <f>IFERROR(IF(Portafolio_Proyectos!$AQ356="","","CAP-"&amp;ROW()-1),"")</f>
        <v/>
      </c>
      <c r="B1068" s="5" t="str">
        <f>IFERROR(IF(Portafolio_Proyectos!$AQ356="","",Portafolio_Proyectos!$AQ356),"")</f>
        <v/>
      </c>
      <c r="C1068" s="5" t="str">
        <f>IFERROR(IF(Portafolio_Proyectos!$AQ356="","","Consolidada"),"")</f>
        <v/>
      </c>
      <c r="D1068" s="5" t="str">
        <f>IFERROR(IF(Portafolio_Proyectos!$AQ356="","",Portafolio_Proyectos!$C356),"")</f>
        <v/>
      </c>
      <c r="E1068" s="5" t="str">
        <f>IFERROR(IF(Portafolio_Proyectos!$AQ356="","",Portafolio_Proyectos!$B356),"")</f>
        <v/>
      </c>
      <c r="F1068" s="5" t="str">
        <f>IFERROR(IF(Portafolio_Proyectos!$AQ356="","",Portafolio_Proyectos!$D356),"")</f>
        <v/>
      </c>
      <c r="G1068" s="5" t="str">
        <f>IFERROR(IF(Portafolio_Proyectos!$AQ356="","",Portafolio_Proyectos!$A356),"")</f>
        <v/>
      </c>
      <c r="H1068" s="5" t="str">
        <f>IFERROR(IF(Portafolio_Proyectos!$AQ356="","",Portafolio_Proyectos!$E356),"")</f>
        <v/>
      </c>
    </row>
    <row r="1069" spans="1:8" x14ac:dyDescent="0.35">
      <c r="A1069" s="5" t="str">
        <f>IFERROR(IF(Portafolio_Proyectos!$AR356="","","CAP-"&amp;ROW()-1),"")</f>
        <v/>
      </c>
      <c r="B1069" s="5" t="str">
        <f>IFERROR(IF(Portafolio_Proyectos!$AR356="","",Portafolio_Proyectos!$AR356),"")</f>
        <v/>
      </c>
      <c r="C1069" s="5" t="str">
        <f>IFERROR(IF(Portafolio_Proyectos!$AR356="","","Distintiva"),"")</f>
        <v/>
      </c>
      <c r="D1069" s="5" t="str">
        <f>IFERROR(IF(Portafolio_Proyectos!$AR356="","",Portafolio_Proyectos!$C356),"")</f>
        <v/>
      </c>
      <c r="E1069" s="5" t="str">
        <f>IFERROR(IF(Portafolio_Proyectos!$AR356="","",Portafolio_Proyectos!$B356),"")</f>
        <v/>
      </c>
      <c r="F1069" s="5" t="str">
        <f>IFERROR(IF(Portafolio_Proyectos!$AR356="","",Portafolio_Proyectos!$D356),"")</f>
        <v/>
      </c>
      <c r="G1069" s="5" t="str">
        <f>IFERROR(IF(Portafolio_Proyectos!$AR356="","",Portafolio_Proyectos!$A356),"")</f>
        <v/>
      </c>
      <c r="H1069" s="5" t="str">
        <f>IFERROR(IF(Portafolio_Proyectos!$AR356="","",Portafolio_Proyectos!$E356),"")</f>
        <v/>
      </c>
    </row>
    <row r="1070" spans="1:8" x14ac:dyDescent="0.35">
      <c r="A1070" s="5" t="str">
        <f>IFERROR(IF(Portafolio_Proyectos!$AP357="","","CAP-"&amp;ROW()-1),"")</f>
        <v/>
      </c>
      <c r="B1070" s="5" t="str">
        <f>IFERROR(IF(Portafolio_Proyectos!$AP357="","",Portafolio_Proyectos!$AP357),"")</f>
        <v/>
      </c>
      <c r="C1070" s="5" t="str">
        <f>IFERROR(IF(Portafolio_Proyectos!$AP357="","","Emergente"),"")</f>
        <v/>
      </c>
      <c r="D1070" s="5" t="str">
        <f>IFERROR(IF(Portafolio_Proyectos!$AP357="","",Portafolio_Proyectos!$C357),"")</f>
        <v/>
      </c>
      <c r="E1070" s="5" t="str">
        <f>IFERROR(IF(Portafolio_Proyectos!$AP357="","",Portafolio_Proyectos!$B357),"")</f>
        <v/>
      </c>
      <c r="F1070" s="5" t="str">
        <f>IFERROR(IF(Portafolio_Proyectos!$AP357="","",Portafolio_Proyectos!$D357),"")</f>
        <v/>
      </c>
      <c r="G1070" s="5" t="str">
        <f>IFERROR(IF(Portafolio_Proyectos!$AP357="","",Portafolio_Proyectos!$A357),"")</f>
        <v/>
      </c>
      <c r="H1070" s="5" t="str">
        <f>IFERROR(IF(Portafolio_Proyectos!$AP357="","",Portafolio_Proyectos!$E357),"")</f>
        <v/>
      </c>
    </row>
    <row r="1071" spans="1:8" x14ac:dyDescent="0.35">
      <c r="A1071" s="5" t="str">
        <f>IFERROR(IF(Portafolio_Proyectos!$AQ357="","","CAP-"&amp;ROW()-1),"")</f>
        <v/>
      </c>
      <c r="B1071" s="5" t="str">
        <f>IFERROR(IF(Portafolio_Proyectos!$AQ357="","",Portafolio_Proyectos!$AQ357),"")</f>
        <v/>
      </c>
      <c r="C1071" s="5" t="str">
        <f>IFERROR(IF(Portafolio_Proyectos!$AQ357="","","Consolidada"),"")</f>
        <v/>
      </c>
      <c r="D1071" s="5" t="str">
        <f>IFERROR(IF(Portafolio_Proyectos!$AQ357="","",Portafolio_Proyectos!$C357),"")</f>
        <v/>
      </c>
      <c r="E1071" s="5" t="str">
        <f>IFERROR(IF(Portafolio_Proyectos!$AQ357="","",Portafolio_Proyectos!$B357),"")</f>
        <v/>
      </c>
      <c r="F1071" s="5" t="str">
        <f>IFERROR(IF(Portafolio_Proyectos!$AQ357="","",Portafolio_Proyectos!$D357),"")</f>
        <v/>
      </c>
      <c r="G1071" s="5" t="str">
        <f>IFERROR(IF(Portafolio_Proyectos!$AQ357="","",Portafolio_Proyectos!$A357),"")</f>
        <v/>
      </c>
      <c r="H1071" s="5" t="str">
        <f>IFERROR(IF(Portafolio_Proyectos!$AQ357="","",Portafolio_Proyectos!$E357),"")</f>
        <v/>
      </c>
    </row>
    <row r="1072" spans="1:8" x14ac:dyDescent="0.35">
      <c r="A1072" s="5" t="str">
        <f>IFERROR(IF(Portafolio_Proyectos!$AR357="","","CAP-"&amp;ROW()-1),"")</f>
        <v/>
      </c>
      <c r="B1072" s="5" t="str">
        <f>IFERROR(IF(Portafolio_Proyectos!$AR357="","",Portafolio_Proyectos!$AR357),"")</f>
        <v/>
      </c>
      <c r="C1072" s="5" t="str">
        <f>IFERROR(IF(Portafolio_Proyectos!$AR357="","","Distintiva"),"")</f>
        <v/>
      </c>
      <c r="D1072" s="5" t="str">
        <f>IFERROR(IF(Portafolio_Proyectos!$AR357="","",Portafolio_Proyectos!$C357),"")</f>
        <v/>
      </c>
      <c r="E1072" s="5" t="str">
        <f>IFERROR(IF(Portafolio_Proyectos!$AR357="","",Portafolio_Proyectos!$B357),"")</f>
        <v/>
      </c>
      <c r="F1072" s="5" t="str">
        <f>IFERROR(IF(Portafolio_Proyectos!$AR357="","",Portafolio_Proyectos!$D357),"")</f>
        <v/>
      </c>
      <c r="G1072" s="5" t="str">
        <f>IFERROR(IF(Portafolio_Proyectos!$AR357="","",Portafolio_Proyectos!$A357),"")</f>
        <v/>
      </c>
      <c r="H1072" s="5" t="str">
        <f>IFERROR(IF(Portafolio_Proyectos!$AR357="","",Portafolio_Proyectos!$E357),"")</f>
        <v/>
      </c>
    </row>
    <row r="1073" spans="1:8" x14ac:dyDescent="0.35">
      <c r="A1073" s="5" t="str">
        <f>IFERROR(IF(Portafolio_Proyectos!$AP358="","","CAP-"&amp;ROW()-1),"")</f>
        <v/>
      </c>
      <c r="B1073" s="5" t="str">
        <f>IFERROR(IF(Portafolio_Proyectos!$AP358="","",Portafolio_Proyectos!$AP358),"")</f>
        <v/>
      </c>
      <c r="C1073" s="5" t="str">
        <f>IFERROR(IF(Portafolio_Proyectos!$AP358="","","Emergente"),"")</f>
        <v/>
      </c>
      <c r="D1073" s="5" t="str">
        <f>IFERROR(IF(Portafolio_Proyectos!$AP358="","",Portafolio_Proyectos!$C358),"")</f>
        <v/>
      </c>
      <c r="E1073" s="5" t="str">
        <f>IFERROR(IF(Portafolio_Proyectos!$AP358="","",Portafolio_Proyectos!$B358),"")</f>
        <v/>
      </c>
      <c r="F1073" s="5" t="str">
        <f>IFERROR(IF(Portafolio_Proyectos!$AP358="","",Portafolio_Proyectos!$D358),"")</f>
        <v/>
      </c>
      <c r="G1073" s="5" t="str">
        <f>IFERROR(IF(Portafolio_Proyectos!$AP358="","",Portafolio_Proyectos!$A358),"")</f>
        <v/>
      </c>
      <c r="H1073" s="5" t="str">
        <f>IFERROR(IF(Portafolio_Proyectos!$AP358="","",Portafolio_Proyectos!$E358),"")</f>
        <v/>
      </c>
    </row>
    <row r="1074" spans="1:8" x14ac:dyDescent="0.35">
      <c r="A1074" s="5" t="str">
        <f>IFERROR(IF(Portafolio_Proyectos!$AQ358="","","CAP-"&amp;ROW()-1),"")</f>
        <v/>
      </c>
      <c r="B1074" s="5" t="str">
        <f>IFERROR(IF(Portafolio_Proyectos!$AQ358="","",Portafolio_Proyectos!$AQ358),"")</f>
        <v/>
      </c>
      <c r="C1074" s="5" t="str">
        <f>IFERROR(IF(Portafolio_Proyectos!$AQ358="","","Consolidada"),"")</f>
        <v/>
      </c>
      <c r="D1074" s="5" t="str">
        <f>IFERROR(IF(Portafolio_Proyectos!$AQ358="","",Portafolio_Proyectos!$C358),"")</f>
        <v/>
      </c>
      <c r="E1074" s="5" t="str">
        <f>IFERROR(IF(Portafolio_Proyectos!$AQ358="","",Portafolio_Proyectos!$B358),"")</f>
        <v/>
      </c>
      <c r="F1074" s="5" t="str">
        <f>IFERROR(IF(Portafolio_Proyectos!$AQ358="","",Portafolio_Proyectos!$D358),"")</f>
        <v/>
      </c>
      <c r="G1074" s="5" t="str">
        <f>IFERROR(IF(Portafolio_Proyectos!$AQ358="","",Portafolio_Proyectos!$A358),"")</f>
        <v/>
      </c>
      <c r="H1074" s="5" t="str">
        <f>IFERROR(IF(Portafolio_Proyectos!$AQ358="","",Portafolio_Proyectos!$E358),"")</f>
        <v/>
      </c>
    </row>
    <row r="1075" spans="1:8" x14ac:dyDescent="0.35">
      <c r="A1075" s="5" t="str">
        <f>IFERROR(IF(Portafolio_Proyectos!$AR358="","","CAP-"&amp;ROW()-1),"")</f>
        <v/>
      </c>
      <c r="B1075" s="5" t="str">
        <f>IFERROR(IF(Portafolio_Proyectos!$AR358="","",Portafolio_Proyectos!$AR358),"")</f>
        <v/>
      </c>
      <c r="C1075" s="5" t="str">
        <f>IFERROR(IF(Portafolio_Proyectos!$AR358="","","Distintiva"),"")</f>
        <v/>
      </c>
      <c r="D1075" s="5" t="str">
        <f>IFERROR(IF(Portafolio_Proyectos!$AR358="","",Portafolio_Proyectos!$C358),"")</f>
        <v/>
      </c>
      <c r="E1075" s="5" t="str">
        <f>IFERROR(IF(Portafolio_Proyectos!$AR358="","",Portafolio_Proyectos!$B358),"")</f>
        <v/>
      </c>
      <c r="F1075" s="5" t="str">
        <f>IFERROR(IF(Portafolio_Proyectos!$AR358="","",Portafolio_Proyectos!$D358),"")</f>
        <v/>
      </c>
      <c r="G1075" s="5" t="str">
        <f>IFERROR(IF(Portafolio_Proyectos!$AR358="","",Portafolio_Proyectos!$A358),"")</f>
        <v/>
      </c>
      <c r="H1075" s="5" t="str">
        <f>IFERROR(IF(Portafolio_Proyectos!$AR358="","",Portafolio_Proyectos!$E358),"")</f>
        <v/>
      </c>
    </row>
    <row r="1076" spans="1:8" x14ac:dyDescent="0.35">
      <c r="A1076" s="5" t="str">
        <f>IFERROR(IF(Portafolio_Proyectos!$AP359="","","CAP-"&amp;ROW()-1),"")</f>
        <v/>
      </c>
      <c r="B1076" s="5" t="str">
        <f>IFERROR(IF(Portafolio_Proyectos!$AP359="","",Portafolio_Proyectos!$AP359),"")</f>
        <v/>
      </c>
      <c r="C1076" s="5" t="str">
        <f>IFERROR(IF(Portafolio_Proyectos!$AP359="","","Emergente"),"")</f>
        <v/>
      </c>
      <c r="D1076" s="5" t="str">
        <f>IFERROR(IF(Portafolio_Proyectos!$AP359="","",Portafolio_Proyectos!$C359),"")</f>
        <v/>
      </c>
      <c r="E1076" s="5" t="str">
        <f>IFERROR(IF(Portafolio_Proyectos!$AP359="","",Portafolio_Proyectos!$B359),"")</f>
        <v/>
      </c>
      <c r="F1076" s="5" t="str">
        <f>IFERROR(IF(Portafolio_Proyectos!$AP359="","",Portafolio_Proyectos!$D359),"")</f>
        <v/>
      </c>
      <c r="G1076" s="5" t="str">
        <f>IFERROR(IF(Portafolio_Proyectos!$AP359="","",Portafolio_Proyectos!$A359),"")</f>
        <v/>
      </c>
      <c r="H1076" s="5" t="str">
        <f>IFERROR(IF(Portafolio_Proyectos!$AP359="","",Portafolio_Proyectos!$E359),"")</f>
        <v/>
      </c>
    </row>
    <row r="1077" spans="1:8" x14ac:dyDescent="0.35">
      <c r="A1077" s="5" t="str">
        <f>IFERROR(IF(Portafolio_Proyectos!$AQ359="","","CAP-"&amp;ROW()-1),"")</f>
        <v/>
      </c>
      <c r="B1077" s="5" t="str">
        <f>IFERROR(IF(Portafolio_Proyectos!$AQ359="","",Portafolio_Proyectos!$AQ359),"")</f>
        <v/>
      </c>
      <c r="C1077" s="5" t="str">
        <f>IFERROR(IF(Portafolio_Proyectos!$AQ359="","","Consolidada"),"")</f>
        <v/>
      </c>
      <c r="D1077" s="5" t="str">
        <f>IFERROR(IF(Portafolio_Proyectos!$AQ359="","",Portafolio_Proyectos!$C359),"")</f>
        <v/>
      </c>
      <c r="E1077" s="5" t="str">
        <f>IFERROR(IF(Portafolio_Proyectos!$AQ359="","",Portafolio_Proyectos!$B359),"")</f>
        <v/>
      </c>
      <c r="F1077" s="5" t="str">
        <f>IFERROR(IF(Portafolio_Proyectos!$AQ359="","",Portafolio_Proyectos!$D359),"")</f>
        <v/>
      </c>
      <c r="G1077" s="5" t="str">
        <f>IFERROR(IF(Portafolio_Proyectos!$AQ359="","",Portafolio_Proyectos!$A359),"")</f>
        <v/>
      </c>
      <c r="H1077" s="5" t="str">
        <f>IFERROR(IF(Portafolio_Proyectos!$AQ359="","",Portafolio_Proyectos!$E359),"")</f>
        <v/>
      </c>
    </row>
    <row r="1078" spans="1:8" x14ac:dyDescent="0.35">
      <c r="A1078" s="5" t="str">
        <f>IFERROR(IF(Portafolio_Proyectos!$AR359="","","CAP-"&amp;ROW()-1),"")</f>
        <v/>
      </c>
      <c r="B1078" s="5" t="str">
        <f>IFERROR(IF(Portafolio_Proyectos!$AR359="","",Portafolio_Proyectos!$AR359),"")</f>
        <v/>
      </c>
      <c r="C1078" s="5" t="str">
        <f>IFERROR(IF(Portafolio_Proyectos!$AR359="","","Distintiva"),"")</f>
        <v/>
      </c>
      <c r="D1078" s="5" t="str">
        <f>IFERROR(IF(Portafolio_Proyectos!$AR359="","",Portafolio_Proyectos!$C359),"")</f>
        <v/>
      </c>
      <c r="E1078" s="5" t="str">
        <f>IFERROR(IF(Portafolio_Proyectos!$AR359="","",Portafolio_Proyectos!$B359),"")</f>
        <v/>
      </c>
      <c r="F1078" s="5" t="str">
        <f>IFERROR(IF(Portafolio_Proyectos!$AR359="","",Portafolio_Proyectos!$D359),"")</f>
        <v/>
      </c>
      <c r="G1078" s="5" t="str">
        <f>IFERROR(IF(Portafolio_Proyectos!$AR359="","",Portafolio_Proyectos!$A359),"")</f>
        <v/>
      </c>
      <c r="H1078" s="5" t="str">
        <f>IFERROR(IF(Portafolio_Proyectos!$AR359="","",Portafolio_Proyectos!$E359),"")</f>
        <v/>
      </c>
    </row>
    <row r="1079" spans="1:8" x14ac:dyDescent="0.35">
      <c r="A1079" s="5" t="str">
        <f>IFERROR(IF(Portafolio_Proyectos!$AP360="","","CAP-"&amp;ROW()-1),"")</f>
        <v/>
      </c>
      <c r="B1079" s="5" t="str">
        <f>IFERROR(IF(Portafolio_Proyectos!$AP360="","",Portafolio_Proyectos!$AP360),"")</f>
        <v/>
      </c>
      <c r="C1079" s="5" t="str">
        <f>IFERROR(IF(Portafolio_Proyectos!$AP360="","","Emergente"),"")</f>
        <v/>
      </c>
      <c r="D1079" s="5" t="str">
        <f>IFERROR(IF(Portafolio_Proyectos!$AP360="","",Portafolio_Proyectos!$C360),"")</f>
        <v/>
      </c>
      <c r="E1079" s="5" t="str">
        <f>IFERROR(IF(Portafolio_Proyectos!$AP360="","",Portafolio_Proyectos!$B360),"")</f>
        <v/>
      </c>
      <c r="F1079" s="5" t="str">
        <f>IFERROR(IF(Portafolio_Proyectos!$AP360="","",Portafolio_Proyectos!$D360),"")</f>
        <v/>
      </c>
      <c r="G1079" s="5" t="str">
        <f>IFERROR(IF(Portafolio_Proyectos!$AP360="","",Portafolio_Proyectos!$A360),"")</f>
        <v/>
      </c>
      <c r="H1079" s="5" t="str">
        <f>IFERROR(IF(Portafolio_Proyectos!$AP360="","",Portafolio_Proyectos!$E360),"")</f>
        <v/>
      </c>
    </row>
    <row r="1080" spans="1:8" x14ac:dyDescent="0.35">
      <c r="A1080" s="5" t="str">
        <f>IFERROR(IF(Portafolio_Proyectos!$AQ360="","","CAP-"&amp;ROW()-1),"")</f>
        <v/>
      </c>
      <c r="B1080" s="5" t="str">
        <f>IFERROR(IF(Portafolio_Proyectos!$AQ360="","",Portafolio_Proyectos!$AQ360),"")</f>
        <v/>
      </c>
      <c r="C1080" s="5" t="str">
        <f>IFERROR(IF(Portafolio_Proyectos!$AQ360="","","Consolidada"),"")</f>
        <v/>
      </c>
      <c r="D1080" s="5" t="str">
        <f>IFERROR(IF(Portafolio_Proyectos!$AQ360="","",Portafolio_Proyectos!$C360),"")</f>
        <v/>
      </c>
      <c r="E1080" s="5" t="str">
        <f>IFERROR(IF(Portafolio_Proyectos!$AQ360="","",Portafolio_Proyectos!$B360),"")</f>
        <v/>
      </c>
      <c r="F1080" s="5" t="str">
        <f>IFERROR(IF(Portafolio_Proyectos!$AQ360="","",Portafolio_Proyectos!$D360),"")</f>
        <v/>
      </c>
      <c r="G1080" s="5" t="str">
        <f>IFERROR(IF(Portafolio_Proyectos!$AQ360="","",Portafolio_Proyectos!$A360),"")</f>
        <v/>
      </c>
      <c r="H1080" s="5" t="str">
        <f>IFERROR(IF(Portafolio_Proyectos!$AQ360="","",Portafolio_Proyectos!$E360),"")</f>
        <v/>
      </c>
    </row>
    <row r="1081" spans="1:8" x14ac:dyDescent="0.35">
      <c r="A1081" s="5" t="str">
        <f>IFERROR(IF(Portafolio_Proyectos!$AR360="","","CAP-"&amp;ROW()-1),"")</f>
        <v/>
      </c>
      <c r="B1081" s="5" t="str">
        <f>IFERROR(IF(Portafolio_Proyectos!$AR360="","",Portafolio_Proyectos!$AR360),"")</f>
        <v/>
      </c>
      <c r="C1081" s="5" t="str">
        <f>IFERROR(IF(Portafolio_Proyectos!$AR360="","","Distintiva"),"")</f>
        <v/>
      </c>
      <c r="D1081" s="5" t="str">
        <f>IFERROR(IF(Portafolio_Proyectos!$AR360="","",Portafolio_Proyectos!$C360),"")</f>
        <v/>
      </c>
      <c r="E1081" s="5" t="str">
        <f>IFERROR(IF(Portafolio_Proyectos!$AR360="","",Portafolio_Proyectos!$B360),"")</f>
        <v/>
      </c>
      <c r="F1081" s="5" t="str">
        <f>IFERROR(IF(Portafolio_Proyectos!$AR360="","",Portafolio_Proyectos!$D360),"")</f>
        <v/>
      </c>
      <c r="G1081" s="5" t="str">
        <f>IFERROR(IF(Portafolio_Proyectos!$AR360="","",Portafolio_Proyectos!$A360),"")</f>
        <v/>
      </c>
      <c r="H1081" s="5" t="str">
        <f>IFERROR(IF(Portafolio_Proyectos!$AR360="","",Portafolio_Proyectos!$E360),"")</f>
        <v/>
      </c>
    </row>
    <row r="1082" spans="1:8" x14ac:dyDescent="0.35">
      <c r="A1082" s="5" t="str">
        <f>IFERROR(IF(Portafolio_Proyectos!$AP361="","","CAP-"&amp;ROW()-1),"")</f>
        <v/>
      </c>
      <c r="B1082" s="5" t="str">
        <f>IFERROR(IF(Portafolio_Proyectos!$AP361="","",Portafolio_Proyectos!$AP361),"")</f>
        <v/>
      </c>
      <c r="C1082" s="5" t="str">
        <f>IFERROR(IF(Portafolio_Proyectos!$AP361="","","Emergente"),"")</f>
        <v/>
      </c>
      <c r="D1082" s="5" t="str">
        <f>IFERROR(IF(Portafolio_Proyectos!$AP361="","",Portafolio_Proyectos!$C361),"")</f>
        <v/>
      </c>
      <c r="E1082" s="5" t="str">
        <f>IFERROR(IF(Portafolio_Proyectos!$AP361="","",Portafolio_Proyectos!$B361),"")</f>
        <v/>
      </c>
      <c r="F1082" s="5" t="str">
        <f>IFERROR(IF(Portafolio_Proyectos!$AP361="","",Portafolio_Proyectos!$D361),"")</f>
        <v/>
      </c>
      <c r="G1082" s="5" t="str">
        <f>IFERROR(IF(Portafolio_Proyectos!$AP361="","",Portafolio_Proyectos!$A361),"")</f>
        <v/>
      </c>
      <c r="H1082" s="5" t="str">
        <f>IFERROR(IF(Portafolio_Proyectos!$AP361="","",Portafolio_Proyectos!$E361),"")</f>
        <v/>
      </c>
    </row>
    <row r="1083" spans="1:8" x14ac:dyDescent="0.35">
      <c r="A1083" s="5" t="str">
        <f>IFERROR(IF(Portafolio_Proyectos!$AQ361="","","CAP-"&amp;ROW()-1),"")</f>
        <v/>
      </c>
      <c r="B1083" s="5" t="str">
        <f>IFERROR(IF(Portafolio_Proyectos!$AQ361="","",Portafolio_Proyectos!$AQ361),"")</f>
        <v/>
      </c>
      <c r="C1083" s="5" t="str">
        <f>IFERROR(IF(Portafolio_Proyectos!$AQ361="","","Consolidada"),"")</f>
        <v/>
      </c>
      <c r="D1083" s="5" t="str">
        <f>IFERROR(IF(Portafolio_Proyectos!$AQ361="","",Portafolio_Proyectos!$C361),"")</f>
        <v/>
      </c>
      <c r="E1083" s="5" t="str">
        <f>IFERROR(IF(Portafolio_Proyectos!$AQ361="","",Portafolio_Proyectos!$B361),"")</f>
        <v/>
      </c>
      <c r="F1083" s="5" t="str">
        <f>IFERROR(IF(Portafolio_Proyectos!$AQ361="","",Portafolio_Proyectos!$D361),"")</f>
        <v/>
      </c>
      <c r="G1083" s="5" t="str">
        <f>IFERROR(IF(Portafolio_Proyectos!$AQ361="","",Portafolio_Proyectos!$A361),"")</f>
        <v/>
      </c>
      <c r="H1083" s="5" t="str">
        <f>IFERROR(IF(Portafolio_Proyectos!$AQ361="","",Portafolio_Proyectos!$E361),"")</f>
        <v/>
      </c>
    </row>
    <row r="1084" spans="1:8" x14ac:dyDescent="0.35">
      <c r="A1084" s="5" t="str">
        <f>IFERROR(IF(Portafolio_Proyectos!$AR361="","","CAP-"&amp;ROW()-1),"")</f>
        <v/>
      </c>
      <c r="B1084" s="5" t="str">
        <f>IFERROR(IF(Portafolio_Proyectos!$AR361="","",Portafolio_Proyectos!$AR361),"")</f>
        <v/>
      </c>
      <c r="C1084" s="5" t="str">
        <f>IFERROR(IF(Portafolio_Proyectos!$AR361="","","Distintiva"),"")</f>
        <v/>
      </c>
      <c r="D1084" s="5" t="str">
        <f>IFERROR(IF(Portafolio_Proyectos!$AR361="","",Portafolio_Proyectos!$C361),"")</f>
        <v/>
      </c>
      <c r="E1084" s="5" t="str">
        <f>IFERROR(IF(Portafolio_Proyectos!$AR361="","",Portafolio_Proyectos!$B361),"")</f>
        <v/>
      </c>
      <c r="F1084" s="5" t="str">
        <f>IFERROR(IF(Portafolio_Proyectos!$AR361="","",Portafolio_Proyectos!$D361),"")</f>
        <v/>
      </c>
      <c r="G1084" s="5" t="str">
        <f>IFERROR(IF(Portafolio_Proyectos!$AR361="","",Portafolio_Proyectos!$A361),"")</f>
        <v/>
      </c>
      <c r="H1084" s="5" t="str">
        <f>IFERROR(IF(Portafolio_Proyectos!$AR361="","",Portafolio_Proyectos!$E361),"")</f>
        <v/>
      </c>
    </row>
    <row r="1085" spans="1:8" x14ac:dyDescent="0.35">
      <c r="A1085" s="5" t="str">
        <f>IFERROR(IF(Portafolio_Proyectos!$AP362="","","CAP-"&amp;ROW()-1),"")</f>
        <v/>
      </c>
      <c r="B1085" s="5" t="str">
        <f>IFERROR(IF(Portafolio_Proyectos!$AP362="","",Portafolio_Proyectos!$AP362),"")</f>
        <v/>
      </c>
      <c r="C1085" s="5" t="str">
        <f>IFERROR(IF(Portafolio_Proyectos!$AP362="","","Emergente"),"")</f>
        <v/>
      </c>
      <c r="D1085" s="5" t="str">
        <f>IFERROR(IF(Portafolio_Proyectos!$AP362="","",Portafolio_Proyectos!$C362),"")</f>
        <v/>
      </c>
      <c r="E1085" s="5" t="str">
        <f>IFERROR(IF(Portafolio_Proyectos!$AP362="","",Portafolio_Proyectos!$B362),"")</f>
        <v/>
      </c>
      <c r="F1085" s="5" t="str">
        <f>IFERROR(IF(Portafolio_Proyectos!$AP362="","",Portafolio_Proyectos!$D362),"")</f>
        <v/>
      </c>
      <c r="G1085" s="5" t="str">
        <f>IFERROR(IF(Portafolio_Proyectos!$AP362="","",Portafolio_Proyectos!$A362),"")</f>
        <v/>
      </c>
      <c r="H1085" s="5" t="str">
        <f>IFERROR(IF(Portafolio_Proyectos!$AP362="","",Portafolio_Proyectos!$E362),"")</f>
        <v/>
      </c>
    </row>
    <row r="1086" spans="1:8" x14ac:dyDescent="0.35">
      <c r="A1086" s="5" t="str">
        <f>IFERROR(IF(Portafolio_Proyectos!$AQ362="","","CAP-"&amp;ROW()-1),"")</f>
        <v/>
      </c>
      <c r="B1086" s="5" t="str">
        <f>IFERROR(IF(Portafolio_Proyectos!$AQ362="","",Portafolio_Proyectos!$AQ362),"")</f>
        <v/>
      </c>
      <c r="C1086" s="5" t="str">
        <f>IFERROR(IF(Portafolio_Proyectos!$AQ362="","","Consolidada"),"")</f>
        <v/>
      </c>
      <c r="D1086" s="5" t="str">
        <f>IFERROR(IF(Portafolio_Proyectos!$AQ362="","",Portafolio_Proyectos!$C362),"")</f>
        <v/>
      </c>
      <c r="E1086" s="5" t="str">
        <f>IFERROR(IF(Portafolio_Proyectos!$AQ362="","",Portafolio_Proyectos!$B362),"")</f>
        <v/>
      </c>
      <c r="F1086" s="5" t="str">
        <f>IFERROR(IF(Portafolio_Proyectos!$AQ362="","",Portafolio_Proyectos!$D362),"")</f>
        <v/>
      </c>
      <c r="G1086" s="5" t="str">
        <f>IFERROR(IF(Portafolio_Proyectos!$AQ362="","",Portafolio_Proyectos!$A362),"")</f>
        <v/>
      </c>
      <c r="H1086" s="5" t="str">
        <f>IFERROR(IF(Portafolio_Proyectos!$AQ362="","",Portafolio_Proyectos!$E362),"")</f>
        <v/>
      </c>
    </row>
    <row r="1087" spans="1:8" x14ac:dyDescent="0.35">
      <c r="A1087" s="5" t="str">
        <f>IFERROR(IF(Portafolio_Proyectos!$AR362="","","CAP-"&amp;ROW()-1),"")</f>
        <v/>
      </c>
      <c r="B1087" s="5" t="str">
        <f>IFERROR(IF(Portafolio_Proyectos!$AR362="","",Portafolio_Proyectos!$AR362),"")</f>
        <v/>
      </c>
      <c r="C1087" s="5" t="str">
        <f>IFERROR(IF(Portafolio_Proyectos!$AR362="","","Distintiva"),"")</f>
        <v/>
      </c>
      <c r="D1087" s="5" t="str">
        <f>IFERROR(IF(Portafolio_Proyectos!$AR362="","",Portafolio_Proyectos!$C362),"")</f>
        <v/>
      </c>
      <c r="E1087" s="5" t="str">
        <f>IFERROR(IF(Portafolio_Proyectos!$AR362="","",Portafolio_Proyectos!$B362),"")</f>
        <v/>
      </c>
      <c r="F1087" s="5" t="str">
        <f>IFERROR(IF(Portafolio_Proyectos!$AR362="","",Portafolio_Proyectos!$D362),"")</f>
        <v/>
      </c>
      <c r="G1087" s="5" t="str">
        <f>IFERROR(IF(Portafolio_Proyectos!$AR362="","",Portafolio_Proyectos!$A362),"")</f>
        <v/>
      </c>
      <c r="H1087" s="5" t="str">
        <f>IFERROR(IF(Portafolio_Proyectos!$AR362="","",Portafolio_Proyectos!$E362),"")</f>
        <v/>
      </c>
    </row>
    <row r="1088" spans="1:8" x14ac:dyDescent="0.35">
      <c r="A1088" s="5" t="str">
        <f>IFERROR(IF(Portafolio_Proyectos!$AP363="","","CAP-"&amp;ROW()-1),"")</f>
        <v/>
      </c>
      <c r="B1088" s="5" t="str">
        <f>IFERROR(IF(Portafolio_Proyectos!$AP363="","",Portafolio_Proyectos!$AP363),"")</f>
        <v/>
      </c>
      <c r="C1088" s="5" t="str">
        <f>IFERROR(IF(Portafolio_Proyectos!$AP363="","","Emergente"),"")</f>
        <v/>
      </c>
      <c r="D1088" s="5" t="str">
        <f>IFERROR(IF(Portafolio_Proyectos!$AP363="","",Portafolio_Proyectos!$C363),"")</f>
        <v/>
      </c>
      <c r="E1088" s="5" t="str">
        <f>IFERROR(IF(Portafolio_Proyectos!$AP363="","",Portafolio_Proyectos!$B363),"")</f>
        <v/>
      </c>
      <c r="F1088" s="5" t="str">
        <f>IFERROR(IF(Portafolio_Proyectos!$AP363="","",Portafolio_Proyectos!$D363),"")</f>
        <v/>
      </c>
      <c r="G1088" s="5" t="str">
        <f>IFERROR(IF(Portafolio_Proyectos!$AP363="","",Portafolio_Proyectos!$A363),"")</f>
        <v/>
      </c>
      <c r="H1088" s="5" t="str">
        <f>IFERROR(IF(Portafolio_Proyectos!$AP363="","",Portafolio_Proyectos!$E363),"")</f>
        <v/>
      </c>
    </row>
    <row r="1089" spans="1:8" x14ac:dyDescent="0.35">
      <c r="A1089" s="5" t="str">
        <f>IFERROR(IF(Portafolio_Proyectos!$AQ363="","","CAP-"&amp;ROW()-1),"")</f>
        <v/>
      </c>
      <c r="B1089" s="5" t="str">
        <f>IFERROR(IF(Portafolio_Proyectos!$AQ363="","",Portafolio_Proyectos!$AQ363),"")</f>
        <v/>
      </c>
      <c r="C1089" s="5" t="str">
        <f>IFERROR(IF(Portafolio_Proyectos!$AQ363="","","Consolidada"),"")</f>
        <v/>
      </c>
      <c r="D1089" s="5" t="str">
        <f>IFERROR(IF(Portafolio_Proyectos!$AQ363="","",Portafolio_Proyectos!$C363),"")</f>
        <v/>
      </c>
      <c r="E1089" s="5" t="str">
        <f>IFERROR(IF(Portafolio_Proyectos!$AQ363="","",Portafolio_Proyectos!$B363),"")</f>
        <v/>
      </c>
      <c r="F1089" s="5" t="str">
        <f>IFERROR(IF(Portafolio_Proyectos!$AQ363="","",Portafolio_Proyectos!$D363),"")</f>
        <v/>
      </c>
      <c r="G1089" s="5" t="str">
        <f>IFERROR(IF(Portafolio_Proyectos!$AQ363="","",Portafolio_Proyectos!$A363),"")</f>
        <v/>
      </c>
      <c r="H1089" s="5" t="str">
        <f>IFERROR(IF(Portafolio_Proyectos!$AQ363="","",Portafolio_Proyectos!$E363),"")</f>
        <v/>
      </c>
    </row>
    <row r="1090" spans="1:8" x14ac:dyDescent="0.35">
      <c r="A1090" s="5" t="str">
        <f>IFERROR(IF(Portafolio_Proyectos!$AR363="","","CAP-"&amp;ROW()-1),"")</f>
        <v/>
      </c>
      <c r="B1090" s="5" t="str">
        <f>IFERROR(IF(Portafolio_Proyectos!$AR363="","",Portafolio_Proyectos!$AR363),"")</f>
        <v/>
      </c>
      <c r="C1090" s="5" t="str">
        <f>IFERROR(IF(Portafolio_Proyectos!$AR363="","","Distintiva"),"")</f>
        <v/>
      </c>
      <c r="D1090" s="5" t="str">
        <f>IFERROR(IF(Portafolio_Proyectos!$AR363="","",Portafolio_Proyectos!$C363),"")</f>
        <v/>
      </c>
      <c r="E1090" s="5" t="str">
        <f>IFERROR(IF(Portafolio_Proyectos!$AR363="","",Portafolio_Proyectos!$B363),"")</f>
        <v/>
      </c>
      <c r="F1090" s="5" t="str">
        <f>IFERROR(IF(Portafolio_Proyectos!$AR363="","",Portafolio_Proyectos!$D363),"")</f>
        <v/>
      </c>
      <c r="G1090" s="5" t="str">
        <f>IFERROR(IF(Portafolio_Proyectos!$AR363="","",Portafolio_Proyectos!$A363),"")</f>
        <v/>
      </c>
      <c r="H1090" s="5" t="str">
        <f>IFERROR(IF(Portafolio_Proyectos!$AR363="","",Portafolio_Proyectos!$E363),"")</f>
        <v/>
      </c>
    </row>
    <row r="1091" spans="1:8" x14ac:dyDescent="0.35">
      <c r="A1091" s="5" t="str">
        <f>IFERROR(IF(Portafolio_Proyectos!$AP364="","","CAP-"&amp;ROW()-1),"")</f>
        <v/>
      </c>
      <c r="B1091" s="5" t="str">
        <f>IFERROR(IF(Portafolio_Proyectos!$AP364="","",Portafolio_Proyectos!$AP364),"")</f>
        <v/>
      </c>
      <c r="C1091" s="5" t="str">
        <f>IFERROR(IF(Portafolio_Proyectos!$AP364="","","Emergente"),"")</f>
        <v/>
      </c>
      <c r="D1091" s="5" t="str">
        <f>IFERROR(IF(Portafolio_Proyectos!$AP364="","",Portafolio_Proyectos!$C364),"")</f>
        <v/>
      </c>
      <c r="E1091" s="5" t="str">
        <f>IFERROR(IF(Portafolio_Proyectos!$AP364="","",Portafolio_Proyectos!$B364),"")</f>
        <v/>
      </c>
      <c r="F1091" s="5" t="str">
        <f>IFERROR(IF(Portafolio_Proyectos!$AP364="","",Portafolio_Proyectos!$D364),"")</f>
        <v/>
      </c>
      <c r="G1091" s="5" t="str">
        <f>IFERROR(IF(Portafolio_Proyectos!$AP364="","",Portafolio_Proyectos!$A364),"")</f>
        <v/>
      </c>
      <c r="H1091" s="5" t="str">
        <f>IFERROR(IF(Portafolio_Proyectos!$AP364="","",Portafolio_Proyectos!$E364),"")</f>
        <v/>
      </c>
    </row>
    <row r="1092" spans="1:8" x14ac:dyDescent="0.35">
      <c r="A1092" s="5" t="str">
        <f>IFERROR(IF(Portafolio_Proyectos!$AQ364="","","CAP-"&amp;ROW()-1),"")</f>
        <v/>
      </c>
      <c r="B1092" s="5" t="str">
        <f>IFERROR(IF(Portafolio_Proyectos!$AQ364="","",Portafolio_Proyectos!$AQ364),"")</f>
        <v/>
      </c>
      <c r="C1092" s="5" t="str">
        <f>IFERROR(IF(Portafolio_Proyectos!$AQ364="","","Consolidada"),"")</f>
        <v/>
      </c>
      <c r="D1092" s="5" t="str">
        <f>IFERROR(IF(Portafolio_Proyectos!$AQ364="","",Portafolio_Proyectos!$C364),"")</f>
        <v/>
      </c>
      <c r="E1092" s="5" t="str">
        <f>IFERROR(IF(Portafolio_Proyectos!$AQ364="","",Portafolio_Proyectos!$B364),"")</f>
        <v/>
      </c>
      <c r="F1092" s="5" t="str">
        <f>IFERROR(IF(Portafolio_Proyectos!$AQ364="","",Portafolio_Proyectos!$D364),"")</f>
        <v/>
      </c>
      <c r="G1092" s="5" t="str">
        <f>IFERROR(IF(Portafolio_Proyectos!$AQ364="","",Portafolio_Proyectos!$A364),"")</f>
        <v/>
      </c>
      <c r="H1092" s="5" t="str">
        <f>IFERROR(IF(Portafolio_Proyectos!$AQ364="","",Portafolio_Proyectos!$E364),"")</f>
        <v/>
      </c>
    </row>
    <row r="1093" spans="1:8" x14ac:dyDescent="0.35">
      <c r="A1093" s="5" t="str">
        <f>IFERROR(IF(Portafolio_Proyectos!$AR364="","","CAP-"&amp;ROW()-1),"")</f>
        <v/>
      </c>
      <c r="B1093" s="5" t="str">
        <f>IFERROR(IF(Portafolio_Proyectos!$AR364="","",Portafolio_Proyectos!$AR364),"")</f>
        <v/>
      </c>
      <c r="C1093" s="5" t="str">
        <f>IFERROR(IF(Portafolio_Proyectos!$AR364="","","Distintiva"),"")</f>
        <v/>
      </c>
      <c r="D1093" s="5" t="str">
        <f>IFERROR(IF(Portafolio_Proyectos!$AR364="","",Portafolio_Proyectos!$C364),"")</f>
        <v/>
      </c>
      <c r="E1093" s="5" t="str">
        <f>IFERROR(IF(Portafolio_Proyectos!$AR364="","",Portafolio_Proyectos!$B364),"")</f>
        <v/>
      </c>
      <c r="F1093" s="5" t="str">
        <f>IFERROR(IF(Portafolio_Proyectos!$AR364="","",Portafolio_Proyectos!$D364),"")</f>
        <v/>
      </c>
      <c r="G1093" s="5" t="str">
        <f>IFERROR(IF(Portafolio_Proyectos!$AR364="","",Portafolio_Proyectos!$A364),"")</f>
        <v/>
      </c>
      <c r="H1093" s="5" t="str">
        <f>IFERROR(IF(Portafolio_Proyectos!$AR364="","",Portafolio_Proyectos!$E364),"")</f>
        <v/>
      </c>
    </row>
    <row r="1094" spans="1:8" x14ac:dyDescent="0.35">
      <c r="A1094" s="5" t="str">
        <f>IFERROR(IF(Portafolio_Proyectos!$AP365="","","CAP-"&amp;ROW()-1),"")</f>
        <v/>
      </c>
      <c r="B1094" s="5" t="str">
        <f>IFERROR(IF(Portafolio_Proyectos!$AP365="","",Portafolio_Proyectos!$AP365),"")</f>
        <v/>
      </c>
      <c r="C1094" s="5" t="str">
        <f>IFERROR(IF(Portafolio_Proyectos!$AP365="","","Emergente"),"")</f>
        <v/>
      </c>
      <c r="D1094" s="5" t="str">
        <f>IFERROR(IF(Portafolio_Proyectos!$AP365="","",Portafolio_Proyectos!$C365),"")</f>
        <v/>
      </c>
      <c r="E1094" s="5" t="str">
        <f>IFERROR(IF(Portafolio_Proyectos!$AP365="","",Portafolio_Proyectos!$B365),"")</f>
        <v/>
      </c>
      <c r="F1094" s="5" t="str">
        <f>IFERROR(IF(Portafolio_Proyectos!$AP365="","",Portafolio_Proyectos!$D365),"")</f>
        <v/>
      </c>
      <c r="G1094" s="5" t="str">
        <f>IFERROR(IF(Portafolio_Proyectos!$AP365="","",Portafolio_Proyectos!$A365),"")</f>
        <v/>
      </c>
      <c r="H1094" s="5" t="str">
        <f>IFERROR(IF(Portafolio_Proyectos!$AP365="","",Portafolio_Proyectos!$E365),"")</f>
        <v/>
      </c>
    </row>
    <row r="1095" spans="1:8" x14ac:dyDescent="0.35">
      <c r="A1095" s="5" t="str">
        <f>IFERROR(IF(Portafolio_Proyectos!$AQ365="","","CAP-"&amp;ROW()-1),"")</f>
        <v/>
      </c>
      <c r="B1095" s="5" t="str">
        <f>IFERROR(IF(Portafolio_Proyectos!$AQ365="","",Portafolio_Proyectos!$AQ365),"")</f>
        <v/>
      </c>
      <c r="C1095" s="5" t="str">
        <f>IFERROR(IF(Portafolio_Proyectos!$AQ365="","","Consolidada"),"")</f>
        <v/>
      </c>
      <c r="D1095" s="5" t="str">
        <f>IFERROR(IF(Portafolio_Proyectos!$AQ365="","",Portafolio_Proyectos!$C365),"")</f>
        <v/>
      </c>
      <c r="E1095" s="5" t="str">
        <f>IFERROR(IF(Portafolio_Proyectos!$AQ365="","",Portafolio_Proyectos!$B365),"")</f>
        <v/>
      </c>
      <c r="F1095" s="5" t="str">
        <f>IFERROR(IF(Portafolio_Proyectos!$AQ365="","",Portafolio_Proyectos!$D365),"")</f>
        <v/>
      </c>
      <c r="G1095" s="5" t="str">
        <f>IFERROR(IF(Portafolio_Proyectos!$AQ365="","",Portafolio_Proyectos!$A365),"")</f>
        <v/>
      </c>
      <c r="H1095" s="5" t="str">
        <f>IFERROR(IF(Portafolio_Proyectos!$AQ365="","",Portafolio_Proyectos!$E365),"")</f>
        <v/>
      </c>
    </row>
    <row r="1096" spans="1:8" x14ac:dyDescent="0.35">
      <c r="A1096" s="5" t="str">
        <f>IFERROR(IF(Portafolio_Proyectos!$AR365="","","CAP-"&amp;ROW()-1),"")</f>
        <v/>
      </c>
      <c r="B1096" s="5" t="str">
        <f>IFERROR(IF(Portafolio_Proyectos!$AR365="","",Portafolio_Proyectos!$AR365),"")</f>
        <v/>
      </c>
      <c r="C1096" s="5" t="str">
        <f>IFERROR(IF(Portafolio_Proyectos!$AR365="","","Distintiva"),"")</f>
        <v/>
      </c>
      <c r="D1096" s="5" t="str">
        <f>IFERROR(IF(Portafolio_Proyectos!$AR365="","",Portafolio_Proyectos!$C365),"")</f>
        <v/>
      </c>
      <c r="E1096" s="5" t="str">
        <f>IFERROR(IF(Portafolio_Proyectos!$AR365="","",Portafolio_Proyectos!$B365),"")</f>
        <v/>
      </c>
      <c r="F1096" s="5" t="str">
        <f>IFERROR(IF(Portafolio_Proyectos!$AR365="","",Portafolio_Proyectos!$D365),"")</f>
        <v/>
      </c>
      <c r="G1096" s="5" t="str">
        <f>IFERROR(IF(Portafolio_Proyectos!$AR365="","",Portafolio_Proyectos!$A365),"")</f>
        <v/>
      </c>
      <c r="H1096" s="5" t="str">
        <f>IFERROR(IF(Portafolio_Proyectos!$AR365="","",Portafolio_Proyectos!$E365),"")</f>
        <v/>
      </c>
    </row>
    <row r="1097" spans="1:8" x14ac:dyDescent="0.35">
      <c r="A1097" s="5" t="str">
        <f>IFERROR(IF(Portafolio_Proyectos!$AP366="","","CAP-"&amp;ROW()-1),"")</f>
        <v/>
      </c>
      <c r="B1097" s="5" t="str">
        <f>IFERROR(IF(Portafolio_Proyectos!$AP366="","",Portafolio_Proyectos!$AP366),"")</f>
        <v/>
      </c>
      <c r="C1097" s="5" t="str">
        <f>IFERROR(IF(Portafolio_Proyectos!$AP366="","","Emergente"),"")</f>
        <v/>
      </c>
      <c r="D1097" s="5" t="str">
        <f>IFERROR(IF(Portafolio_Proyectos!$AP366="","",Portafolio_Proyectos!$C366),"")</f>
        <v/>
      </c>
      <c r="E1097" s="5" t="str">
        <f>IFERROR(IF(Portafolio_Proyectos!$AP366="","",Portafolio_Proyectos!$B366),"")</f>
        <v/>
      </c>
      <c r="F1097" s="5" t="str">
        <f>IFERROR(IF(Portafolio_Proyectos!$AP366="","",Portafolio_Proyectos!$D366),"")</f>
        <v/>
      </c>
      <c r="G1097" s="5" t="str">
        <f>IFERROR(IF(Portafolio_Proyectos!$AP366="","",Portafolio_Proyectos!$A366),"")</f>
        <v/>
      </c>
      <c r="H1097" s="5" t="str">
        <f>IFERROR(IF(Portafolio_Proyectos!$AP366="","",Portafolio_Proyectos!$E366),"")</f>
        <v/>
      </c>
    </row>
    <row r="1098" spans="1:8" x14ac:dyDescent="0.35">
      <c r="A1098" s="5" t="str">
        <f>IFERROR(IF(Portafolio_Proyectos!$AQ366="","","CAP-"&amp;ROW()-1),"")</f>
        <v/>
      </c>
      <c r="B1098" s="5" t="str">
        <f>IFERROR(IF(Portafolio_Proyectos!$AQ366="","",Portafolio_Proyectos!$AQ366),"")</f>
        <v/>
      </c>
      <c r="C1098" s="5" t="str">
        <f>IFERROR(IF(Portafolio_Proyectos!$AQ366="","","Consolidada"),"")</f>
        <v/>
      </c>
      <c r="D1098" s="5" t="str">
        <f>IFERROR(IF(Portafolio_Proyectos!$AQ366="","",Portafolio_Proyectos!$C366),"")</f>
        <v/>
      </c>
      <c r="E1098" s="5" t="str">
        <f>IFERROR(IF(Portafolio_Proyectos!$AQ366="","",Portafolio_Proyectos!$B366),"")</f>
        <v/>
      </c>
      <c r="F1098" s="5" t="str">
        <f>IFERROR(IF(Portafolio_Proyectos!$AQ366="","",Portafolio_Proyectos!$D366),"")</f>
        <v/>
      </c>
      <c r="G1098" s="5" t="str">
        <f>IFERROR(IF(Portafolio_Proyectos!$AQ366="","",Portafolio_Proyectos!$A366),"")</f>
        <v/>
      </c>
      <c r="H1098" s="5" t="str">
        <f>IFERROR(IF(Portafolio_Proyectos!$AQ366="","",Portafolio_Proyectos!$E366),"")</f>
        <v/>
      </c>
    </row>
    <row r="1099" spans="1:8" x14ac:dyDescent="0.35">
      <c r="A1099" s="5" t="str">
        <f>IFERROR(IF(Portafolio_Proyectos!$AR366="","","CAP-"&amp;ROW()-1),"")</f>
        <v/>
      </c>
      <c r="B1099" s="5" t="str">
        <f>IFERROR(IF(Portafolio_Proyectos!$AR366="","",Portafolio_Proyectos!$AR366),"")</f>
        <v/>
      </c>
      <c r="C1099" s="5" t="str">
        <f>IFERROR(IF(Portafolio_Proyectos!$AR366="","","Distintiva"),"")</f>
        <v/>
      </c>
      <c r="D1099" s="5" t="str">
        <f>IFERROR(IF(Portafolio_Proyectos!$AR366="","",Portafolio_Proyectos!$C366),"")</f>
        <v/>
      </c>
      <c r="E1099" s="5" t="str">
        <f>IFERROR(IF(Portafolio_Proyectos!$AR366="","",Portafolio_Proyectos!$B366),"")</f>
        <v/>
      </c>
      <c r="F1099" s="5" t="str">
        <f>IFERROR(IF(Portafolio_Proyectos!$AR366="","",Portafolio_Proyectos!$D366),"")</f>
        <v/>
      </c>
      <c r="G1099" s="5" t="str">
        <f>IFERROR(IF(Portafolio_Proyectos!$AR366="","",Portafolio_Proyectos!$A366),"")</f>
        <v/>
      </c>
      <c r="H1099" s="5" t="str">
        <f>IFERROR(IF(Portafolio_Proyectos!$AR366="","",Portafolio_Proyectos!$E366),"")</f>
        <v/>
      </c>
    </row>
    <row r="1100" spans="1:8" x14ac:dyDescent="0.35">
      <c r="A1100" s="5" t="str">
        <f>IFERROR(IF(Portafolio_Proyectos!$AP367="","","CAP-"&amp;ROW()-1),"")</f>
        <v/>
      </c>
      <c r="B1100" s="5" t="str">
        <f>IFERROR(IF(Portafolio_Proyectos!$AP367="","",Portafolio_Proyectos!$AP367),"")</f>
        <v/>
      </c>
      <c r="C1100" s="5" t="str">
        <f>IFERROR(IF(Portafolio_Proyectos!$AP367="","","Emergente"),"")</f>
        <v/>
      </c>
      <c r="D1100" s="5" t="str">
        <f>IFERROR(IF(Portafolio_Proyectos!$AP367="","",Portafolio_Proyectos!$C367),"")</f>
        <v/>
      </c>
      <c r="E1100" s="5" t="str">
        <f>IFERROR(IF(Portafolio_Proyectos!$AP367="","",Portafolio_Proyectos!$B367),"")</f>
        <v/>
      </c>
      <c r="F1100" s="5" t="str">
        <f>IFERROR(IF(Portafolio_Proyectos!$AP367="","",Portafolio_Proyectos!$D367),"")</f>
        <v/>
      </c>
      <c r="G1100" s="5" t="str">
        <f>IFERROR(IF(Portafolio_Proyectos!$AP367="","",Portafolio_Proyectos!$A367),"")</f>
        <v/>
      </c>
      <c r="H1100" s="5" t="str">
        <f>IFERROR(IF(Portafolio_Proyectos!$AP367="","",Portafolio_Proyectos!$E367),"")</f>
        <v/>
      </c>
    </row>
    <row r="1101" spans="1:8" x14ac:dyDescent="0.35">
      <c r="A1101" s="5" t="str">
        <f>IFERROR(IF(Portafolio_Proyectos!$AQ367="","","CAP-"&amp;ROW()-1),"")</f>
        <v/>
      </c>
      <c r="B1101" s="5" t="str">
        <f>IFERROR(IF(Portafolio_Proyectos!$AQ367="","",Portafolio_Proyectos!$AQ367),"")</f>
        <v/>
      </c>
      <c r="C1101" s="5" t="str">
        <f>IFERROR(IF(Portafolio_Proyectos!$AQ367="","","Consolidada"),"")</f>
        <v/>
      </c>
      <c r="D1101" s="5" t="str">
        <f>IFERROR(IF(Portafolio_Proyectos!$AQ367="","",Portafolio_Proyectos!$C367),"")</f>
        <v/>
      </c>
      <c r="E1101" s="5" t="str">
        <f>IFERROR(IF(Portafolio_Proyectos!$AQ367="","",Portafolio_Proyectos!$B367),"")</f>
        <v/>
      </c>
      <c r="F1101" s="5" t="str">
        <f>IFERROR(IF(Portafolio_Proyectos!$AQ367="","",Portafolio_Proyectos!$D367),"")</f>
        <v/>
      </c>
      <c r="G1101" s="5" t="str">
        <f>IFERROR(IF(Portafolio_Proyectos!$AQ367="","",Portafolio_Proyectos!$A367),"")</f>
        <v/>
      </c>
      <c r="H1101" s="5" t="str">
        <f>IFERROR(IF(Portafolio_Proyectos!$AQ367="","",Portafolio_Proyectos!$E367),"")</f>
        <v/>
      </c>
    </row>
    <row r="1102" spans="1:8" x14ac:dyDescent="0.35">
      <c r="A1102" s="5" t="str">
        <f>IFERROR(IF(Portafolio_Proyectos!$AR367="","","CAP-"&amp;ROW()-1),"")</f>
        <v/>
      </c>
      <c r="B1102" s="5" t="str">
        <f>IFERROR(IF(Portafolio_Proyectos!$AR367="","",Portafolio_Proyectos!$AR367),"")</f>
        <v/>
      </c>
      <c r="C1102" s="5" t="str">
        <f>IFERROR(IF(Portafolio_Proyectos!$AR367="","","Distintiva"),"")</f>
        <v/>
      </c>
      <c r="D1102" s="5" t="str">
        <f>IFERROR(IF(Portafolio_Proyectos!$AR367="","",Portafolio_Proyectos!$C367),"")</f>
        <v/>
      </c>
      <c r="E1102" s="5" t="str">
        <f>IFERROR(IF(Portafolio_Proyectos!$AR367="","",Portafolio_Proyectos!$B367),"")</f>
        <v/>
      </c>
      <c r="F1102" s="5" t="str">
        <f>IFERROR(IF(Portafolio_Proyectos!$AR367="","",Portafolio_Proyectos!$D367),"")</f>
        <v/>
      </c>
      <c r="G1102" s="5" t="str">
        <f>IFERROR(IF(Portafolio_Proyectos!$AR367="","",Portafolio_Proyectos!$A367),"")</f>
        <v/>
      </c>
      <c r="H1102" s="5" t="str">
        <f>IFERROR(IF(Portafolio_Proyectos!$AR367="","",Portafolio_Proyectos!$E367),"")</f>
        <v/>
      </c>
    </row>
    <row r="1103" spans="1:8" x14ac:dyDescent="0.35">
      <c r="A1103" s="5" t="str">
        <f>IFERROR(IF(Portafolio_Proyectos!$AP368="","","CAP-"&amp;ROW()-1),"")</f>
        <v/>
      </c>
      <c r="B1103" s="5" t="str">
        <f>IFERROR(IF(Portafolio_Proyectos!$AP368="","",Portafolio_Proyectos!$AP368),"")</f>
        <v/>
      </c>
      <c r="C1103" s="5" t="str">
        <f>IFERROR(IF(Portafolio_Proyectos!$AP368="","","Emergente"),"")</f>
        <v/>
      </c>
      <c r="D1103" s="5" t="str">
        <f>IFERROR(IF(Portafolio_Proyectos!$AP368="","",Portafolio_Proyectos!$C368),"")</f>
        <v/>
      </c>
      <c r="E1103" s="5" t="str">
        <f>IFERROR(IF(Portafolio_Proyectos!$AP368="","",Portafolio_Proyectos!$B368),"")</f>
        <v/>
      </c>
      <c r="F1103" s="5" t="str">
        <f>IFERROR(IF(Portafolio_Proyectos!$AP368="","",Portafolio_Proyectos!$D368),"")</f>
        <v/>
      </c>
      <c r="G1103" s="5" t="str">
        <f>IFERROR(IF(Portafolio_Proyectos!$AP368="","",Portafolio_Proyectos!$A368),"")</f>
        <v/>
      </c>
      <c r="H1103" s="5" t="str">
        <f>IFERROR(IF(Portafolio_Proyectos!$AP368="","",Portafolio_Proyectos!$E368),"")</f>
        <v/>
      </c>
    </row>
    <row r="1104" spans="1:8" x14ac:dyDescent="0.35">
      <c r="A1104" s="5" t="str">
        <f>IFERROR(IF(Portafolio_Proyectos!$AQ368="","","CAP-"&amp;ROW()-1),"")</f>
        <v/>
      </c>
      <c r="B1104" s="5" t="str">
        <f>IFERROR(IF(Portafolio_Proyectos!$AQ368="","",Portafolio_Proyectos!$AQ368),"")</f>
        <v/>
      </c>
      <c r="C1104" s="5" t="str">
        <f>IFERROR(IF(Portafolio_Proyectos!$AQ368="","","Consolidada"),"")</f>
        <v/>
      </c>
      <c r="D1104" s="5" t="str">
        <f>IFERROR(IF(Portafolio_Proyectos!$AQ368="","",Portafolio_Proyectos!$C368),"")</f>
        <v/>
      </c>
      <c r="E1104" s="5" t="str">
        <f>IFERROR(IF(Portafolio_Proyectos!$AQ368="","",Portafolio_Proyectos!$B368),"")</f>
        <v/>
      </c>
      <c r="F1104" s="5" t="str">
        <f>IFERROR(IF(Portafolio_Proyectos!$AQ368="","",Portafolio_Proyectos!$D368),"")</f>
        <v/>
      </c>
      <c r="G1104" s="5" t="str">
        <f>IFERROR(IF(Portafolio_Proyectos!$AQ368="","",Portafolio_Proyectos!$A368),"")</f>
        <v/>
      </c>
      <c r="H1104" s="5" t="str">
        <f>IFERROR(IF(Portafolio_Proyectos!$AQ368="","",Portafolio_Proyectos!$E368),"")</f>
        <v/>
      </c>
    </row>
    <row r="1105" spans="1:8" x14ac:dyDescent="0.35">
      <c r="A1105" s="5" t="str">
        <f>IFERROR(IF(Portafolio_Proyectos!$AR368="","","CAP-"&amp;ROW()-1),"")</f>
        <v/>
      </c>
      <c r="B1105" s="5" t="str">
        <f>IFERROR(IF(Portafolio_Proyectos!$AR368="","",Portafolio_Proyectos!$AR368),"")</f>
        <v/>
      </c>
      <c r="C1105" s="5" t="str">
        <f>IFERROR(IF(Portafolio_Proyectos!$AR368="","","Distintiva"),"")</f>
        <v/>
      </c>
      <c r="D1105" s="5" t="str">
        <f>IFERROR(IF(Portafolio_Proyectos!$AR368="","",Portafolio_Proyectos!$C368),"")</f>
        <v/>
      </c>
      <c r="E1105" s="5" t="str">
        <f>IFERROR(IF(Portafolio_Proyectos!$AR368="","",Portafolio_Proyectos!$B368),"")</f>
        <v/>
      </c>
      <c r="F1105" s="5" t="str">
        <f>IFERROR(IF(Portafolio_Proyectos!$AR368="","",Portafolio_Proyectos!$D368),"")</f>
        <v/>
      </c>
      <c r="G1105" s="5" t="str">
        <f>IFERROR(IF(Portafolio_Proyectos!$AR368="","",Portafolio_Proyectos!$A368),"")</f>
        <v/>
      </c>
      <c r="H1105" s="5" t="str">
        <f>IFERROR(IF(Portafolio_Proyectos!$AR368="","",Portafolio_Proyectos!$E368),"")</f>
        <v/>
      </c>
    </row>
    <row r="1106" spans="1:8" x14ac:dyDescent="0.35">
      <c r="A1106" s="5" t="str">
        <f>IFERROR(IF(Portafolio_Proyectos!$AP369="","","CAP-"&amp;ROW()-1),"")</f>
        <v/>
      </c>
      <c r="B1106" s="5" t="str">
        <f>IFERROR(IF(Portafolio_Proyectos!$AP369="","",Portafolio_Proyectos!$AP369),"")</f>
        <v/>
      </c>
      <c r="C1106" s="5" t="str">
        <f>IFERROR(IF(Portafolio_Proyectos!$AP369="","","Emergente"),"")</f>
        <v/>
      </c>
      <c r="D1106" s="5" t="str">
        <f>IFERROR(IF(Portafolio_Proyectos!$AP369="","",Portafolio_Proyectos!$C369),"")</f>
        <v/>
      </c>
      <c r="E1106" s="5" t="str">
        <f>IFERROR(IF(Portafolio_Proyectos!$AP369="","",Portafolio_Proyectos!$B369),"")</f>
        <v/>
      </c>
      <c r="F1106" s="5" t="str">
        <f>IFERROR(IF(Portafolio_Proyectos!$AP369="","",Portafolio_Proyectos!$D369),"")</f>
        <v/>
      </c>
      <c r="G1106" s="5" t="str">
        <f>IFERROR(IF(Portafolio_Proyectos!$AP369="","",Portafolio_Proyectos!$A369),"")</f>
        <v/>
      </c>
      <c r="H1106" s="5" t="str">
        <f>IFERROR(IF(Portafolio_Proyectos!$AP369="","",Portafolio_Proyectos!$E369),"")</f>
        <v/>
      </c>
    </row>
    <row r="1107" spans="1:8" x14ac:dyDescent="0.35">
      <c r="A1107" s="5" t="str">
        <f>IFERROR(IF(Portafolio_Proyectos!$AQ369="","","CAP-"&amp;ROW()-1),"")</f>
        <v/>
      </c>
      <c r="B1107" s="5" t="str">
        <f>IFERROR(IF(Portafolio_Proyectos!$AQ369="","",Portafolio_Proyectos!$AQ369),"")</f>
        <v/>
      </c>
      <c r="C1107" s="5" t="str">
        <f>IFERROR(IF(Portafolio_Proyectos!$AQ369="","","Consolidada"),"")</f>
        <v/>
      </c>
      <c r="D1107" s="5" t="str">
        <f>IFERROR(IF(Portafolio_Proyectos!$AQ369="","",Portafolio_Proyectos!$C369),"")</f>
        <v/>
      </c>
      <c r="E1107" s="5" t="str">
        <f>IFERROR(IF(Portafolio_Proyectos!$AQ369="","",Portafolio_Proyectos!$B369),"")</f>
        <v/>
      </c>
      <c r="F1107" s="5" t="str">
        <f>IFERROR(IF(Portafolio_Proyectos!$AQ369="","",Portafolio_Proyectos!$D369),"")</f>
        <v/>
      </c>
      <c r="G1107" s="5" t="str">
        <f>IFERROR(IF(Portafolio_Proyectos!$AQ369="","",Portafolio_Proyectos!$A369),"")</f>
        <v/>
      </c>
      <c r="H1107" s="5" t="str">
        <f>IFERROR(IF(Portafolio_Proyectos!$AQ369="","",Portafolio_Proyectos!$E369),"")</f>
        <v/>
      </c>
    </row>
    <row r="1108" spans="1:8" x14ac:dyDescent="0.35">
      <c r="A1108" s="5" t="str">
        <f>IFERROR(IF(Portafolio_Proyectos!$AR369="","","CAP-"&amp;ROW()-1),"")</f>
        <v/>
      </c>
      <c r="B1108" s="5" t="str">
        <f>IFERROR(IF(Portafolio_Proyectos!$AR369="","",Portafolio_Proyectos!$AR369),"")</f>
        <v/>
      </c>
      <c r="C1108" s="5" t="str">
        <f>IFERROR(IF(Portafolio_Proyectos!$AR369="","","Distintiva"),"")</f>
        <v/>
      </c>
      <c r="D1108" s="5" t="str">
        <f>IFERROR(IF(Portafolio_Proyectos!$AR369="","",Portafolio_Proyectos!$C369),"")</f>
        <v/>
      </c>
      <c r="E1108" s="5" t="str">
        <f>IFERROR(IF(Portafolio_Proyectos!$AR369="","",Portafolio_Proyectos!$B369),"")</f>
        <v/>
      </c>
      <c r="F1108" s="5" t="str">
        <f>IFERROR(IF(Portafolio_Proyectos!$AR369="","",Portafolio_Proyectos!$D369),"")</f>
        <v/>
      </c>
      <c r="G1108" s="5" t="str">
        <f>IFERROR(IF(Portafolio_Proyectos!$AR369="","",Portafolio_Proyectos!$A369),"")</f>
        <v/>
      </c>
      <c r="H1108" s="5" t="str">
        <f>IFERROR(IF(Portafolio_Proyectos!$AR369="","",Portafolio_Proyectos!$E369),"")</f>
        <v/>
      </c>
    </row>
    <row r="1109" spans="1:8" x14ac:dyDescent="0.35">
      <c r="A1109" s="5" t="str">
        <f>IFERROR(IF(Portafolio_Proyectos!$AP370="","","CAP-"&amp;ROW()-1),"")</f>
        <v/>
      </c>
      <c r="B1109" s="5" t="str">
        <f>IFERROR(IF(Portafolio_Proyectos!$AP370="","",Portafolio_Proyectos!$AP370),"")</f>
        <v/>
      </c>
      <c r="C1109" s="5" t="str">
        <f>IFERROR(IF(Portafolio_Proyectos!$AP370="","","Emergente"),"")</f>
        <v/>
      </c>
      <c r="D1109" s="5" t="str">
        <f>IFERROR(IF(Portafolio_Proyectos!$AP370="","",Portafolio_Proyectos!$C370),"")</f>
        <v/>
      </c>
      <c r="E1109" s="5" t="str">
        <f>IFERROR(IF(Portafolio_Proyectos!$AP370="","",Portafolio_Proyectos!$B370),"")</f>
        <v/>
      </c>
      <c r="F1109" s="5" t="str">
        <f>IFERROR(IF(Portafolio_Proyectos!$AP370="","",Portafolio_Proyectos!$D370),"")</f>
        <v/>
      </c>
      <c r="G1109" s="5" t="str">
        <f>IFERROR(IF(Portafolio_Proyectos!$AP370="","",Portafolio_Proyectos!$A370),"")</f>
        <v/>
      </c>
      <c r="H1109" s="5" t="str">
        <f>IFERROR(IF(Portafolio_Proyectos!$AP370="","",Portafolio_Proyectos!$E370),"")</f>
        <v/>
      </c>
    </row>
    <row r="1110" spans="1:8" x14ac:dyDescent="0.35">
      <c r="A1110" s="5" t="str">
        <f>IFERROR(IF(Portafolio_Proyectos!$AQ370="","","CAP-"&amp;ROW()-1),"")</f>
        <v/>
      </c>
      <c r="B1110" s="5" t="str">
        <f>IFERROR(IF(Portafolio_Proyectos!$AQ370="","",Portafolio_Proyectos!$AQ370),"")</f>
        <v/>
      </c>
      <c r="C1110" s="5" t="str">
        <f>IFERROR(IF(Portafolio_Proyectos!$AQ370="","","Consolidada"),"")</f>
        <v/>
      </c>
      <c r="D1110" s="5" t="str">
        <f>IFERROR(IF(Portafolio_Proyectos!$AQ370="","",Portafolio_Proyectos!$C370),"")</f>
        <v/>
      </c>
      <c r="E1110" s="5" t="str">
        <f>IFERROR(IF(Portafolio_Proyectos!$AQ370="","",Portafolio_Proyectos!$B370),"")</f>
        <v/>
      </c>
      <c r="F1110" s="5" t="str">
        <f>IFERROR(IF(Portafolio_Proyectos!$AQ370="","",Portafolio_Proyectos!$D370),"")</f>
        <v/>
      </c>
      <c r="G1110" s="5" t="str">
        <f>IFERROR(IF(Portafolio_Proyectos!$AQ370="","",Portafolio_Proyectos!$A370),"")</f>
        <v/>
      </c>
      <c r="H1110" s="5" t="str">
        <f>IFERROR(IF(Portafolio_Proyectos!$AQ370="","",Portafolio_Proyectos!$E370),"")</f>
        <v/>
      </c>
    </row>
    <row r="1111" spans="1:8" x14ac:dyDescent="0.35">
      <c r="A1111" s="5" t="str">
        <f>IFERROR(IF(Portafolio_Proyectos!$AR370="","","CAP-"&amp;ROW()-1),"")</f>
        <v/>
      </c>
      <c r="B1111" s="5" t="str">
        <f>IFERROR(IF(Portafolio_Proyectos!$AR370="","",Portafolio_Proyectos!$AR370),"")</f>
        <v/>
      </c>
      <c r="C1111" s="5" t="str">
        <f>IFERROR(IF(Portafolio_Proyectos!$AR370="","","Distintiva"),"")</f>
        <v/>
      </c>
      <c r="D1111" s="5" t="str">
        <f>IFERROR(IF(Portafolio_Proyectos!$AR370="","",Portafolio_Proyectos!$C370),"")</f>
        <v/>
      </c>
      <c r="E1111" s="5" t="str">
        <f>IFERROR(IF(Portafolio_Proyectos!$AR370="","",Portafolio_Proyectos!$B370),"")</f>
        <v/>
      </c>
      <c r="F1111" s="5" t="str">
        <f>IFERROR(IF(Portafolio_Proyectos!$AR370="","",Portafolio_Proyectos!$D370),"")</f>
        <v/>
      </c>
      <c r="G1111" s="5" t="str">
        <f>IFERROR(IF(Portafolio_Proyectos!$AR370="","",Portafolio_Proyectos!$A370),"")</f>
        <v/>
      </c>
      <c r="H1111" s="5" t="str">
        <f>IFERROR(IF(Portafolio_Proyectos!$AR370="","",Portafolio_Proyectos!$E370),"")</f>
        <v/>
      </c>
    </row>
    <row r="1112" spans="1:8" x14ac:dyDescent="0.35">
      <c r="A1112" s="5" t="str">
        <f>IFERROR(IF(Portafolio_Proyectos!$AP371="","","CAP-"&amp;ROW()-1),"")</f>
        <v/>
      </c>
      <c r="B1112" s="5" t="str">
        <f>IFERROR(IF(Portafolio_Proyectos!$AP371="","",Portafolio_Proyectos!$AP371),"")</f>
        <v/>
      </c>
      <c r="C1112" s="5" t="str">
        <f>IFERROR(IF(Portafolio_Proyectos!$AP371="","","Emergente"),"")</f>
        <v/>
      </c>
      <c r="D1112" s="5" t="str">
        <f>IFERROR(IF(Portafolio_Proyectos!$AP371="","",Portafolio_Proyectos!$C371),"")</f>
        <v/>
      </c>
      <c r="E1112" s="5" t="str">
        <f>IFERROR(IF(Portafolio_Proyectos!$AP371="","",Portafolio_Proyectos!$B371),"")</f>
        <v/>
      </c>
      <c r="F1112" s="5" t="str">
        <f>IFERROR(IF(Portafolio_Proyectos!$AP371="","",Portafolio_Proyectos!$D371),"")</f>
        <v/>
      </c>
      <c r="G1112" s="5" t="str">
        <f>IFERROR(IF(Portafolio_Proyectos!$AP371="","",Portafolio_Proyectos!$A371),"")</f>
        <v/>
      </c>
      <c r="H1112" s="5" t="str">
        <f>IFERROR(IF(Portafolio_Proyectos!$AP371="","",Portafolio_Proyectos!$E371),"")</f>
        <v/>
      </c>
    </row>
    <row r="1113" spans="1:8" x14ac:dyDescent="0.35">
      <c r="A1113" s="5" t="str">
        <f>IFERROR(IF(Portafolio_Proyectos!$AQ371="","","CAP-"&amp;ROW()-1),"")</f>
        <v/>
      </c>
      <c r="B1113" s="5" t="str">
        <f>IFERROR(IF(Portafolio_Proyectos!$AQ371="","",Portafolio_Proyectos!$AQ371),"")</f>
        <v/>
      </c>
      <c r="C1113" s="5" t="str">
        <f>IFERROR(IF(Portafolio_Proyectos!$AQ371="","","Consolidada"),"")</f>
        <v/>
      </c>
      <c r="D1113" s="5" t="str">
        <f>IFERROR(IF(Portafolio_Proyectos!$AQ371="","",Portafolio_Proyectos!$C371),"")</f>
        <v/>
      </c>
      <c r="E1113" s="5" t="str">
        <f>IFERROR(IF(Portafolio_Proyectos!$AQ371="","",Portafolio_Proyectos!$B371),"")</f>
        <v/>
      </c>
      <c r="F1113" s="5" t="str">
        <f>IFERROR(IF(Portafolio_Proyectos!$AQ371="","",Portafolio_Proyectos!$D371),"")</f>
        <v/>
      </c>
      <c r="G1113" s="5" t="str">
        <f>IFERROR(IF(Portafolio_Proyectos!$AQ371="","",Portafolio_Proyectos!$A371),"")</f>
        <v/>
      </c>
      <c r="H1113" s="5" t="str">
        <f>IFERROR(IF(Portafolio_Proyectos!$AQ371="","",Portafolio_Proyectos!$E371),"")</f>
        <v/>
      </c>
    </row>
    <row r="1114" spans="1:8" x14ac:dyDescent="0.35">
      <c r="A1114" s="5" t="str">
        <f>IFERROR(IF(Portafolio_Proyectos!$AR371="","","CAP-"&amp;ROW()-1),"")</f>
        <v/>
      </c>
      <c r="B1114" s="5" t="str">
        <f>IFERROR(IF(Portafolio_Proyectos!$AR371="","",Portafolio_Proyectos!$AR371),"")</f>
        <v/>
      </c>
      <c r="C1114" s="5" t="str">
        <f>IFERROR(IF(Portafolio_Proyectos!$AR371="","","Distintiva"),"")</f>
        <v/>
      </c>
      <c r="D1114" s="5" t="str">
        <f>IFERROR(IF(Portafolio_Proyectos!$AR371="","",Portafolio_Proyectos!$C371),"")</f>
        <v/>
      </c>
      <c r="E1114" s="5" t="str">
        <f>IFERROR(IF(Portafolio_Proyectos!$AR371="","",Portafolio_Proyectos!$B371),"")</f>
        <v/>
      </c>
      <c r="F1114" s="5" t="str">
        <f>IFERROR(IF(Portafolio_Proyectos!$AR371="","",Portafolio_Proyectos!$D371),"")</f>
        <v/>
      </c>
      <c r="G1114" s="5" t="str">
        <f>IFERROR(IF(Portafolio_Proyectos!$AR371="","",Portafolio_Proyectos!$A371),"")</f>
        <v/>
      </c>
      <c r="H1114" s="5" t="str">
        <f>IFERROR(IF(Portafolio_Proyectos!$AR371="","",Portafolio_Proyectos!$E371),"")</f>
        <v/>
      </c>
    </row>
    <row r="1115" spans="1:8" x14ac:dyDescent="0.35">
      <c r="A1115" s="5" t="str">
        <f>IFERROR(IF(Portafolio_Proyectos!$AP372="","","CAP-"&amp;ROW()-1),"")</f>
        <v/>
      </c>
      <c r="B1115" s="5" t="str">
        <f>IFERROR(IF(Portafolio_Proyectos!$AP372="","",Portafolio_Proyectos!$AP372),"")</f>
        <v/>
      </c>
      <c r="C1115" s="5" t="str">
        <f>IFERROR(IF(Portafolio_Proyectos!$AP372="","","Emergente"),"")</f>
        <v/>
      </c>
      <c r="D1115" s="5" t="str">
        <f>IFERROR(IF(Portafolio_Proyectos!$AP372="","",Portafolio_Proyectos!$C372),"")</f>
        <v/>
      </c>
      <c r="E1115" s="5" t="str">
        <f>IFERROR(IF(Portafolio_Proyectos!$AP372="","",Portafolio_Proyectos!$B372),"")</f>
        <v/>
      </c>
      <c r="F1115" s="5" t="str">
        <f>IFERROR(IF(Portafolio_Proyectos!$AP372="","",Portafolio_Proyectos!$D372),"")</f>
        <v/>
      </c>
      <c r="G1115" s="5" t="str">
        <f>IFERROR(IF(Portafolio_Proyectos!$AP372="","",Portafolio_Proyectos!$A372),"")</f>
        <v/>
      </c>
      <c r="H1115" s="5" t="str">
        <f>IFERROR(IF(Portafolio_Proyectos!$AP372="","",Portafolio_Proyectos!$E372),"")</f>
        <v/>
      </c>
    </row>
    <row r="1116" spans="1:8" x14ac:dyDescent="0.35">
      <c r="A1116" s="5" t="str">
        <f>IFERROR(IF(Portafolio_Proyectos!$AQ372="","","CAP-"&amp;ROW()-1),"")</f>
        <v/>
      </c>
      <c r="B1116" s="5" t="str">
        <f>IFERROR(IF(Portafolio_Proyectos!$AQ372="","",Portafolio_Proyectos!$AQ372),"")</f>
        <v/>
      </c>
      <c r="C1116" s="5" t="str">
        <f>IFERROR(IF(Portafolio_Proyectos!$AQ372="","","Consolidada"),"")</f>
        <v/>
      </c>
      <c r="D1116" s="5" t="str">
        <f>IFERROR(IF(Portafolio_Proyectos!$AQ372="","",Portafolio_Proyectos!$C372),"")</f>
        <v/>
      </c>
      <c r="E1116" s="5" t="str">
        <f>IFERROR(IF(Portafolio_Proyectos!$AQ372="","",Portafolio_Proyectos!$B372),"")</f>
        <v/>
      </c>
      <c r="F1116" s="5" t="str">
        <f>IFERROR(IF(Portafolio_Proyectos!$AQ372="","",Portafolio_Proyectos!$D372),"")</f>
        <v/>
      </c>
      <c r="G1116" s="5" t="str">
        <f>IFERROR(IF(Portafolio_Proyectos!$AQ372="","",Portafolio_Proyectos!$A372),"")</f>
        <v/>
      </c>
      <c r="H1116" s="5" t="str">
        <f>IFERROR(IF(Portafolio_Proyectos!$AQ372="","",Portafolio_Proyectos!$E372),"")</f>
        <v/>
      </c>
    </row>
    <row r="1117" spans="1:8" x14ac:dyDescent="0.35">
      <c r="A1117" s="5" t="str">
        <f>IFERROR(IF(Portafolio_Proyectos!$AR372="","","CAP-"&amp;ROW()-1),"")</f>
        <v/>
      </c>
      <c r="B1117" s="5" t="str">
        <f>IFERROR(IF(Portafolio_Proyectos!$AR372="","",Portafolio_Proyectos!$AR372),"")</f>
        <v/>
      </c>
      <c r="C1117" s="5" t="str">
        <f>IFERROR(IF(Portafolio_Proyectos!$AR372="","","Distintiva"),"")</f>
        <v/>
      </c>
      <c r="D1117" s="5" t="str">
        <f>IFERROR(IF(Portafolio_Proyectos!$AR372="","",Portafolio_Proyectos!$C372),"")</f>
        <v/>
      </c>
      <c r="E1117" s="5" t="str">
        <f>IFERROR(IF(Portafolio_Proyectos!$AR372="","",Portafolio_Proyectos!$B372),"")</f>
        <v/>
      </c>
      <c r="F1117" s="5" t="str">
        <f>IFERROR(IF(Portafolio_Proyectos!$AR372="","",Portafolio_Proyectos!$D372),"")</f>
        <v/>
      </c>
      <c r="G1117" s="5" t="str">
        <f>IFERROR(IF(Portafolio_Proyectos!$AR372="","",Portafolio_Proyectos!$A372),"")</f>
        <v/>
      </c>
      <c r="H1117" s="5" t="str">
        <f>IFERROR(IF(Portafolio_Proyectos!$AR372="","",Portafolio_Proyectos!$E372),"")</f>
        <v/>
      </c>
    </row>
    <row r="1118" spans="1:8" x14ac:dyDescent="0.35">
      <c r="A1118" s="5" t="str">
        <f>IFERROR(IF(Portafolio_Proyectos!$AP373="","","CAP-"&amp;ROW()-1),"")</f>
        <v/>
      </c>
      <c r="B1118" s="5" t="str">
        <f>IFERROR(IF(Portafolio_Proyectos!$AP373="","",Portafolio_Proyectos!$AP373),"")</f>
        <v/>
      </c>
      <c r="C1118" s="5" t="str">
        <f>IFERROR(IF(Portafolio_Proyectos!$AP373="","","Emergente"),"")</f>
        <v/>
      </c>
      <c r="D1118" s="5" t="str">
        <f>IFERROR(IF(Portafolio_Proyectos!$AP373="","",Portafolio_Proyectos!$C373),"")</f>
        <v/>
      </c>
      <c r="E1118" s="5" t="str">
        <f>IFERROR(IF(Portafolio_Proyectos!$AP373="","",Portafolio_Proyectos!$B373),"")</f>
        <v/>
      </c>
      <c r="F1118" s="5" t="str">
        <f>IFERROR(IF(Portafolio_Proyectos!$AP373="","",Portafolio_Proyectos!$D373),"")</f>
        <v/>
      </c>
      <c r="G1118" s="5" t="str">
        <f>IFERROR(IF(Portafolio_Proyectos!$AP373="","",Portafolio_Proyectos!$A373),"")</f>
        <v/>
      </c>
      <c r="H1118" s="5" t="str">
        <f>IFERROR(IF(Portafolio_Proyectos!$AP373="","",Portafolio_Proyectos!$E373),"")</f>
        <v/>
      </c>
    </row>
    <row r="1119" spans="1:8" x14ac:dyDescent="0.35">
      <c r="A1119" s="5" t="str">
        <f>IFERROR(IF(Portafolio_Proyectos!$AQ373="","","CAP-"&amp;ROW()-1),"")</f>
        <v/>
      </c>
      <c r="B1119" s="5" t="str">
        <f>IFERROR(IF(Portafolio_Proyectos!$AQ373="","",Portafolio_Proyectos!$AQ373),"")</f>
        <v/>
      </c>
      <c r="C1119" s="5" t="str">
        <f>IFERROR(IF(Portafolio_Proyectos!$AQ373="","","Consolidada"),"")</f>
        <v/>
      </c>
      <c r="D1119" s="5" t="str">
        <f>IFERROR(IF(Portafolio_Proyectos!$AQ373="","",Portafolio_Proyectos!$C373),"")</f>
        <v/>
      </c>
      <c r="E1119" s="5" t="str">
        <f>IFERROR(IF(Portafolio_Proyectos!$AQ373="","",Portafolio_Proyectos!$B373),"")</f>
        <v/>
      </c>
      <c r="F1119" s="5" t="str">
        <f>IFERROR(IF(Portafolio_Proyectos!$AQ373="","",Portafolio_Proyectos!$D373),"")</f>
        <v/>
      </c>
      <c r="G1119" s="5" t="str">
        <f>IFERROR(IF(Portafolio_Proyectos!$AQ373="","",Portafolio_Proyectos!$A373),"")</f>
        <v/>
      </c>
      <c r="H1119" s="5" t="str">
        <f>IFERROR(IF(Portafolio_Proyectos!$AQ373="","",Portafolio_Proyectos!$E373),"")</f>
        <v/>
      </c>
    </row>
    <row r="1120" spans="1:8" x14ac:dyDescent="0.35">
      <c r="A1120" s="5" t="str">
        <f>IFERROR(IF(Portafolio_Proyectos!$AR373="","","CAP-"&amp;ROW()-1),"")</f>
        <v/>
      </c>
      <c r="B1120" s="5" t="str">
        <f>IFERROR(IF(Portafolio_Proyectos!$AR373="","",Portafolio_Proyectos!$AR373),"")</f>
        <v/>
      </c>
      <c r="C1120" s="5" t="str">
        <f>IFERROR(IF(Portafolio_Proyectos!$AR373="","","Distintiva"),"")</f>
        <v/>
      </c>
      <c r="D1120" s="5" t="str">
        <f>IFERROR(IF(Portafolio_Proyectos!$AR373="","",Portafolio_Proyectos!$C373),"")</f>
        <v/>
      </c>
      <c r="E1120" s="5" t="str">
        <f>IFERROR(IF(Portafolio_Proyectos!$AR373="","",Portafolio_Proyectos!$B373),"")</f>
        <v/>
      </c>
      <c r="F1120" s="5" t="str">
        <f>IFERROR(IF(Portafolio_Proyectos!$AR373="","",Portafolio_Proyectos!$D373),"")</f>
        <v/>
      </c>
      <c r="G1120" s="5" t="str">
        <f>IFERROR(IF(Portafolio_Proyectos!$AR373="","",Portafolio_Proyectos!$A373),"")</f>
        <v/>
      </c>
      <c r="H1120" s="5" t="str">
        <f>IFERROR(IF(Portafolio_Proyectos!$AR373="","",Portafolio_Proyectos!$E373),"")</f>
        <v/>
      </c>
    </row>
    <row r="1121" spans="1:8" x14ac:dyDescent="0.35">
      <c r="A1121" s="5" t="str">
        <f>IFERROR(IF(Portafolio_Proyectos!$AP374="","","CAP-"&amp;ROW()-1),"")</f>
        <v/>
      </c>
      <c r="B1121" s="5" t="str">
        <f>IFERROR(IF(Portafolio_Proyectos!$AP374="","",Portafolio_Proyectos!$AP374),"")</f>
        <v/>
      </c>
      <c r="C1121" s="5" t="str">
        <f>IFERROR(IF(Portafolio_Proyectos!$AP374="","","Emergente"),"")</f>
        <v/>
      </c>
      <c r="D1121" s="5" t="str">
        <f>IFERROR(IF(Portafolio_Proyectos!$AP374="","",Portafolio_Proyectos!$C374),"")</f>
        <v/>
      </c>
      <c r="E1121" s="5" t="str">
        <f>IFERROR(IF(Portafolio_Proyectos!$AP374="","",Portafolio_Proyectos!$B374),"")</f>
        <v/>
      </c>
      <c r="F1121" s="5" t="str">
        <f>IFERROR(IF(Portafolio_Proyectos!$AP374="","",Portafolio_Proyectos!$D374),"")</f>
        <v/>
      </c>
      <c r="G1121" s="5" t="str">
        <f>IFERROR(IF(Portafolio_Proyectos!$AP374="","",Portafolio_Proyectos!$A374),"")</f>
        <v/>
      </c>
      <c r="H1121" s="5" t="str">
        <f>IFERROR(IF(Portafolio_Proyectos!$AP374="","",Portafolio_Proyectos!$E374),"")</f>
        <v/>
      </c>
    </row>
    <row r="1122" spans="1:8" x14ac:dyDescent="0.35">
      <c r="A1122" s="5" t="str">
        <f>IFERROR(IF(Portafolio_Proyectos!$AQ374="","","CAP-"&amp;ROW()-1),"")</f>
        <v/>
      </c>
      <c r="B1122" s="5" t="str">
        <f>IFERROR(IF(Portafolio_Proyectos!$AQ374="","",Portafolio_Proyectos!$AQ374),"")</f>
        <v/>
      </c>
      <c r="C1122" s="5" t="str">
        <f>IFERROR(IF(Portafolio_Proyectos!$AQ374="","","Consolidada"),"")</f>
        <v/>
      </c>
      <c r="D1122" s="5" t="str">
        <f>IFERROR(IF(Portafolio_Proyectos!$AQ374="","",Portafolio_Proyectos!$C374),"")</f>
        <v/>
      </c>
      <c r="E1122" s="5" t="str">
        <f>IFERROR(IF(Portafolio_Proyectos!$AQ374="","",Portafolio_Proyectos!$B374),"")</f>
        <v/>
      </c>
      <c r="F1122" s="5" t="str">
        <f>IFERROR(IF(Portafolio_Proyectos!$AQ374="","",Portafolio_Proyectos!$D374),"")</f>
        <v/>
      </c>
      <c r="G1122" s="5" t="str">
        <f>IFERROR(IF(Portafolio_Proyectos!$AQ374="","",Portafolio_Proyectos!$A374),"")</f>
        <v/>
      </c>
      <c r="H1122" s="5" t="str">
        <f>IFERROR(IF(Portafolio_Proyectos!$AQ374="","",Portafolio_Proyectos!$E374),"")</f>
        <v/>
      </c>
    </row>
    <row r="1123" spans="1:8" x14ac:dyDescent="0.35">
      <c r="A1123" s="5" t="str">
        <f>IFERROR(IF(Portafolio_Proyectos!$AR374="","","CAP-"&amp;ROW()-1),"")</f>
        <v/>
      </c>
      <c r="B1123" s="5" t="str">
        <f>IFERROR(IF(Portafolio_Proyectos!$AR374="","",Portafolio_Proyectos!$AR374),"")</f>
        <v/>
      </c>
      <c r="C1123" s="5" t="str">
        <f>IFERROR(IF(Portafolio_Proyectos!$AR374="","","Distintiva"),"")</f>
        <v/>
      </c>
      <c r="D1123" s="5" t="str">
        <f>IFERROR(IF(Portafolio_Proyectos!$AR374="","",Portafolio_Proyectos!$C374),"")</f>
        <v/>
      </c>
      <c r="E1123" s="5" t="str">
        <f>IFERROR(IF(Portafolio_Proyectos!$AR374="","",Portafolio_Proyectos!$B374),"")</f>
        <v/>
      </c>
      <c r="F1123" s="5" t="str">
        <f>IFERROR(IF(Portafolio_Proyectos!$AR374="","",Portafolio_Proyectos!$D374),"")</f>
        <v/>
      </c>
      <c r="G1123" s="5" t="str">
        <f>IFERROR(IF(Portafolio_Proyectos!$AR374="","",Portafolio_Proyectos!$A374),"")</f>
        <v/>
      </c>
      <c r="H1123" s="5" t="str">
        <f>IFERROR(IF(Portafolio_Proyectos!$AR374="","",Portafolio_Proyectos!$E374),"")</f>
        <v/>
      </c>
    </row>
    <row r="1124" spans="1:8" x14ac:dyDescent="0.35">
      <c r="A1124" s="5" t="str">
        <f>IFERROR(IF(Portafolio_Proyectos!$AP375="","","CAP-"&amp;ROW()-1),"")</f>
        <v/>
      </c>
      <c r="B1124" s="5" t="str">
        <f>IFERROR(IF(Portafolio_Proyectos!$AP375="","",Portafolio_Proyectos!$AP375),"")</f>
        <v/>
      </c>
      <c r="C1124" s="5" t="str">
        <f>IFERROR(IF(Portafolio_Proyectos!$AP375="","","Emergente"),"")</f>
        <v/>
      </c>
      <c r="D1124" s="5" t="str">
        <f>IFERROR(IF(Portafolio_Proyectos!$AP375="","",Portafolio_Proyectos!$C375),"")</f>
        <v/>
      </c>
      <c r="E1124" s="5" t="str">
        <f>IFERROR(IF(Portafolio_Proyectos!$AP375="","",Portafolio_Proyectos!$B375),"")</f>
        <v/>
      </c>
      <c r="F1124" s="5" t="str">
        <f>IFERROR(IF(Portafolio_Proyectos!$AP375="","",Portafolio_Proyectos!$D375),"")</f>
        <v/>
      </c>
      <c r="G1124" s="5" t="str">
        <f>IFERROR(IF(Portafolio_Proyectos!$AP375="","",Portafolio_Proyectos!$A375),"")</f>
        <v/>
      </c>
      <c r="H1124" s="5" t="str">
        <f>IFERROR(IF(Portafolio_Proyectos!$AP375="","",Portafolio_Proyectos!$E375),"")</f>
        <v/>
      </c>
    </row>
    <row r="1125" spans="1:8" x14ac:dyDescent="0.35">
      <c r="A1125" s="5" t="str">
        <f>IFERROR(IF(Portafolio_Proyectos!$AQ375="","","CAP-"&amp;ROW()-1),"")</f>
        <v/>
      </c>
      <c r="B1125" s="5" t="str">
        <f>IFERROR(IF(Portafolio_Proyectos!$AQ375="","",Portafolio_Proyectos!$AQ375),"")</f>
        <v/>
      </c>
      <c r="C1125" s="5" t="str">
        <f>IFERROR(IF(Portafolio_Proyectos!$AQ375="","","Consolidada"),"")</f>
        <v/>
      </c>
      <c r="D1125" s="5" t="str">
        <f>IFERROR(IF(Portafolio_Proyectos!$AQ375="","",Portafolio_Proyectos!$C375),"")</f>
        <v/>
      </c>
      <c r="E1125" s="5" t="str">
        <f>IFERROR(IF(Portafolio_Proyectos!$AQ375="","",Portafolio_Proyectos!$B375),"")</f>
        <v/>
      </c>
      <c r="F1125" s="5" t="str">
        <f>IFERROR(IF(Portafolio_Proyectos!$AQ375="","",Portafolio_Proyectos!$D375),"")</f>
        <v/>
      </c>
      <c r="G1125" s="5" t="str">
        <f>IFERROR(IF(Portafolio_Proyectos!$AQ375="","",Portafolio_Proyectos!$A375),"")</f>
        <v/>
      </c>
      <c r="H1125" s="5" t="str">
        <f>IFERROR(IF(Portafolio_Proyectos!$AQ375="","",Portafolio_Proyectos!$E375),"")</f>
        <v/>
      </c>
    </row>
    <row r="1126" spans="1:8" x14ac:dyDescent="0.35">
      <c r="A1126" s="5" t="str">
        <f>IFERROR(IF(Portafolio_Proyectos!$AR375="","","CAP-"&amp;ROW()-1),"")</f>
        <v/>
      </c>
      <c r="B1126" s="5" t="str">
        <f>IFERROR(IF(Portafolio_Proyectos!$AR375="","",Portafolio_Proyectos!$AR375),"")</f>
        <v/>
      </c>
      <c r="C1126" s="5" t="str">
        <f>IFERROR(IF(Portafolio_Proyectos!$AR375="","","Distintiva"),"")</f>
        <v/>
      </c>
      <c r="D1126" s="5" t="str">
        <f>IFERROR(IF(Portafolio_Proyectos!$AR375="","",Portafolio_Proyectos!$C375),"")</f>
        <v/>
      </c>
      <c r="E1126" s="5" t="str">
        <f>IFERROR(IF(Portafolio_Proyectos!$AR375="","",Portafolio_Proyectos!$B375),"")</f>
        <v/>
      </c>
      <c r="F1126" s="5" t="str">
        <f>IFERROR(IF(Portafolio_Proyectos!$AR375="","",Portafolio_Proyectos!$D375),"")</f>
        <v/>
      </c>
      <c r="G1126" s="5" t="str">
        <f>IFERROR(IF(Portafolio_Proyectos!$AR375="","",Portafolio_Proyectos!$A375),"")</f>
        <v/>
      </c>
      <c r="H1126" s="5" t="str">
        <f>IFERROR(IF(Portafolio_Proyectos!$AR375="","",Portafolio_Proyectos!$E375),"")</f>
        <v/>
      </c>
    </row>
    <row r="1127" spans="1:8" x14ac:dyDescent="0.35">
      <c r="A1127" s="5" t="str">
        <f>IFERROR(IF(Portafolio_Proyectos!$AP376="","","CAP-"&amp;ROW()-1),"")</f>
        <v/>
      </c>
      <c r="B1127" s="5" t="str">
        <f>IFERROR(IF(Portafolio_Proyectos!$AP376="","",Portafolio_Proyectos!$AP376),"")</f>
        <v/>
      </c>
      <c r="C1127" s="5" t="str">
        <f>IFERROR(IF(Portafolio_Proyectos!$AP376="","","Emergente"),"")</f>
        <v/>
      </c>
      <c r="D1127" s="5" t="str">
        <f>IFERROR(IF(Portafolio_Proyectos!$AP376="","",Portafolio_Proyectos!$C376),"")</f>
        <v/>
      </c>
      <c r="E1127" s="5" t="str">
        <f>IFERROR(IF(Portafolio_Proyectos!$AP376="","",Portafolio_Proyectos!$B376),"")</f>
        <v/>
      </c>
      <c r="F1127" s="5" t="str">
        <f>IFERROR(IF(Portafolio_Proyectos!$AP376="","",Portafolio_Proyectos!$D376),"")</f>
        <v/>
      </c>
      <c r="G1127" s="5" t="str">
        <f>IFERROR(IF(Portafolio_Proyectos!$AP376="","",Portafolio_Proyectos!$A376),"")</f>
        <v/>
      </c>
      <c r="H1127" s="5" t="str">
        <f>IFERROR(IF(Portafolio_Proyectos!$AP376="","",Portafolio_Proyectos!$E376),"")</f>
        <v/>
      </c>
    </row>
    <row r="1128" spans="1:8" x14ac:dyDescent="0.35">
      <c r="A1128" s="5" t="str">
        <f>IFERROR(IF(Portafolio_Proyectos!$AQ376="","","CAP-"&amp;ROW()-1),"")</f>
        <v/>
      </c>
      <c r="B1128" s="5" t="str">
        <f>IFERROR(IF(Portafolio_Proyectos!$AQ376="","",Portafolio_Proyectos!$AQ376),"")</f>
        <v/>
      </c>
      <c r="C1128" s="5" t="str">
        <f>IFERROR(IF(Portafolio_Proyectos!$AQ376="","","Consolidada"),"")</f>
        <v/>
      </c>
      <c r="D1128" s="5" t="str">
        <f>IFERROR(IF(Portafolio_Proyectos!$AQ376="","",Portafolio_Proyectos!$C376),"")</f>
        <v/>
      </c>
      <c r="E1128" s="5" t="str">
        <f>IFERROR(IF(Portafolio_Proyectos!$AQ376="","",Portafolio_Proyectos!$B376),"")</f>
        <v/>
      </c>
      <c r="F1128" s="5" t="str">
        <f>IFERROR(IF(Portafolio_Proyectos!$AQ376="","",Portafolio_Proyectos!$D376),"")</f>
        <v/>
      </c>
      <c r="G1128" s="5" t="str">
        <f>IFERROR(IF(Portafolio_Proyectos!$AQ376="","",Portafolio_Proyectos!$A376),"")</f>
        <v/>
      </c>
      <c r="H1128" s="5" t="str">
        <f>IFERROR(IF(Portafolio_Proyectos!$AQ376="","",Portafolio_Proyectos!$E376),"")</f>
        <v/>
      </c>
    </row>
    <row r="1129" spans="1:8" x14ac:dyDescent="0.35">
      <c r="A1129" s="5" t="str">
        <f>IFERROR(IF(Portafolio_Proyectos!$AR376="","","CAP-"&amp;ROW()-1),"")</f>
        <v/>
      </c>
      <c r="B1129" s="5" t="str">
        <f>IFERROR(IF(Portafolio_Proyectos!$AR376="","",Portafolio_Proyectos!$AR376),"")</f>
        <v/>
      </c>
      <c r="C1129" s="5" t="str">
        <f>IFERROR(IF(Portafolio_Proyectos!$AR376="","","Distintiva"),"")</f>
        <v/>
      </c>
      <c r="D1129" s="5" t="str">
        <f>IFERROR(IF(Portafolio_Proyectos!$AR376="","",Portafolio_Proyectos!$C376),"")</f>
        <v/>
      </c>
      <c r="E1129" s="5" t="str">
        <f>IFERROR(IF(Portafolio_Proyectos!$AR376="","",Portafolio_Proyectos!$B376),"")</f>
        <v/>
      </c>
      <c r="F1129" s="5" t="str">
        <f>IFERROR(IF(Portafolio_Proyectos!$AR376="","",Portafolio_Proyectos!$D376),"")</f>
        <v/>
      </c>
      <c r="G1129" s="5" t="str">
        <f>IFERROR(IF(Portafolio_Proyectos!$AR376="","",Portafolio_Proyectos!$A376),"")</f>
        <v/>
      </c>
      <c r="H1129" s="5" t="str">
        <f>IFERROR(IF(Portafolio_Proyectos!$AR376="","",Portafolio_Proyectos!$E376),"")</f>
        <v/>
      </c>
    </row>
    <row r="1130" spans="1:8" x14ac:dyDescent="0.35">
      <c r="A1130" s="5" t="str">
        <f>IFERROR(IF(Portafolio_Proyectos!$AP377="","","CAP-"&amp;ROW()-1),"")</f>
        <v/>
      </c>
      <c r="B1130" s="5" t="str">
        <f>IFERROR(IF(Portafolio_Proyectos!$AP377="","",Portafolio_Proyectos!$AP377),"")</f>
        <v/>
      </c>
      <c r="C1130" s="5" t="str">
        <f>IFERROR(IF(Portafolio_Proyectos!$AP377="","","Emergente"),"")</f>
        <v/>
      </c>
      <c r="D1130" s="5" t="str">
        <f>IFERROR(IF(Portafolio_Proyectos!$AP377="","",Portafolio_Proyectos!$C377),"")</f>
        <v/>
      </c>
      <c r="E1130" s="5" t="str">
        <f>IFERROR(IF(Portafolio_Proyectos!$AP377="","",Portafolio_Proyectos!$B377),"")</f>
        <v/>
      </c>
      <c r="F1130" s="5" t="str">
        <f>IFERROR(IF(Portafolio_Proyectos!$AP377="","",Portafolio_Proyectos!$D377),"")</f>
        <v/>
      </c>
      <c r="G1130" s="5" t="str">
        <f>IFERROR(IF(Portafolio_Proyectos!$AP377="","",Portafolio_Proyectos!$A377),"")</f>
        <v/>
      </c>
      <c r="H1130" s="5" t="str">
        <f>IFERROR(IF(Portafolio_Proyectos!$AP377="","",Portafolio_Proyectos!$E377),"")</f>
        <v/>
      </c>
    </row>
    <row r="1131" spans="1:8" x14ac:dyDescent="0.35">
      <c r="A1131" s="5" t="str">
        <f>IFERROR(IF(Portafolio_Proyectos!$AQ377="","","CAP-"&amp;ROW()-1),"")</f>
        <v/>
      </c>
      <c r="B1131" s="5" t="str">
        <f>IFERROR(IF(Portafolio_Proyectos!$AQ377="","",Portafolio_Proyectos!$AQ377),"")</f>
        <v/>
      </c>
      <c r="C1131" s="5" t="str">
        <f>IFERROR(IF(Portafolio_Proyectos!$AQ377="","","Consolidada"),"")</f>
        <v/>
      </c>
      <c r="D1131" s="5" t="str">
        <f>IFERROR(IF(Portafolio_Proyectos!$AQ377="","",Portafolio_Proyectos!$C377),"")</f>
        <v/>
      </c>
      <c r="E1131" s="5" t="str">
        <f>IFERROR(IF(Portafolio_Proyectos!$AQ377="","",Portafolio_Proyectos!$B377),"")</f>
        <v/>
      </c>
      <c r="F1131" s="5" t="str">
        <f>IFERROR(IF(Portafolio_Proyectos!$AQ377="","",Portafolio_Proyectos!$D377),"")</f>
        <v/>
      </c>
      <c r="G1131" s="5" t="str">
        <f>IFERROR(IF(Portafolio_Proyectos!$AQ377="","",Portafolio_Proyectos!$A377),"")</f>
        <v/>
      </c>
      <c r="H1131" s="5" t="str">
        <f>IFERROR(IF(Portafolio_Proyectos!$AQ377="","",Portafolio_Proyectos!$E377),"")</f>
        <v/>
      </c>
    </row>
    <row r="1132" spans="1:8" x14ac:dyDescent="0.35">
      <c r="A1132" s="5" t="str">
        <f>IFERROR(IF(Portafolio_Proyectos!$AR377="","","CAP-"&amp;ROW()-1),"")</f>
        <v/>
      </c>
      <c r="B1132" s="5" t="str">
        <f>IFERROR(IF(Portafolio_Proyectos!$AR377="","",Portafolio_Proyectos!$AR377),"")</f>
        <v/>
      </c>
      <c r="C1132" s="5" t="str">
        <f>IFERROR(IF(Portafolio_Proyectos!$AR377="","","Distintiva"),"")</f>
        <v/>
      </c>
      <c r="D1132" s="5" t="str">
        <f>IFERROR(IF(Portafolio_Proyectos!$AR377="","",Portafolio_Proyectos!$C377),"")</f>
        <v/>
      </c>
      <c r="E1132" s="5" t="str">
        <f>IFERROR(IF(Portafolio_Proyectos!$AR377="","",Portafolio_Proyectos!$B377),"")</f>
        <v/>
      </c>
      <c r="F1132" s="5" t="str">
        <f>IFERROR(IF(Portafolio_Proyectos!$AR377="","",Portafolio_Proyectos!$D377),"")</f>
        <v/>
      </c>
      <c r="G1132" s="5" t="str">
        <f>IFERROR(IF(Portafolio_Proyectos!$AR377="","",Portafolio_Proyectos!$A377),"")</f>
        <v/>
      </c>
      <c r="H1132" s="5" t="str">
        <f>IFERROR(IF(Portafolio_Proyectos!$AR377="","",Portafolio_Proyectos!$E377),"")</f>
        <v/>
      </c>
    </row>
    <row r="1133" spans="1:8" x14ac:dyDescent="0.35">
      <c r="A1133" s="5" t="str">
        <f>IFERROR(IF(Portafolio_Proyectos!$AP378="","","CAP-"&amp;ROW()-1),"")</f>
        <v/>
      </c>
      <c r="B1133" s="5" t="str">
        <f>IFERROR(IF(Portafolio_Proyectos!$AP378="","",Portafolio_Proyectos!$AP378),"")</f>
        <v/>
      </c>
      <c r="C1133" s="5" t="str">
        <f>IFERROR(IF(Portafolio_Proyectos!$AP378="","","Emergente"),"")</f>
        <v/>
      </c>
      <c r="D1133" s="5" t="str">
        <f>IFERROR(IF(Portafolio_Proyectos!$AP378="","",Portafolio_Proyectos!$C378),"")</f>
        <v/>
      </c>
      <c r="E1133" s="5" t="str">
        <f>IFERROR(IF(Portafolio_Proyectos!$AP378="","",Portafolio_Proyectos!$B378),"")</f>
        <v/>
      </c>
      <c r="F1133" s="5" t="str">
        <f>IFERROR(IF(Portafolio_Proyectos!$AP378="","",Portafolio_Proyectos!$D378),"")</f>
        <v/>
      </c>
      <c r="G1133" s="5" t="str">
        <f>IFERROR(IF(Portafolio_Proyectos!$AP378="","",Portafolio_Proyectos!$A378),"")</f>
        <v/>
      </c>
      <c r="H1133" s="5" t="str">
        <f>IFERROR(IF(Portafolio_Proyectos!$AP378="","",Portafolio_Proyectos!$E378),"")</f>
        <v/>
      </c>
    </row>
    <row r="1134" spans="1:8" x14ac:dyDescent="0.35">
      <c r="A1134" s="5" t="str">
        <f>IFERROR(IF(Portafolio_Proyectos!$AQ378="","","CAP-"&amp;ROW()-1),"")</f>
        <v/>
      </c>
      <c r="B1134" s="5" t="str">
        <f>IFERROR(IF(Portafolio_Proyectos!$AQ378="","",Portafolio_Proyectos!$AQ378),"")</f>
        <v/>
      </c>
      <c r="C1134" s="5" t="str">
        <f>IFERROR(IF(Portafolio_Proyectos!$AQ378="","","Consolidada"),"")</f>
        <v/>
      </c>
      <c r="D1134" s="5" t="str">
        <f>IFERROR(IF(Portafolio_Proyectos!$AQ378="","",Portafolio_Proyectos!$C378),"")</f>
        <v/>
      </c>
      <c r="E1134" s="5" t="str">
        <f>IFERROR(IF(Portafolio_Proyectos!$AQ378="","",Portafolio_Proyectos!$B378),"")</f>
        <v/>
      </c>
      <c r="F1134" s="5" t="str">
        <f>IFERROR(IF(Portafolio_Proyectos!$AQ378="","",Portafolio_Proyectos!$D378),"")</f>
        <v/>
      </c>
      <c r="G1134" s="5" t="str">
        <f>IFERROR(IF(Portafolio_Proyectos!$AQ378="","",Portafolio_Proyectos!$A378),"")</f>
        <v/>
      </c>
      <c r="H1134" s="5" t="str">
        <f>IFERROR(IF(Portafolio_Proyectos!$AQ378="","",Portafolio_Proyectos!$E378),"")</f>
        <v/>
      </c>
    </row>
    <row r="1135" spans="1:8" x14ac:dyDescent="0.35">
      <c r="A1135" s="5" t="str">
        <f>IFERROR(IF(Portafolio_Proyectos!$AR378="","","CAP-"&amp;ROW()-1),"")</f>
        <v/>
      </c>
      <c r="B1135" s="5" t="str">
        <f>IFERROR(IF(Portafolio_Proyectos!$AR378="","",Portafolio_Proyectos!$AR378),"")</f>
        <v/>
      </c>
      <c r="C1135" s="5" t="str">
        <f>IFERROR(IF(Portafolio_Proyectos!$AR378="","","Distintiva"),"")</f>
        <v/>
      </c>
      <c r="D1135" s="5" t="str">
        <f>IFERROR(IF(Portafolio_Proyectos!$AR378="","",Portafolio_Proyectos!$C378),"")</f>
        <v/>
      </c>
      <c r="E1135" s="5" t="str">
        <f>IFERROR(IF(Portafolio_Proyectos!$AR378="","",Portafolio_Proyectos!$B378),"")</f>
        <v/>
      </c>
      <c r="F1135" s="5" t="str">
        <f>IFERROR(IF(Portafolio_Proyectos!$AR378="","",Portafolio_Proyectos!$D378),"")</f>
        <v/>
      </c>
      <c r="G1135" s="5" t="str">
        <f>IFERROR(IF(Portafolio_Proyectos!$AR378="","",Portafolio_Proyectos!$A378),"")</f>
        <v/>
      </c>
      <c r="H1135" s="5" t="str">
        <f>IFERROR(IF(Portafolio_Proyectos!$AR378="","",Portafolio_Proyectos!$E378),"")</f>
        <v/>
      </c>
    </row>
    <row r="1136" spans="1:8" x14ac:dyDescent="0.35">
      <c r="A1136" s="5" t="str">
        <f>IFERROR(IF(Portafolio_Proyectos!$AP379="","","CAP-"&amp;ROW()-1),"")</f>
        <v/>
      </c>
      <c r="B1136" s="5" t="str">
        <f>IFERROR(IF(Portafolio_Proyectos!$AP379="","",Portafolio_Proyectos!$AP379),"")</f>
        <v/>
      </c>
      <c r="C1136" s="5" t="str">
        <f>IFERROR(IF(Portafolio_Proyectos!$AP379="","","Emergente"),"")</f>
        <v/>
      </c>
      <c r="D1136" s="5" t="str">
        <f>IFERROR(IF(Portafolio_Proyectos!$AP379="","",Portafolio_Proyectos!$C379),"")</f>
        <v/>
      </c>
      <c r="E1136" s="5" t="str">
        <f>IFERROR(IF(Portafolio_Proyectos!$AP379="","",Portafolio_Proyectos!$B379),"")</f>
        <v/>
      </c>
      <c r="F1136" s="5" t="str">
        <f>IFERROR(IF(Portafolio_Proyectos!$AP379="","",Portafolio_Proyectos!$D379),"")</f>
        <v/>
      </c>
      <c r="G1136" s="5" t="str">
        <f>IFERROR(IF(Portafolio_Proyectos!$AP379="","",Portafolio_Proyectos!$A379),"")</f>
        <v/>
      </c>
      <c r="H1136" s="5" t="str">
        <f>IFERROR(IF(Portafolio_Proyectos!$AP379="","",Portafolio_Proyectos!$E379),"")</f>
        <v/>
      </c>
    </row>
    <row r="1137" spans="1:8" x14ac:dyDescent="0.35">
      <c r="A1137" s="5" t="str">
        <f>IFERROR(IF(Portafolio_Proyectos!$AQ379="","","CAP-"&amp;ROW()-1),"")</f>
        <v/>
      </c>
      <c r="B1137" s="5" t="str">
        <f>IFERROR(IF(Portafolio_Proyectos!$AQ379="","",Portafolio_Proyectos!$AQ379),"")</f>
        <v/>
      </c>
      <c r="C1137" s="5" t="str">
        <f>IFERROR(IF(Portafolio_Proyectos!$AQ379="","","Consolidada"),"")</f>
        <v/>
      </c>
      <c r="D1137" s="5" t="str">
        <f>IFERROR(IF(Portafolio_Proyectos!$AQ379="","",Portafolio_Proyectos!$C379),"")</f>
        <v/>
      </c>
      <c r="E1137" s="5" t="str">
        <f>IFERROR(IF(Portafolio_Proyectos!$AQ379="","",Portafolio_Proyectos!$B379),"")</f>
        <v/>
      </c>
      <c r="F1137" s="5" t="str">
        <f>IFERROR(IF(Portafolio_Proyectos!$AQ379="","",Portafolio_Proyectos!$D379),"")</f>
        <v/>
      </c>
      <c r="G1137" s="5" t="str">
        <f>IFERROR(IF(Portafolio_Proyectos!$AQ379="","",Portafolio_Proyectos!$A379),"")</f>
        <v/>
      </c>
      <c r="H1137" s="5" t="str">
        <f>IFERROR(IF(Portafolio_Proyectos!$AQ379="","",Portafolio_Proyectos!$E379),"")</f>
        <v/>
      </c>
    </row>
    <row r="1138" spans="1:8" x14ac:dyDescent="0.35">
      <c r="A1138" s="5" t="str">
        <f>IFERROR(IF(Portafolio_Proyectos!$AR379="","","CAP-"&amp;ROW()-1),"")</f>
        <v/>
      </c>
      <c r="B1138" s="5" t="str">
        <f>IFERROR(IF(Portafolio_Proyectos!$AR379="","",Portafolio_Proyectos!$AR379),"")</f>
        <v/>
      </c>
      <c r="C1138" s="5" t="str">
        <f>IFERROR(IF(Portafolio_Proyectos!$AR379="","","Distintiva"),"")</f>
        <v/>
      </c>
      <c r="D1138" s="5" t="str">
        <f>IFERROR(IF(Portafolio_Proyectos!$AR379="","",Portafolio_Proyectos!$C379),"")</f>
        <v/>
      </c>
      <c r="E1138" s="5" t="str">
        <f>IFERROR(IF(Portafolio_Proyectos!$AR379="","",Portafolio_Proyectos!$B379),"")</f>
        <v/>
      </c>
      <c r="F1138" s="5" t="str">
        <f>IFERROR(IF(Portafolio_Proyectos!$AR379="","",Portafolio_Proyectos!$D379),"")</f>
        <v/>
      </c>
      <c r="G1138" s="5" t="str">
        <f>IFERROR(IF(Portafolio_Proyectos!$AR379="","",Portafolio_Proyectos!$A379),"")</f>
        <v/>
      </c>
      <c r="H1138" s="5" t="str">
        <f>IFERROR(IF(Portafolio_Proyectos!$AR379="","",Portafolio_Proyectos!$E379),"")</f>
        <v/>
      </c>
    </row>
    <row r="1139" spans="1:8" x14ac:dyDescent="0.35">
      <c r="A1139" s="5" t="str">
        <f>IFERROR(IF(Portafolio_Proyectos!$AP380="","","CAP-"&amp;ROW()-1),"")</f>
        <v/>
      </c>
      <c r="B1139" s="5" t="str">
        <f>IFERROR(IF(Portafolio_Proyectos!$AP380="","",Portafolio_Proyectos!$AP380),"")</f>
        <v/>
      </c>
      <c r="C1139" s="5" t="str">
        <f>IFERROR(IF(Portafolio_Proyectos!$AP380="","","Emergente"),"")</f>
        <v/>
      </c>
      <c r="D1139" s="5" t="str">
        <f>IFERROR(IF(Portafolio_Proyectos!$AP380="","",Portafolio_Proyectos!$C380),"")</f>
        <v/>
      </c>
      <c r="E1139" s="5" t="str">
        <f>IFERROR(IF(Portafolio_Proyectos!$AP380="","",Portafolio_Proyectos!$B380),"")</f>
        <v/>
      </c>
      <c r="F1139" s="5" t="str">
        <f>IFERROR(IF(Portafolio_Proyectos!$AP380="","",Portafolio_Proyectos!$D380),"")</f>
        <v/>
      </c>
      <c r="G1139" s="5" t="str">
        <f>IFERROR(IF(Portafolio_Proyectos!$AP380="","",Portafolio_Proyectos!$A380),"")</f>
        <v/>
      </c>
      <c r="H1139" s="5" t="str">
        <f>IFERROR(IF(Portafolio_Proyectos!$AP380="","",Portafolio_Proyectos!$E380),"")</f>
        <v/>
      </c>
    </row>
    <row r="1140" spans="1:8" x14ac:dyDescent="0.35">
      <c r="A1140" s="5" t="str">
        <f>IFERROR(IF(Portafolio_Proyectos!$AQ380="","","CAP-"&amp;ROW()-1),"")</f>
        <v/>
      </c>
      <c r="B1140" s="5" t="str">
        <f>IFERROR(IF(Portafolio_Proyectos!$AQ380="","",Portafolio_Proyectos!$AQ380),"")</f>
        <v/>
      </c>
      <c r="C1140" s="5" t="str">
        <f>IFERROR(IF(Portafolio_Proyectos!$AQ380="","","Consolidada"),"")</f>
        <v/>
      </c>
      <c r="D1140" s="5" t="str">
        <f>IFERROR(IF(Portafolio_Proyectos!$AQ380="","",Portafolio_Proyectos!$C380),"")</f>
        <v/>
      </c>
      <c r="E1140" s="5" t="str">
        <f>IFERROR(IF(Portafolio_Proyectos!$AQ380="","",Portafolio_Proyectos!$B380),"")</f>
        <v/>
      </c>
      <c r="F1140" s="5" t="str">
        <f>IFERROR(IF(Portafolio_Proyectos!$AQ380="","",Portafolio_Proyectos!$D380),"")</f>
        <v/>
      </c>
      <c r="G1140" s="5" t="str">
        <f>IFERROR(IF(Portafolio_Proyectos!$AQ380="","",Portafolio_Proyectos!$A380),"")</f>
        <v/>
      </c>
      <c r="H1140" s="5" t="str">
        <f>IFERROR(IF(Portafolio_Proyectos!$AQ380="","",Portafolio_Proyectos!$E380),"")</f>
        <v/>
      </c>
    </row>
    <row r="1141" spans="1:8" x14ac:dyDescent="0.35">
      <c r="A1141" s="5" t="str">
        <f>IFERROR(IF(Portafolio_Proyectos!$AR380="","","CAP-"&amp;ROW()-1),"")</f>
        <v/>
      </c>
      <c r="B1141" s="5" t="str">
        <f>IFERROR(IF(Portafolio_Proyectos!$AR380="","",Portafolio_Proyectos!$AR380),"")</f>
        <v/>
      </c>
      <c r="C1141" s="5" t="str">
        <f>IFERROR(IF(Portafolio_Proyectos!$AR380="","","Distintiva"),"")</f>
        <v/>
      </c>
      <c r="D1141" s="5" t="str">
        <f>IFERROR(IF(Portafolio_Proyectos!$AR380="","",Portafolio_Proyectos!$C380),"")</f>
        <v/>
      </c>
      <c r="E1141" s="5" t="str">
        <f>IFERROR(IF(Portafolio_Proyectos!$AR380="","",Portafolio_Proyectos!$B380),"")</f>
        <v/>
      </c>
      <c r="F1141" s="5" t="str">
        <f>IFERROR(IF(Portafolio_Proyectos!$AR380="","",Portafolio_Proyectos!$D380),"")</f>
        <v/>
      </c>
      <c r="G1141" s="5" t="str">
        <f>IFERROR(IF(Portafolio_Proyectos!$AR380="","",Portafolio_Proyectos!$A380),"")</f>
        <v/>
      </c>
      <c r="H1141" s="5" t="str">
        <f>IFERROR(IF(Portafolio_Proyectos!$AR380="","",Portafolio_Proyectos!$E380),"")</f>
        <v/>
      </c>
    </row>
    <row r="1142" spans="1:8" x14ac:dyDescent="0.35">
      <c r="A1142" s="5" t="str">
        <f>IFERROR(IF(Portafolio_Proyectos!$AP381="","","CAP-"&amp;ROW()-1),"")</f>
        <v/>
      </c>
      <c r="B1142" s="5" t="str">
        <f>IFERROR(IF(Portafolio_Proyectos!$AP381="","",Portafolio_Proyectos!$AP381),"")</f>
        <v/>
      </c>
      <c r="C1142" s="5" t="str">
        <f>IFERROR(IF(Portafolio_Proyectos!$AP381="","","Emergente"),"")</f>
        <v/>
      </c>
      <c r="D1142" s="5" t="str">
        <f>IFERROR(IF(Portafolio_Proyectos!$AP381="","",Portafolio_Proyectos!$C381),"")</f>
        <v/>
      </c>
      <c r="E1142" s="5" t="str">
        <f>IFERROR(IF(Portafolio_Proyectos!$AP381="","",Portafolio_Proyectos!$B381),"")</f>
        <v/>
      </c>
      <c r="F1142" s="5" t="str">
        <f>IFERROR(IF(Portafolio_Proyectos!$AP381="","",Portafolio_Proyectos!$D381),"")</f>
        <v/>
      </c>
      <c r="G1142" s="5" t="str">
        <f>IFERROR(IF(Portafolio_Proyectos!$AP381="","",Portafolio_Proyectos!$A381),"")</f>
        <v/>
      </c>
      <c r="H1142" s="5" t="str">
        <f>IFERROR(IF(Portafolio_Proyectos!$AP381="","",Portafolio_Proyectos!$E381),"")</f>
        <v/>
      </c>
    </row>
    <row r="1143" spans="1:8" x14ac:dyDescent="0.35">
      <c r="A1143" s="5" t="str">
        <f>IFERROR(IF(Portafolio_Proyectos!$AQ381="","","CAP-"&amp;ROW()-1),"")</f>
        <v/>
      </c>
      <c r="B1143" s="5" t="str">
        <f>IFERROR(IF(Portafolio_Proyectos!$AQ381="","",Portafolio_Proyectos!$AQ381),"")</f>
        <v/>
      </c>
      <c r="C1143" s="5" t="str">
        <f>IFERROR(IF(Portafolio_Proyectos!$AQ381="","","Consolidada"),"")</f>
        <v/>
      </c>
      <c r="D1143" s="5" t="str">
        <f>IFERROR(IF(Portafolio_Proyectos!$AQ381="","",Portafolio_Proyectos!$C381),"")</f>
        <v/>
      </c>
      <c r="E1143" s="5" t="str">
        <f>IFERROR(IF(Portafolio_Proyectos!$AQ381="","",Portafolio_Proyectos!$B381),"")</f>
        <v/>
      </c>
      <c r="F1143" s="5" t="str">
        <f>IFERROR(IF(Portafolio_Proyectos!$AQ381="","",Portafolio_Proyectos!$D381),"")</f>
        <v/>
      </c>
      <c r="G1143" s="5" t="str">
        <f>IFERROR(IF(Portafolio_Proyectos!$AQ381="","",Portafolio_Proyectos!$A381),"")</f>
        <v/>
      </c>
      <c r="H1143" s="5" t="str">
        <f>IFERROR(IF(Portafolio_Proyectos!$AQ381="","",Portafolio_Proyectos!$E381),"")</f>
        <v/>
      </c>
    </row>
    <row r="1144" spans="1:8" x14ac:dyDescent="0.35">
      <c r="A1144" s="5" t="str">
        <f>IFERROR(IF(Portafolio_Proyectos!$AR381="","","CAP-"&amp;ROW()-1),"")</f>
        <v/>
      </c>
      <c r="B1144" s="5" t="str">
        <f>IFERROR(IF(Portafolio_Proyectos!$AR381="","",Portafolio_Proyectos!$AR381),"")</f>
        <v/>
      </c>
      <c r="C1144" s="5" t="str">
        <f>IFERROR(IF(Portafolio_Proyectos!$AR381="","","Distintiva"),"")</f>
        <v/>
      </c>
      <c r="D1144" s="5" t="str">
        <f>IFERROR(IF(Portafolio_Proyectos!$AR381="","",Portafolio_Proyectos!$C381),"")</f>
        <v/>
      </c>
      <c r="E1144" s="5" t="str">
        <f>IFERROR(IF(Portafolio_Proyectos!$AR381="","",Portafolio_Proyectos!$B381),"")</f>
        <v/>
      </c>
      <c r="F1144" s="5" t="str">
        <f>IFERROR(IF(Portafolio_Proyectos!$AR381="","",Portafolio_Proyectos!$D381),"")</f>
        <v/>
      </c>
      <c r="G1144" s="5" t="str">
        <f>IFERROR(IF(Portafolio_Proyectos!$AR381="","",Portafolio_Proyectos!$A381),"")</f>
        <v/>
      </c>
      <c r="H1144" s="5" t="str">
        <f>IFERROR(IF(Portafolio_Proyectos!$AR381="","",Portafolio_Proyectos!$E381),"")</f>
        <v/>
      </c>
    </row>
    <row r="1145" spans="1:8" x14ac:dyDescent="0.35">
      <c r="A1145" s="5" t="str">
        <f>IFERROR(IF(Portafolio_Proyectos!$AP382="","","CAP-"&amp;ROW()-1),"")</f>
        <v/>
      </c>
      <c r="B1145" s="5" t="str">
        <f>IFERROR(IF(Portafolio_Proyectos!$AP382="","",Portafolio_Proyectos!$AP382),"")</f>
        <v/>
      </c>
      <c r="C1145" s="5" t="str">
        <f>IFERROR(IF(Portafolio_Proyectos!$AP382="","","Emergente"),"")</f>
        <v/>
      </c>
      <c r="D1145" s="5" t="str">
        <f>IFERROR(IF(Portafolio_Proyectos!$AP382="","",Portafolio_Proyectos!$C382),"")</f>
        <v/>
      </c>
      <c r="E1145" s="5" t="str">
        <f>IFERROR(IF(Portafolio_Proyectos!$AP382="","",Portafolio_Proyectos!$B382),"")</f>
        <v/>
      </c>
      <c r="F1145" s="5" t="str">
        <f>IFERROR(IF(Portafolio_Proyectos!$AP382="","",Portafolio_Proyectos!$D382),"")</f>
        <v/>
      </c>
      <c r="G1145" s="5" t="str">
        <f>IFERROR(IF(Portafolio_Proyectos!$AP382="","",Portafolio_Proyectos!$A382),"")</f>
        <v/>
      </c>
      <c r="H1145" s="5" t="str">
        <f>IFERROR(IF(Portafolio_Proyectos!$AP382="","",Portafolio_Proyectos!$E382),"")</f>
        <v/>
      </c>
    </row>
    <row r="1146" spans="1:8" x14ac:dyDescent="0.35">
      <c r="A1146" s="5" t="str">
        <f>IFERROR(IF(Portafolio_Proyectos!$AQ382="","","CAP-"&amp;ROW()-1),"")</f>
        <v/>
      </c>
      <c r="B1146" s="5" t="str">
        <f>IFERROR(IF(Portafolio_Proyectos!$AQ382="","",Portafolio_Proyectos!$AQ382),"")</f>
        <v/>
      </c>
      <c r="C1146" s="5" t="str">
        <f>IFERROR(IF(Portafolio_Proyectos!$AQ382="","","Consolidada"),"")</f>
        <v/>
      </c>
      <c r="D1146" s="5" t="str">
        <f>IFERROR(IF(Portafolio_Proyectos!$AQ382="","",Portafolio_Proyectos!$C382),"")</f>
        <v/>
      </c>
      <c r="E1146" s="5" t="str">
        <f>IFERROR(IF(Portafolio_Proyectos!$AQ382="","",Portafolio_Proyectos!$B382),"")</f>
        <v/>
      </c>
      <c r="F1146" s="5" t="str">
        <f>IFERROR(IF(Portafolio_Proyectos!$AQ382="","",Portafolio_Proyectos!$D382),"")</f>
        <v/>
      </c>
      <c r="G1146" s="5" t="str">
        <f>IFERROR(IF(Portafolio_Proyectos!$AQ382="","",Portafolio_Proyectos!$A382),"")</f>
        <v/>
      </c>
      <c r="H1146" s="5" t="str">
        <f>IFERROR(IF(Portafolio_Proyectos!$AQ382="","",Portafolio_Proyectos!$E382),"")</f>
        <v/>
      </c>
    </row>
    <row r="1147" spans="1:8" x14ac:dyDescent="0.35">
      <c r="A1147" s="5" t="str">
        <f>IFERROR(IF(Portafolio_Proyectos!$AR382="","","CAP-"&amp;ROW()-1),"")</f>
        <v/>
      </c>
      <c r="B1147" s="5" t="str">
        <f>IFERROR(IF(Portafolio_Proyectos!$AR382="","",Portafolio_Proyectos!$AR382),"")</f>
        <v/>
      </c>
      <c r="C1147" s="5" t="str">
        <f>IFERROR(IF(Portafolio_Proyectos!$AR382="","","Distintiva"),"")</f>
        <v/>
      </c>
      <c r="D1147" s="5" t="str">
        <f>IFERROR(IF(Portafolio_Proyectos!$AR382="","",Portafolio_Proyectos!$C382),"")</f>
        <v/>
      </c>
      <c r="E1147" s="5" t="str">
        <f>IFERROR(IF(Portafolio_Proyectos!$AR382="","",Portafolio_Proyectos!$B382),"")</f>
        <v/>
      </c>
      <c r="F1147" s="5" t="str">
        <f>IFERROR(IF(Portafolio_Proyectos!$AR382="","",Portafolio_Proyectos!$D382),"")</f>
        <v/>
      </c>
      <c r="G1147" s="5" t="str">
        <f>IFERROR(IF(Portafolio_Proyectos!$AR382="","",Portafolio_Proyectos!$A382),"")</f>
        <v/>
      </c>
      <c r="H1147" s="5" t="str">
        <f>IFERROR(IF(Portafolio_Proyectos!$AR382="","",Portafolio_Proyectos!$E382),"")</f>
        <v/>
      </c>
    </row>
    <row r="1148" spans="1:8" x14ac:dyDescent="0.35">
      <c r="A1148" s="5" t="str">
        <f>IFERROR(IF(Portafolio_Proyectos!$AP383="","","CAP-"&amp;ROW()-1),"")</f>
        <v/>
      </c>
      <c r="B1148" s="5" t="str">
        <f>IFERROR(IF(Portafolio_Proyectos!$AP383="","",Portafolio_Proyectos!$AP383),"")</f>
        <v/>
      </c>
      <c r="C1148" s="5" t="str">
        <f>IFERROR(IF(Portafolio_Proyectos!$AP383="","","Emergente"),"")</f>
        <v/>
      </c>
      <c r="D1148" s="5" t="str">
        <f>IFERROR(IF(Portafolio_Proyectos!$AP383="","",Portafolio_Proyectos!$C383),"")</f>
        <v/>
      </c>
      <c r="E1148" s="5" t="str">
        <f>IFERROR(IF(Portafolio_Proyectos!$AP383="","",Portafolio_Proyectos!$B383),"")</f>
        <v/>
      </c>
      <c r="F1148" s="5" t="str">
        <f>IFERROR(IF(Portafolio_Proyectos!$AP383="","",Portafolio_Proyectos!$D383),"")</f>
        <v/>
      </c>
      <c r="G1148" s="5" t="str">
        <f>IFERROR(IF(Portafolio_Proyectos!$AP383="","",Portafolio_Proyectos!$A383),"")</f>
        <v/>
      </c>
      <c r="H1148" s="5" t="str">
        <f>IFERROR(IF(Portafolio_Proyectos!$AP383="","",Portafolio_Proyectos!$E383),"")</f>
        <v/>
      </c>
    </row>
    <row r="1149" spans="1:8" x14ac:dyDescent="0.35">
      <c r="A1149" s="5" t="str">
        <f>IFERROR(IF(Portafolio_Proyectos!$AQ383="","","CAP-"&amp;ROW()-1),"")</f>
        <v/>
      </c>
      <c r="B1149" s="5" t="str">
        <f>IFERROR(IF(Portafolio_Proyectos!$AQ383="","",Portafolio_Proyectos!$AQ383),"")</f>
        <v/>
      </c>
      <c r="C1149" s="5" t="str">
        <f>IFERROR(IF(Portafolio_Proyectos!$AQ383="","","Consolidada"),"")</f>
        <v/>
      </c>
      <c r="D1149" s="5" t="str">
        <f>IFERROR(IF(Portafolio_Proyectos!$AQ383="","",Portafolio_Proyectos!$C383),"")</f>
        <v/>
      </c>
      <c r="E1149" s="5" t="str">
        <f>IFERROR(IF(Portafolio_Proyectos!$AQ383="","",Portafolio_Proyectos!$B383),"")</f>
        <v/>
      </c>
      <c r="F1149" s="5" t="str">
        <f>IFERROR(IF(Portafolio_Proyectos!$AQ383="","",Portafolio_Proyectos!$D383),"")</f>
        <v/>
      </c>
      <c r="G1149" s="5" t="str">
        <f>IFERROR(IF(Portafolio_Proyectos!$AQ383="","",Portafolio_Proyectos!$A383),"")</f>
        <v/>
      </c>
      <c r="H1149" s="5" t="str">
        <f>IFERROR(IF(Portafolio_Proyectos!$AQ383="","",Portafolio_Proyectos!$E383),"")</f>
        <v/>
      </c>
    </row>
    <row r="1150" spans="1:8" x14ac:dyDescent="0.35">
      <c r="A1150" s="5" t="str">
        <f>IFERROR(IF(Portafolio_Proyectos!$AR383="","","CAP-"&amp;ROW()-1),"")</f>
        <v/>
      </c>
      <c r="B1150" s="5" t="str">
        <f>IFERROR(IF(Portafolio_Proyectos!$AR383="","",Portafolio_Proyectos!$AR383),"")</f>
        <v/>
      </c>
      <c r="C1150" s="5" t="str">
        <f>IFERROR(IF(Portafolio_Proyectos!$AR383="","","Distintiva"),"")</f>
        <v/>
      </c>
      <c r="D1150" s="5" t="str">
        <f>IFERROR(IF(Portafolio_Proyectos!$AR383="","",Portafolio_Proyectos!$C383),"")</f>
        <v/>
      </c>
      <c r="E1150" s="5" t="str">
        <f>IFERROR(IF(Portafolio_Proyectos!$AR383="","",Portafolio_Proyectos!$B383),"")</f>
        <v/>
      </c>
      <c r="F1150" s="5" t="str">
        <f>IFERROR(IF(Portafolio_Proyectos!$AR383="","",Portafolio_Proyectos!$D383),"")</f>
        <v/>
      </c>
      <c r="G1150" s="5" t="str">
        <f>IFERROR(IF(Portafolio_Proyectos!$AR383="","",Portafolio_Proyectos!$A383),"")</f>
        <v/>
      </c>
      <c r="H1150" s="5" t="str">
        <f>IFERROR(IF(Portafolio_Proyectos!$AR383="","",Portafolio_Proyectos!$E383),"")</f>
        <v/>
      </c>
    </row>
    <row r="1151" spans="1:8" x14ac:dyDescent="0.35">
      <c r="A1151" s="5" t="str">
        <f>IFERROR(IF(Portafolio_Proyectos!$AP384="","","CAP-"&amp;ROW()-1),"")</f>
        <v/>
      </c>
      <c r="B1151" s="5" t="str">
        <f>IFERROR(IF(Portafolio_Proyectos!$AP384="","",Portafolio_Proyectos!$AP384),"")</f>
        <v/>
      </c>
      <c r="C1151" s="5" t="str">
        <f>IFERROR(IF(Portafolio_Proyectos!$AP384="","","Emergente"),"")</f>
        <v/>
      </c>
      <c r="D1151" s="5" t="str">
        <f>IFERROR(IF(Portafolio_Proyectos!$AP384="","",Portafolio_Proyectos!$C384),"")</f>
        <v/>
      </c>
      <c r="E1151" s="5" t="str">
        <f>IFERROR(IF(Portafolio_Proyectos!$AP384="","",Portafolio_Proyectos!$B384),"")</f>
        <v/>
      </c>
      <c r="F1151" s="5" t="str">
        <f>IFERROR(IF(Portafolio_Proyectos!$AP384="","",Portafolio_Proyectos!$D384),"")</f>
        <v/>
      </c>
      <c r="G1151" s="5" t="str">
        <f>IFERROR(IF(Portafolio_Proyectos!$AP384="","",Portafolio_Proyectos!$A384),"")</f>
        <v/>
      </c>
      <c r="H1151" s="5" t="str">
        <f>IFERROR(IF(Portafolio_Proyectos!$AP384="","",Portafolio_Proyectos!$E384),"")</f>
        <v/>
      </c>
    </row>
    <row r="1152" spans="1:8" x14ac:dyDescent="0.35">
      <c r="A1152" s="5" t="str">
        <f>IFERROR(IF(Portafolio_Proyectos!$AQ384="","","CAP-"&amp;ROW()-1),"")</f>
        <v/>
      </c>
      <c r="B1152" s="5" t="str">
        <f>IFERROR(IF(Portafolio_Proyectos!$AQ384="","",Portafolio_Proyectos!$AQ384),"")</f>
        <v/>
      </c>
      <c r="C1152" s="5" t="str">
        <f>IFERROR(IF(Portafolio_Proyectos!$AQ384="","","Consolidada"),"")</f>
        <v/>
      </c>
      <c r="D1152" s="5" t="str">
        <f>IFERROR(IF(Portafolio_Proyectos!$AQ384="","",Portafolio_Proyectos!$C384),"")</f>
        <v/>
      </c>
      <c r="E1152" s="5" t="str">
        <f>IFERROR(IF(Portafolio_Proyectos!$AQ384="","",Portafolio_Proyectos!$B384),"")</f>
        <v/>
      </c>
      <c r="F1152" s="5" t="str">
        <f>IFERROR(IF(Portafolio_Proyectos!$AQ384="","",Portafolio_Proyectos!$D384),"")</f>
        <v/>
      </c>
      <c r="G1152" s="5" t="str">
        <f>IFERROR(IF(Portafolio_Proyectos!$AQ384="","",Portafolio_Proyectos!$A384),"")</f>
        <v/>
      </c>
      <c r="H1152" s="5" t="str">
        <f>IFERROR(IF(Portafolio_Proyectos!$AQ384="","",Portafolio_Proyectos!$E384),"")</f>
        <v/>
      </c>
    </row>
    <row r="1153" spans="1:8" x14ac:dyDescent="0.35">
      <c r="A1153" s="5" t="str">
        <f>IFERROR(IF(Portafolio_Proyectos!$AR384="","","CAP-"&amp;ROW()-1),"")</f>
        <v/>
      </c>
      <c r="B1153" s="5" t="str">
        <f>IFERROR(IF(Portafolio_Proyectos!$AR384="","",Portafolio_Proyectos!$AR384),"")</f>
        <v/>
      </c>
      <c r="C1153" s="5" t="str">
        <f>IFERROR(IF(Portafolio_Proyectos!$AR384="","","Distintiva"),"")</f>
        <v/>
      </c>
      <c r="D1153" s="5" t="str">
        <f>IFERROR(IF(Portafolio_Proyectos!$AR384="","",Portafolio_Proyectos!$C384),"")</f>
        <v/>
      </c>
      <c r="E1153" s="5" t="str">
        <f>IFERROR(IF(Portafolio_Proyectos!$AR384="","",Portafolio_Proyectos!$B384),"")</f>
        <v/>
      </c>
      <c r="F1153" s="5" t="str">
        <f>IFERROR(IF(Portafolio_Proyectos!$AR384="","",Portafolio_Proyectos!$D384),"")</f>
        <v/>
      </c>
      <c r="G1153" s="5" t="str">
        <f>IFERROR(IF(Portafolio_Proyectos!$AR384="","",Portafolio_Proyectos!$A384),"")</f>
        <v/>
      </c>
      <c r="H1153" s="5" t="str">
        <f>IFERROR(IF(Portafolio_Proyectos!$AR384="","",Portafolio_Proyectos!$E384),"")</f>
        <v/>
      </c>
    </row>
    <row r="1154" spans="1:8" x14ac:dyDescent="0.35">
      <c r="A1154" s="5" t="str">
        <f>IFERROR(IF(Portafolio_Proyectos!$AP385="","","CAP-"&amp;ROW()-1),"")</f>
        <v/>
      </c>
      <c r="B1154" s="5" t="str">
        <f>IFERROR(IF(Portafolio_Proyectos!$AP385="","",Portafolio_Proyectos!$AP385),"")</f>
        <v/>
      </c>
      <c r="C1154" s="5" t="str">
        <f>IFERROR(IF(Portafolio_Proyectos!$AP385="","","Emergente"),"")</f>
        <v/>
      </c>
      <c r="D1154" s="5" t="str">
        <f>IFERROR(IF(Portafolio_Proyectos!$AP385="","",Portafolio_Proyectos!$C385),"")</f>
        <v/>
      </c>
      <c r="E1154" s="5" t="str">
        <f>IFERROR(IF(Portafolio_Proyectos!$AP385="","",Portafolio_Proyectos!$B385),"")</f>
        <v/>
      </c>
      <c r="F1154" s="5" t="str">
        <f>IFERROR(IF(Portafolio_Proyectos!$AP385="","",Portafolio_Proyectos!$D385),"")</f>
        <v/>
      </c>
      <c r="G1154" s="5" t="str">
        <f>IFERROR(IF(Portafolio_Proyectos!$AP385="","",Portafolio_Proyectos!$A385),"")</f>
        <v/>
      </c>
      <c r="H1154" s="5" t="str">
        <f>IFERROR(IF(Portafolio_Proyectos!$AP385="","",Portafolio_Proyectos!$E385),"")</f>
        <v/>
      </c>
    </row>
    <row r="1155" spans="1:8" x14ac:dyDescent="0.35">
      <c r="A1155" s="5" t="str">
        <f>IFERROR(IF(Portafolio_Proyectos!$AQ385="","","CAP-"&amp;ROW()-1),"")</f>
        <v/>
      </c>
      <c r="B1155" s="5" t="str">
        <f>IFERROR(IF(Portafolio_Proyectos!$AQ385="","",Portafolio_Proyectos!$AQ385),"")</f>
        <v/>
      </c>
      <c r="C1155" s="5" t="str">
        <f>IFERROR(IF(Portafolio_Proyectos!$AQ385="","","Consolidada"),"")</f>
        <v/>
      </c>
      <c r="D1155" s="5" t="str">
        <f>IFERROR(IF(Portafolio_Proyectos!$AQ385="","",Portafolio_Proyectos!$C385),"")</f>
        <v/>
      </c>
      <c r="E1155" s="5" t="str">
        <f>IFERROR(IF(Portafolio_Proyectos!$AQ385="","",Portafolio_Proyectos!$B385),"")</f>
        <v/>
      </c>
      <c r="F1155" s="5" t="str">
        <f>IFERROR(IF(Portafolio_Proyectos!$AQ385="","",Portafolio_Proyectos!$D385),"")</f>
        <v/>
      </c>
      <c r="G1155" s="5" t="str">
        <f>IFERROR(IF(Portafolio_Proyectos!$AQ385="","",Portafolio_Proyectos!$A385),"")</f>
        <v/>
      </c>
      <c r="H1155" s="5" t="str">
        <f>IFERROR(IF(Portafolio_Proyectos!$AQ385="","",Portafolio_Proyectos!$E385),"")</f>
        <v/>
      </c>
    </row>
    <row r="1156" spans="1:8" x14ac:dyDescent="0.35">
      <c r="A1156" s="5" t="str">
        <f>IFERROR(IF(Portafolio_Proyectos!$AR385="","","CAP-"&amp;ROW()-1),"")</f>
        <v/>
      </c>
      <c r="B1156" s="5" t="str">
        <f>IFERROR(IF(Portafolio_Proyectos!$AR385="","",Portafolio_Proyectos!$AR385),"")</f>
        <v/>
      </c>
      <c r="C1156" s="5" t="str">
        <f>IFERROR(IF(Portafolio_Proyectos!$AR385="","","Distintiva"),"")</f>
        <v/>
      </c>
      <c r="D1156" s="5" t="str">
        <f>IFERROR(IF(Portafolio_Proyectos!$AR385="","",Portafolio_Proyectos!$C385),"")</f>
        <v/>
      </c>
      <c r="E1156" s="5" t="str">
        <f>IFERROR(IF(Portafolio_Proyectos!$AR385="","",Portafolio_Proyectos!$B385),"")</f>
        <v/>
      </c>
      <c r="F1156" s="5" t="str">
        <f>IFERROR(IF(Portafolio_Proyectos!$AR385="","",Portafolio_Proyectos!$D385),"")</f>
        <v/>
      </c>
      <c r="G1156" s="5" t="str">
        <f>IFERROR(IF(Portafolio_Proyectos!$AR385="","",Portafolio_Proyectos!$A385),"")</f>
        <v/>
      </c>
      <c r="H1156" s="5" t="str">
        <f>IFERROR(IF(Portafolio_Proyectos!$AR385="","",Portafolio_Proyectos!$E385),"")</f>
        <v/>
      </c>
    </row>
    <row r="1157" spans="1:8" x14ac:dyDescent="0.35">
      <c r="A1157" s="5" t="str">
        <f>IFERROR(IF(Portafolio_Proyectos!$AP386="","","CAP-"&amp;ROW()-1),"")</f>
        <v/>
      </c>
      <c r="B1157" s="5" t="str">
        <f>IFERROR(IF(Portafolio_Proyectos!$AP386="","",Portafolio_Proyectos!$AP386),"")</f>
        <v/>
      </c>
      <c r="C1157" s="5" t="str">
        <f>IFERROR(IF(Portafolio_Proyectos!$AP386="","","Emergente"),"")</f>
        <v/>
      </c>
      <c r="D1157" s="5" t="str">
        <f>IFERROR(IF(Portafolio_Proyectos!$AP386="","",Portafolio_Proyectos!$C386),"")</f>
        <v/>
      </c>
      <c r="E1157" s="5" t="str">
        <f>IFERROR(IF(Portafolio_Proyectos!$AP386="","",Portafolio_Proyectos!$B386),"")</f>
        <v/>
      </c>
      <c r="F1157" s="5" t="str">
        <f>IFERROR(IF(Portafolio_Proyectos!$AP386="","",Portafolio_Proyectos!$D386),"")</f>
        <v/>
      </c>
      <c r="G1157" s="5" t="str">
        <f>IFERROR(IF(Portafolio_Proyectos!$AP386="","",Portafolio_Proyectos!$A386),"")</f>
        <v/>
      </c>
      <c r="H1157" s="5" t="str">
        <f>IFERROR(IF(Portafolio_Proyectos!$AP386="","",Portafolio_Proyectos!$E386),"")</f>
        <v/>
      </c>
    </row>
    <row r="1158" spans="1:8" x14ac:dyDescent="0.35">
      <c r="A1158" s="5" t="str">
        <f>IFERROR(IF(Portafolio_Proyectos!$AQ386="","","CAP-"&amp;ROW()-1),"")</f>
        <v/>
      </c>
      <c r="B1158" s="5" t="str">
        <f>IFERROR(IF(Portafolio_Proyectos!$AQ386="","",Portafolio_Proyectos!$AQ386),"")</f>
        <v/>
      </c>
      <c r="C1158" s="5" t="str">
        <f>IFERROR(IF(Portafolio_Proyectos!$AQ386="","","Consolidada"),"")</f>
        <v/>
      </c>
      <c r="D1158" s="5" t="str">
        <f>IFERROR(IF(Portafolio_Proyectos!$AQ386="","",Portafolio_Proyectos!$C386),"")</f>
        <v/>
      </c>
      <c r="E1158" s="5" t="str">
        <f>IFERROR(IF(Portafolio_Proyectos!$AQ386="","",Portafolio_Proyectos!$B386),"")</f>
        <v/>
      </c>
      <c r="F1158" s="5" t="str">
        <f>IFERROR(IF(Portafolio_Proyectos!$AQ386="","",Portafolio_Proyectos!$D386),"")</f>
        <v/>
      </c>
      <c r="G1158" s="5" t="str">
        <f>IFERROR(IF(Portafolio_Proyectos!$AQ386="","",Portafolio_Proyectos!$A386),"")</f>
        <v/>
      </c>
      <c r="H1158" s="5" t="str">
        <f>IFERROR(IF(Portafolio_Proyectos!$AQ386="","",Portafolio_Proyectos!$E386),"")</f>
        <v/>
      </c>
    </row>
    <row r="1159" spans="1:8" x14ac:dyDescent="0.35">
      <c r="A1159" s="5" t="str">
        <f>IFERROR(IF(Portafolio_Proyectos!$AR386="","","CAP-"&amp;ROW()-1),"")</f>
        <v/>
      </c>
      <c r="B1159" s="5" t="str">
        <f>IFERROR(IF(Portafolio_Proyectos!$AR386="","",Portafolio_Proyectos!$AR386),"")</f>
        <v/>
      </c>
      <c r="C1159" s="5" t="str">
        <f>IFERROR(IF(Portafolio_Proyectos!$AR386="","","Distintiva"),"")</f>
        <v/>
      </c>
      <c r="D1159" s="5" t="str">
        <f>IFERROR(IF(Portafolio_Proyectos!$AR386="","",Portafolio_Proyectos!$C386),"")</f>
        <v/>
      </c>
      <c r="E1159" s="5" t="str">
        <f>IFERROR(IF(Portafolio_Proyectos!$AR386="","",Portafolio_Proyectos!$B386),"")</f>
        <v/>
      </c>
      <c r="F1159" s="5" t="str">
        <f>IFERROR(IF(Portafolio_Proyectos!$AR386="","",Portafolio_Proyectos!$D386),"")</f>
        <v/>
      </c>
      <c r="G1159" s="5" t="str">
        <f>IFERROR(IF(Portafolio_Proyectos!$AR386="","",Portafolio_Proyectos!$A386),"")</f>
        <v/>
      </c>
      <c r="H1159" s="5" t="str">
        <f>IFERROR(IF(Portafolio_Proyectos!$AR386="","",Portafolio_Proyectos!$E386),"")</f>
        <v/>
      </c>
    </row>
    <row r="1160" spans="1:8" x14ac:dyDescent="0.35">
      <c r="A1160" s="5" t="str">
        <f>IFERROR(IF(Portafolio_Proyectos!$AP387="","","CAP-"&amp;ROW()-1),"")</f>
        <v/>
      </c>
      <c r="B1160" s="5" t="str">
        <f>IFERROR(IF(Portafolio_Proyectos!$AP387="","",Portafolio_Proyectos!$AP387),"")</f>
        <v/>
      </c>
      <c r="C1160" s="5" t="str">
        <f>IFERROR(IF(Portafolio_Proyectos!$AP387="","","Emergente"),"")</f>
        <v/>
      </c>
      <c r="D1160" s="5" t="str">
        <f>IFERROR(IF(Portafolio_Proyectos!$AP387="","",Portafolio_Proyectos!$C387),"")</f>
        <v/>
      </c>
      <c r="E1160" s="5" t="str">
        <f>IFERROR(IF(Portafolio_Proyectos!$AP387="","",Portafolio_Proyectos!$B387),"")</f>
        <v/>
      </c>
      <c r="F1160" s="5" t="str">
        <f>IFERROR(IF(Portafolio_Proyectos!$AP387="","",Portafolio_Proyectos!$D387),"")</f>
        <v/>
      </c>
      <c r="G1160" s="5" t="str">
        <f>IFERROR(IF(Portafolio_Proyectos!$AP387="","",Portafolio_Proyectos!$A387),"")</f>
        <v/>
      </c>
      <c r="H1160" s="5" t="str">
        <f>IFERROR(IF(Portafolio_Proyectos!$AP387="","",Portafolio_Proyectos!$E387),"")</f>
        <v/>
      </c>
    </row>
    <row r="1161" spans="1:8" x14ac:dyDescent="0.35">
      <c r="A1161" s="5" t="str">
        <f>IFERROR(IF(Portafolio_Proyectos!$AQ387="","","CAP-"&amp;ROW()-1),"")</f>
        <v/>
      </c>
      <c r="B1161" s="5" t="str">
        <f>IFERROR(IF(Portafolio_Proyectos!$AQ387="","",Portafolio_Proyectos!$AQ387),"")</f>
        <v/>
      </c>
      <c r="C1161" s="5" t="str">
        <f>IFERROR(IF(Portafolio_Proyectos!$AQ387="","","Consolidada"),"")</f>
        <v/>
      </c>
      <c r="D1161" s="5" t="str">
        <f>IFERROR(IF(Portafolio_Proyectos!$AQ387="","",Portafolio_Proyectos!$C387),"")</f>
        <v/>
      </c>
      <c r="E1161" s="5" t="str">
        <f>IFERROR(IF(Portafolio_Proyectos!$AQ387="","",Portafolio_Proyectos!$B387),"")</f>
        <v/>
      </c>
      <c r="F1161" s="5" t="str">
        <f>IFERROR(IF(Portafolio_Proyectos!$AQ387="","",Portafolio_Proyectos!$D387),"")</f>
        <v/>
      </c>
      <c r="G1161" s="5" t="str">
        <f>IFERROR(IF(Portafolio_Proyectos!$AQ387="","",Portafolio_Proyectos!$A387),"")</f>
        <v/>
      </c>
      <c r="H1161" s="5" t="str">
        <f>IFERROR(IF(Portafolio_Proyectos!$AQ387="","",Portafolio_Proyectos!$E387),"")</f>
        <v/>
      </c>
    </row>
    <row r="1162" spans="1:8" x14ac:dyDescent="0.35">
      <c r="A1162" s="5" t="str">
        <f>IFERROR(IF(Portafolio_Proyectos!$AR387="","","CAP-"&amp;ROW()-1),"")</f>
        <v/>
      </c>
      <c r="B1162" s="5" t="str">
        <f>IFERROR(IF(Portafolio_Proyectos!$AR387="","",Portafolio_Proyectos!$AR387),"")</f>
        <v/>
      </c>
      <c r="C1162" s="5" t="str">
        <f>IFERROR(IF(Portafolio_Proyectos!$AR387="","","Distintiva"),"")</f>
        <v/>
      </c>
      <c r="D1162" s="5" t="str">
        <f>IFERROR(IF(Portafolio_Proyectos!$AR387="","",Portafolio_Proyectos!$C387),"")</f>
        <v/>
      </c>
      <c r="E1162" s="5" t="str">
        <f>IFERROR(IF(Portafolio_Proyectos!$AR387="","",Portafolio_Proyectos!$B387),"")</f>
        <v/>
      </c>
      <c r="F1162" s="5" t="str">
        <f>IFERROR(IF(Portafolio_Proyectos!$AR387="","",Portafolio_Proyectos!$D387),"")</f>
        <v/>
      </c>
      <c r="G1162" s="5" t="str">
        <f>IFERROR(IF(Portafolio_Proyectos!$AR387="","",Portafolio_Proyectos!$A387),"")</f>
        <v/>
      </c>
      <c r="H1162" s="5" t="str">
        <f>IFERROR(IF(Portafolio_Proyectos!$AR387="","",Portafolio_Proyectos!$E387),"")</f>
        <v/>
      </c>
    </row>
    <row r="1163" spans="1:8" x14ac:dyDescent="0.35">
      <c r="A1163" s="5" t="str">
        <f>IFERROR(IF(Portafolio_Proyectos!$AP388="","","CAP-"&amp;ROW()-1),"")</f>
        <v/>
      </c>
      <c r="B1163" s="5" t="str">
        <f>IFERROR(IF(Portafolio_Proyectos!$AP388="","",Portafolio_Proyectos!$AP388),"")</f>
        <v/>
      </c>
      <c r="C1163" s="5" t="str">
        <f>IFERROR(IF(Portafolio_Proyectos!$AP388="","","Emergente"),"")</f>
        <v/>
      </c>
      <c r="D1163" s="5" t="str">
        <f>IFERROR(IF(Portafolio_Proyectos!$AP388="","",Portafolio_Proyectos!$C388),"")</f>
        <v/>
      </c>
      <c r="E1163" s="5" t="str">
        <f>IFERROR(IF(Portafolio_Proyectos!$AP388="","",Portafolio_Proyectos!$B388),"")</f>
        <v/>
      </c>
      <c r="F1163" s="5" t="str">
        <f>IFERROR(IF(Portafolio_Proyectos!$AP388="","",Portafolio_Proyectos!$D388),"")</f>
        <v/>
      </c>
      <c r="G1163" s="5" t="str">
        <f>IFERROR(IF(Portafolio_Proyectos!$AP388="","",Portafolio_Proyectos!$A388),"")</f>
        <v/>
      </c>
      <c r="H1163" s="5" t="str">
        <f>IFERROR(IF(Portafolio_Proyectos!$AP388="","",Portafolio_Proyectos!$E388),"")</f>
        <v/>
      </c>
    </row>
    <row r="1164" spans="1:8" x14ac:dyDescent="0.35">
      <c r="A1164" s="5" t="str">
        <f>IFERROR(IF(Portafolio_Proyectos!$AQ388="","","CAP-"&amp;ROW()-1),"")</f>
        <v/>
      </c>
      <c r="B1164" s="5" t="str">
        <f>IFERROR(IF(Portafolio_Proyectos!$AQ388="","",Portafolio_Proyectos!$AQ388),"")</f>
        <v/>
      </c>
      <c r="C1164" s="5" t="str">
        <f>IFERROR(IF(Portafolio_Proyectos!$AQ388="","","Consolidada"),"")</f>
        <v/>
      </c>
      <c r="D1164" s="5" t="str">
        <f>IFERROR(IF(Portafolio_Proyectos!$AQ388="","",Portafolio_Proyectos!$C388),"")</f>
        <v/>
      </c>
      <c r="E1164" s="5" t="str">
        <f>IFERROR(IF(Portafolio_Proyectos!$AQ388="","",Portafolio_Proyectos!$B388),"")</f>
        <v/>
      </c>
      <c r="F1164" s="5" t="str">
        <f>IFERROR(IF(Portafolio_Proyectos!$AQ388="","",Portafolio_Proyectos!$D388),"")</f>
        <v/>
      </c>
      <c r="G1164" s="5" t="str">
        <f>IFERROR(IF(Portafolio_Proyectos!$AQ388="","",Portafolio_Proyectos!$A388),"")</f>
        <v/>
      </c>
      <c r="H1164" s="5" t="str">
        <f>IFERROR(IF(Portafolio_Proyectos!$AQ388="","",Portafolio_Proyectos!$E388),"")</f>
        <v/>
      </c>
    </row>
    <row r="1165" spans="1:8" x14ac:dyDescent="0.35">
      <c r="A1165" s="5" t="str">
        <f>IFERROR(IF(Portafolio_Proyectos!$AR388="","","CAP-"&amp;ROW()-1),"")</f>
        <v/>
      </c>
      <c r="B1165" s="5" t="str">
        <f>IFERROR(IF(Portafolio_Proyectos!$AR388="","",Portafolio_Proyectos!$AR388),"")</f>
        <v/>
      </c>
      <c r="C1165" s="5" t="str">
        <f>IFERROR(IF(Portafolio_Proyectos!$AR388="","","Distintiva"),"")</f>
        <v/>
      </c>
      <c r="D1165" s="5" t="str">
        <f>IFERROR(IF(Portafolio_Proyectos!$AR388="","",Portafolio_Proyectos!$C388),"")</f>
        <v/>
      </c>
      <c r="E1165" s="5" t="str">
        <f>IFERROR(IF(Portafolio_Proyectos!$AR388="","",Portafolio_Proyectos!$B388),"")</f>
        <v/>
      </c>
      <c r="F1165" s="5" t="str">
        <f>IFERROR(IF(Portafolio_Proyectos!$AR388="","",Portafolio_Proyectos!$D388),"")</f>
        <v/>
      </c>
      <c r="G1165" s="5" t="str">
        <f>IFERROR(IF(Portafolio_Proyectos!$AR388="","",Portafolio_Proyectos!$A388),"")</f>
        <v/>
      </c>
      <c r="H1165" s="5" t="str">
        <f>IFERROR(IF(Portafolio_Proyectos!$AR388="","",Portafolio_Proyectos!$E388),"")</f>
        <v/>
      </c>
    </row>
    <row r="1166" spans="1:8" x14ac:dyDescent="0.35">
      <c r="A1166" s="5" t="str">
        <f>IFERROR(IF(Portafolio_Proyectos!$AP389="","","CAP-"&amp;ROW()-1),"")</f>
        <v/>
      </c>
      <c r="B1166" s="5" t="str">
        <f>IFERROR(IF(Portafolio_Proyectos!$AP389="","",Portafolio_Proyectos!$AP389),"")</f>
        <v/>
      </c>
      <c r="C1166" s="5" t="str">
        <f>IFERROR(IF(Portafolio_Proyectos!$AP389="","","Emergente"),"")</f>
        <v/>
      </c>
      <c r="D1166" s="5" t="str">
        <f>IFERROR(IF(Portafolio_Proyectos!$AP389="","",Portafolio_Proyectos!$C389),"")</f>
        <v/>
      </c>
      <c r="E1166" s="5" t="str">
        <f>IFERROR(IF(Portafolio_Proyectos!$AP389="","",Portafolio_Proyectos!$B389),"")</f>
        <v/>
      </c>
      <c r="F1166" s="5" t="str">
        <f>IFERROR(IF(Portafolio_Proyectos!$AP389="","",Portafolio_Proyectos!$D389),"")</f>
        <v/>
      </c>
      <c r="G1166" s="5" t="str">
        <f>IFERROR(IF(Portafolio_Proyectos!$AP389="","",Portafolio_Proyectos!$A389),"")</f>
        <v/>
      </c>
      <c r="H1166" s="5" t="str">
        <f>IFERROR(IF(Portafolio_Proyectos!$AP389="","",Portafolio_Proyectos!$E389),"")</f>
        <v/>
      </c>
    </row>
    <row r="1167" spans="1:8" x14ac:dyDescent="0.35">
      <c r="A1167" s="5" t="str">
        <f>IFERROR(IF(Portafolio_Proyectos!$AQ389="","","CAP-"&amp;ROW()-1),"")</f>
        <v/>
      </c>
      <c r="B1167" s="5" t="str">
        <f>IFERROR(IF(Portafolio_Proyectos!$AQ389="","",Portafolio_Proyectos!$AQ389),"")</f>
        <v/>
      </c>
      <c r="C1167" s="5" t="str">
        <f>IFERROR(IF(Portafolio_Proyectos!$AQ389="","","Consolidada"),"")</f>
        <v/>
      </c>
      <c r="D1167" s="5" t="str">
        <f>IFERROR(IF(Portafolio_Proyectos!$AQ389="","",Portafolio_Proyectos!$C389),"")</f>
        <v/>
      </c>
      <c r="E1167" s="5" t="str">
        <f>IFERROR(IF(Portafolio_Proyectos!$AQ389="","",Portafolio_Proyectos!$B389),"")</f>
        <v/>
      </c>
      <c r="F1167" s="5" t="str">
        <f>IFERROR(IF(Portafolio_Proyectos!$AQ389="","",Portafolio_Proyectos!$D389),"")</f>
        <v/>
      </c>
      <c r="G1167" s="5" t="str">
        <f>IFERROR(IF(Portafolio_Proyectos!$AQ389="","",Portafolio_Proyectos!$A389),"")</f>
        <v/>
      </c>
      <c r="H1167" s="5" t="str">
        <f>IFERROR(IF(Portafolio_Proyectos!$AQ389="","",Portafolio_Proyectos!$E389),"")</f>
        <v/>
      </c>
    </row>
    <row r="1168" spans="1:8" x14ac:dyDescent="0.35">
      <c r="A1168" s="5" t="str">
        <f>IFERROR(IF(Portafolio_Proyectos!$AR389="","","CAP-"&amp;ROW()-1),"")</f>
        <v/>
      </c>
      <c r="B1168" s="5" t="str">
        <f>IFERROR(IF(Portafolio_Proyectos!$AR389="","",Portafolio_Proyectos!$AR389),"")</f>
        <v/>
      </c>
      <c r="C1168" s="5" t="str">
        <f>IFERROR(IF(Portafolio_Proyectos!$AR389="","","Distintiva"),"")</f>
        <v/>
      </c>
      <c r="D1168" s="5" t="str">
        <f>IFERROR(IF(Portafolio_Proyectos!$AR389="","",Portafolio_Proyectos!$C389),"")</f>
        <v/>
      </c>
      <c r="E1168" s="5" t="str">
        <f>IFERROR(IF(Portafolio_Proyectos!$AR389="","",Portafolio_Proyectos!$B389),"")</f>
        <v/>
      </c>
      <c r="F1168" s="5" t="str">
        <f>IFERROR(IF(Portafolio_Proyectos!$AR389="","",Portafolio_Proyectos!$D389),"")</f>
        <v/>
      </c>
      <c r="G1168" s="5" t="str">
        <f>IFERROR(IF(Portafolio_Proyectos!$AR389="","",Portafolio_Proyectos!$A389),"")</f>
        <v/>
      </c>
      <c r="H1168" s="5" t="str">
        <f>IFERROR(IF(Portafolio_Proyectos!$AR389="","",Portafolio_Proyectos!$E389),"")</f>
        <v/>
      </c>
    </row>
    <row r="1169" spans="1:8" x14ac:dyDescent="0.35">
      <c r="A1169" s="5" t="str">
        <f>IFERROR(IF(Portafolio_Proyectos!$AP390="","","CAP-"&amp;ROW()-1),"")</f>
        <v/>
      </c>
      <c r="B1169" s="5" t="str">
        <f>IFERROR(IF(Portafolio_Proyectos!$AP390="","",Portafolio_Proyectos!$AP390),"")</f>
        <v/>
      </c>
      <c r="C1169" s="5" t="str">
        <f>IFERROR(IF(Portafolio_Proyectos!$AP390="","","Emergente"),"")</f>
        <v/>
      </c>
      <c r="D1169" s="5" t="str">
        <f>IFERROR(IF(Portafolio_Proyectos!$AP390="","",Portafolio_Proyectos!$C390),"")</f>
        <v/>
      </c>
      <c r="E1169" s="5" t="str">
        <f>IFERROR(IF(Portafolio_Proyectos!$AP390="","",Portafolio_Proyectos!$B390),"")</f>
        <v/>
      </c>
      <c r="F1169" s="5" t="str">
        <f>IFERROR(IF(Portafolio_Proyectos!$AP390="","",Portafolio_Proyectos!$D390),"")</f>
        <v/>
      </c>
      <c r="G1169" s="5" t="str">
        <f>IFERROR(IF(Portafolio_Proyectos!$AP390="","",Portafolio_Proyectos!$A390),"")</f>
        <v/>
      </c>
      <c r="H1169" s="5" t="str">
        <f>IFERROR(IF(Portafolio_Proyectos!$AP390="","",Portafolio_Proyectos!$E390),"")</f>
        <v/>
      </c>
    </row>
    <row r="1170" spans="1:8" x14ac:dyDescent="0.35">
      <c r="A1170" s="5" t="str">
        <f>IFERROR(IF(Portafolio_Proyectos!$AQ390="","","CAP-"&amp;ROW()-1),"")</f>
        <v/>
      </c>
      <c r="B1170" s="5" t="str">
        <f>IFERROR(IF(Portafolio_Proyectos!$AQ390="","",Portafolio_Proyectos!$AQ390),"")</f>
        <v/>
      </c>
      <c r="C1170" s="5" t="str">
        <f>IFERROR(IF(Portafolio_Proyectos!$AQ390="","","Consolidada"),"")</f>
        <v/>
      </c>
      <c r="D1170" s="5" t="str">
        <f>IFERROR(IF(Portafolio_Proyectos!$AQ390="","",Portafolio_Proyectos!$C390),"")</f>
        <v/>
      </c>
      <c r="E1170" s="5" t="str">
        <f>IFERROR(IF(Portafolio_Proyectos!$AQ390="","",Portafolio_Proyectos!$B390),"")</f>
        <v/>
      </c>
      <c r="F1170" s="5" t="str">
        <f>IFERROR(IF(Portafolio_Proyectos!$AQ390="","",Portafolio_Proyectos!$D390),"")</f>
        <v/>
      </c>
      <c r="G1170" s="5" t="str">
        <f>IFERROR(IF(Portafolio_Proyectos!$AQ390="","",Portafolio_Proyectos!$A390),"")</f>
        <v/>
      </c>
      <c r="H1170" s="5" t="str">
        <f>IFERROR(IF(Portafolio_Proyectos!$AQ390="","",Portafolio_Proyectos!$E390),"")</f>
        <v/>
      </c>
    </row>
    <row r="1171" spans="1:8" x14ac:dyDescent="0.35">
      <c r="A1171" s="5" t="str">
        <f>IFERROR(IF(Portafolio_Proyectos!$AR390="","","CAP-"&amp;ROW()-1),"")</f>
        <v/>
      </c>
      <c r="B1171" s="5" t="str">
        <f>IFERROR(IF(Portafolio_Proyectos!$AR390="","",Portafolio_Proyectos!$AR390),"")</f>
        <v/>
      </c>
      <c r="C1171" s="5" t="str">
        <f>IFERROR(IF(Portafolio_Proyectos!$AR390="","","Distintiva"),"")</f>
        <v/>
      </c>
      <c r="D1171" s="5" t="str">
        <f>IFERROR(IF(Portafolio_Proyectos!$AR390="","",Portafolio_Proyectos!$C390),"")</f>
        <v/>
      </c>
      <c r="E1171" s="5" t="str">
        <f>IFERROR(IF(Portafolio_Proyectos!$AR390="","",Portafolio_Proyectos!$B390),"")</f>
        <v/>
      </c>
      <c r="F1171" s="5" t="str">
        <f>IFERROR(IF(Portafolio_Proyectos!$AR390="","",Portafolio_Proyectos!$D390),"")</f>
        <v/>
      </c>
      <c r="G1171" s="5" t="str">
        <f>IFERROR(IF(Portafolio_Proyectos!$AR390="","",Portafolio_Proyectos!$A390),"")</f>
        <v/>
      </c>
      <c r="H1171" s="5" t="str">
        <f>IFERROR(IF(Portafolio_Proyectos!$AR390="","",Portafolio_Proyectos!$E390),"")</f>
        <v/>
      </c>
    </row>
    <row r="1172" spans="1:8" x14ac:dyDescent="0.35">
      <c r="A1172" s="5" t="str">
        <f>IFERROR(IF(Portafolio_Proyectos!$AP391="","","CAP-"&amp;ROW()-1),"")</f>
        <v/>
      </c>
      <c r="B1172" s="5" t="str">
        <f>IFERROR(IF(Portafolio_Proyectos!$AP391="","",Portafolio_Proyectos!$AP391),"")</f>
        <v/>
      </c>
      <c r="C1172" s="5" t="str">
        <f>IFERROR(IF(Portafolio_Proyectos!$AP391="","","Emergente"),"")</f>
        <v/>
      </c>
      <c r="D1172" s="5" t="str">
        <f>IFERROR(IF(Portafolio_Proyectos!$AP391="","",Portafolio_Proyectos!$C391),"")</f>
        <v/>
      </c>
      <c r="E1172" s="5" t="str">
        <f>IFERROR(IF(Portafolio_Proyectos!$AP391="","",Portafolio_Proyectos!$B391),"")</f>
        <v/>
      </c>
      <c r="F1172" s="5" t="str">
        <f>IFERROR(IF(Portafolio_Proyectos!$AP391="","",Portafolio_Proyectos!$D391),"")</f>
        <v/>
      </c>
      <c r="G1172" s="5" t="str">
        <f>IFERROR(IF(Portafolio_Proyectos!$AP391="","",Portafolio_Proyectos!$A391),"")</f>
        <v/>
      </c>
      <c r="H1172" s="5" t="str">
        <f>IFERROR(IF(Portafolio_Proyectos!$AP391="","",Portafolio_Proyectos!$E391),"")</f>
        <v/>
      </c>
    </row>
    <row r="1173" spans="1:8" x14ac:dyDescent="0.35">
      <c r="A1173" s="5" t="str">
        <f>IFERROR(IF(Portafolio_Proyectos!$AQ391="","","CAP-"&amp;ROW()-1),"")</f>
        <v/>
      </c>
      <c r="B1173" s="5" t="str">
        <f>IFERROR(IF(Portafolio_Proyectos!$AQ391="","",Portafolio_Proyectos!$AQ391),"")</f>
        <v/>
      </c>
      <c r="C1173" s="5" t="str">
        <f>IFERROR(IF(Portafolio_Proyectos!$AQ391="","","Consolidada"),"")</f>
        <v/>
      </c>
      <c r="D1173" s="5" t="str">
        <f>IFERROR(IF(Portafolio_Proyectos!$AQ391="","",Portafolio_Proyectos!$C391),"")</f>
        <v/>
      </c>
      <c r="E1173" s="5" t="str">
        <f>IFERROR(IF(Portafolio_Proyectos!$AQ391="","",Portafolio_Proyectos!$B391),"")</f>
        <v/>
      </c>
      <c r="F1173" s="5" t="str">
        <f>IFERROR(IF(Portafolio_Proyectos!$AQ391="","",Portafolio_Proyectos!$D391),"")</f>
        <v/>
      </c>
      <c r="G1173" s="5" t="str">
        <f>IFERROR(IF(Portafolio_Proyectos!$AQ391="","",Portafolio_Proyectos!$A391),"")</f>
        <v/>
      </c>
      <c r="H1173" s="5" t="str">
        <f>IFERROR(IF(Portafolio_Proyectos!$AQ391="","",Portafolio_Proyectos!$E391),"")</f>
        <v/>
      </c>
    </row>
    <row r="1174" spans="1:8" x14ac:dyDescent="0.35">
      <c r="A1174" s="5" t="str">
        <f>IFERROR(IF(Portafolio_Proyectos!$AR391="","","CAP-"&amp;ROW()-1),"")</f>
        <v/>
      </c>
      <c r="B1174" s="5" t="str">
        <f>IFERROR(IF(Portafolio_Proyectos!$AR391="","",Portafolio_Proyectos!$AR391),"")</f>
        <v/>
      </c>
      <c r="C1174" s="5" t="str">
        <f>IFERROR(IF(Portafolio_Proyectos!$AR391="","","Distintiva"),"")</f>
        <v/>
      </c>
      <c r="D1174" s="5" t="str">
        <f>IFERROR(IF(Portafolio_Proyectos!$AR391="","",Portafolio_Proyectos!$C391),"")</f>
        <v/>
      </c>
      <c r="E1174" s="5" t="str">
        <f>IFERROR(IF(Portafolio_Proyectos!$AR391="","",Portafolio_Proyectos!$B391),"")</f>
        <v/>
      </c>
      <c r="F1174" s="5" t="str">
        <f>IFERROR(IF(Portafolio_Proyectos!$AR391="","",Portafolio_Proyectos!$D391),"")</f>
        <v/>
      </c>
      <c r="G1174" s="5" t="str">
        <f>IFERROR(IF(Portafolio_Proyectos!$AR391="","",Portafolio_Proyectos!$A391),"")</f>
        <v/>
      </c>
      <c r="H1174" s="5" t="str">
        <f>IFERROR(IF(Portafolio_Proyectos!$AR391="","",Portafolio_Proyectos!$E391),"")</f>
        <v/>
      </c>
    </row>
    <row r="1175" spans="1:8" x14ac:dyDescent="0.35">
      <c r="A1175" s="5" t="str">
        <f>IFERROR(IF(Portafolio_Proyectos!$AP392="","","CAP-"&amp;ROW()-1),"")</f>
        <v/>
      </c>
      <c r="B1175" s="5" t="str">
        <f>IFERROR(IF(Portafolio_Proyectos!$AP392="","",Portafolio_Proyectos!$AP392),"")</f>
        <v/>
      </c>
      <c r="C1175" s="5" t="str">
        <f>IFERROR(IF(Portafolio_Proyectos!$AP392="","","Emergente"),"")</f>
        <v/>
      </c>
      <c r="D1175" s="5" t="str">
        <f>IFERROR(IF(Portafolio_Proyectos!$AP392="","",Portafolio_Proyectos!$C392),"")</f>
        <v/>
      </c>
      <c r="E1175" s="5" t="str">
        <f>IFERROR(IF(Portafolio_Proyectos!$AP392="","",Portafolio_Proyectos!$B392),"")</f>
        <v/>
      </c>
      <c r="F1175" s="5" t="str">
        <f>IFERROR(IF(Portafolio_Proyectos!$AP392="","",Portafolio_Proyectos!$D392),"")</f>
        <v/>
      </c>
      <c r="G1175" s="5" t="str">
        <f>IFERROR(IF(Portafolio_Proyectos!$AP392="","",Portafolio_Proyectos!$A392),"")</f>
        <v/>
      </c>
      <c r="H1175" s="5" t="str">
        <f>IFERROR(IF(Portafolio_Proyectos!$AP392="","",Portafolio_Proyectos!$E392),"")</f>
        <v/>
      </c>
    </row>
    <row r="1176" spans="1:8" x14ac:dyDescent="0.35">
      <c r="A1176" s="5" t="str">
        <f>IFERROR(IF(Portafolio_Proyectos!$AQ392="","","CAP-"&amp;ROW()-1),"")</f>
        <v/>
      </c>
      <c r="B1176" s="5" t="str">
        <f>IFERROR(IF(Portafolio_Proyectos!$AQ392="","",Portafolio_Proyectos!$AQ392),"")</f>
        <v/>
      </c>
      <c r="C1176" s="5" t="str">
        <f>IFERROR(IF(Portafolio_Proyectos!$AQ392="","","Consolidada"),"")</f>
        <v/>
      </c>
      <c r="D1176" s="5" t="str">
        <f>IFERROR(IF(Portafolio_Proyectos!$AQ392="","",Portafolio_Proyectos!$C392),"")</f>
        <v/>
      </c>
      <c r="E1176" s="5" t="str">
        <f>IFERROR(IF(Portafolio_Proyectos!$AQ392="","",Portafolio_Proyectos!$B392),"")</f>
        <v/>
      </c>
      <c r="F1176" s="5" t="str">
        <f>IFERROR(IF(Portafolio_Proyectos!$AQ392="","",Portafolio_Proyectos!$D392),"")</f>
        <v/>
      </c>
      <c r="G1176" s="5" t="str">
        <f>IFERROR(IF(Portafolio_Proyectos!$AQ392="","",Portafolio_Proyectos!$A392),"")</f>
        <v/>
      </c>
      <c r="H1176" s="5" t="str">
        <f>IFERROR(IF(Portafolio_Proyectos!$AQ392="","",Portafolio_Proyectos!$E392),"")</f>
        <v/>
      </c>
    </row>
    <row r="1177" spans="1:8" x14ac:dyDescent="0.35">
      <c r="A1177" s="5" t="str">
        <f>IFERROR(IF(Portafolio_Proyectos!$AR392="","","CAP-"&amp;ROW()-1),"")</f>
        <v/>
      </c>
      <c r="B1177" s="5" t="str">
        <f>IFERROR(IF(Portafolio_Proyectos!$AR392="","",Portafolio_Proyectos!$AR392),"")</f>
        <v/>
      </c>
      <c r="C1177" s="5" t="str">
        <f>IFERROR(IF(Portafolio_Proyectos!$AR392="","","Distintiva"),"")</f>
        <v/>
      </c>
      <c r="D1177" s="5" t="str">
        <f>IFERROR(IF(Portafolio_Proyectos!$AR392="","",Portafolio_Proyectos!$C392),"")</f>
        <v/>
      </c>
      <c r="E1177" s="5" t="str">
        <f>IFERROR(IF(Portafolio_Proyectos!$AR392="","",Portafolio_Proyectos!$B392),"")</f>
        <v/>
      </c>
      <c r="F1177" s="5" t="str">
        <f>IFERROR(IF(Portafolio_Proyectos!$AR392="","",Portafolio_Proyectos!$D392),"")</f>
        <v/>
      </c>
      <c r="G1177" s="5" t="str">
        <f>IFERROR(IF(Portafolio_Proyectos!$AR392="","",Portafolio_Proyectos!$A392),"")</f>
        <v/>
      </c>
      <c r="H1177" s="5" t="str">
        <f>IFERROR(IF(Portafolio_Proyectos!$AR392="","",Portafolio_Proyectos!$E392),"")</f>
        <v/>
      </c>
    </row>
    <row r="1178" spans="1:8" x14ac:dyDescent="0.35">
      <c r="A1178" s="5" t="str">
        <f>IFERROR(IF(Portafolio_Proyectos!$AP393="","","CAP-"&amp;ROW()-1),"")</f>
        <v/>
      </c>
      <c r="B1178" s="5" t="str">
        <f>IFERROR(IF(Portafolio_Proyectos!$AP393="","",Portafolio_Proyectos!$AP393),"")</f>
        <v/>
      </c>
      <c r="C1178" s="5" t="str">
        <f>IFERROR(IF(Portafolio_Proyectos!$AP393="","","Emergente"),"")</f>
        <v/>
      </c>
      <c r="D1178" s="5" t="str">
        <f>IFERROR(IF(Portafolio_Proyectos!$AP393="","",Portafolio_Proyectos!$C393),"")</f>
        <v/>
      </c>
      <c r="E1178" s="5" t="str">
        <f>IFERROR(IF(Portafolio_Proyectos!$AP393="","",Portafolio_Proyectos!$B393),"")</f>
        <v/>
      </c>
      <c r="F1178" s="5" t="str">
        <f>IFERROR(IF(Portafolio_Proyectos!$AP393="","",Portafolio_Proyectos!$D393),"")</f>
        <v/>
      </c>
      <c r="G1178" s="5" t="str">
        <f>IFERROR(IF(Portafolio_Proyectos!$AP393="","",Portafolio_Proyectos!$A393),"")</f>
        <v/>
      </c>
      <c r="H1178" s="5" t="str">
        <f>IFERROR(IF(Portafolio_Proyectos!$AP393="","",Portafolio_Proyectos!$E393),"")</f>
        <v/>
      </c>
    </row>
    <row r="1179" spans="1:8" x14ac:dyDescent="0.35">
      <c r="A1179" s="5" t="str">
        <f>IFERROR(IF(Portafolio_Proyectos!$AQ393="","","CAP-"&amp;ROW()-1),"")</f>
        <v/>
      </c>
      <c r="B1179" s="5" t="str">
        <f>IFERROR(IF(Portafolio_Proyectos!$AQ393="","",Portafolio_Proyectos!$AQ393),"")</f>
        <v/>
      </c>
      <c r="C1179" s="5" t="str">
        <f>IFERROR(IF(Portafolio_Proyectos!$AQ393="","","Consolidada"),"")</f>
        <v/>
      </c>
      <c r="D1179" s="5" t="str">
        <f>IFERROR(IF(Portafolio_Proyectos!$AQ393="","",Portafolio_Proyectos!$C393),"")</f>
        <v/>
      </c>
      <c r="E1179" s="5" t="str">
        <f>IFERROR(IF(Portafolio_Proyectos!$AQ393="","",Portafolio_Proyectos!$B393),"")</f>
        <v/>
      </c>
      <c r="F1179" s="5" t="str">
        <f>IFERROR(IF(Portafolio_Proyectos!$AQ393="","",Portafolio_Proyectos!$D393),"")</f>
        <v/>
      </c>
      <c r="G1179" s="5" t="str">
        <f>IFERROR(IF(Portafolio_Proyectos!$AQ393="","",Portafolio_Proyectos!$A393),"")</f>
        <v/>
      </c>
      <c r="H1179" s="5" t="str">
        <f>IFERROR(IF(Portafolio_Proyectos!$AQ393="","",Portafolio_Proyectos!$E393),"")</f>
        <v/>
      </c>
    </row>
    <row r="1180" spans="1:8" x14ac:dyDescent="0.35">
      <c r="A1180" s="5" t="str">
        <f>IFERROR(IF(Portafolio_Proyectos!$AR393="","","CAP-"&amp;ROW()-1),"")</f>
        <v/>
      </c>
      <c r="B1180" s="5" t="str">
        <f>IFERROR(IF(Portafolio_Proyectos!$AR393="","",Portafolio_Proyectos!$AR393),"")</f>
        <v/>
      </c>
      <c r="C1180" s="5" t="str">
        <f>IFERROR(IF(Portafolio_Proyectos!$AR393="","","Distintiva"),"")</f>
        <v/>
      </c>
      <c r="D1180" s="5" t="str">
        <f>IFERROR(IF(Portafolio_Proyectos!$AR393="","",Portafolio_Proyectos!$C393),"")</f>
        <v/>
      </c>
      <c r="E1180" s="5" t="str">
        <f>IFERROR(IF(Portafolio_Proyectos!$AR393="","",Portafolio_Proyectos!$B393),"")</f>
        <v/>
      </c>
      <c r="F1180" s="5" t="str">
        <f>IFERROR(IF(Portafolio_Proyectos!$AR393="","",Portafolio_Proyectos!$D393),"")</f>
        <v/>
      </c>
      <c r="G1180" s="5" t="str">
        <f>IFERROR(IF(Portafolio_Proyectos!$AR393="","",Portafolio_Proyectos!$A393),"")</f>
        <v/>
      </c>
      <c r="H1180" s="5" t="str">
        <f>IFERROR(IF(Portafolio_Proyectos!$AR393="","",Portafolio_Proyectos!$E393),"")</f>
        <v/>
      </c>
    </row>
    <row r="1181" spans="1:8" x14ac:dyDescent="0.35">
      <c r="A1181" s="5" t="str">
        <f>IFERROR(IF(Portafolio_Proyectos!$AP394="","","CAP-"&amp;ROW()-1),"")</f>
        <v/>
      </c>
      <c r="B1181" s="5" t="str">
        <f>IFERROR(IF(Portafolio_Proyectos!$AP394="","",Portafolio_Proyectos!$AP394),"")</f>
        <v/>
      </c>
      <c r="C1181" s="5" t="str">
        <f>IFERROR(IF(Portafolio_Proyectos!$AP394="","","Emergente"),"")</f>
        <v/>
      </c>
      <c r="D1181" s="5" t="str">
        <f>IFERROR(IF(Portafolio_Proyectos!$AP394="","",Portafolio_Proyectos!$C394),"")</f>
        <v/>
      </c>
      <c r="E1181" s="5" t="str">
        <f>IFERROR(IF(Portafolio_Proyectos!$AP394="","",Portafolio_Proyectos!$B394),"")</f>
        <v/>
      </c>
      <c r="F1181" s="5" t="str">
        <f>IFERROR(IF(Portafolio_Proyectos!$AP394="","",Portafolio_Proyectos!$D394),"")</f>
        <v/>
      </c>
      <c r="G1181" s="5" t="str">
        <f>IFERROR(IF(Portafolio_Proyectos!$AP394="","",Portafolio_Proyectos!$A394),"")</f>
        <v/>
      </c>
      <c r="H1181" s="5" t="str">
        <f>IFERROR(IF(Portafolio_Proyectos!$AP394="","",Portafolio_Proyectos!$E394),"")</f>
        <v/>
      </c>
    </row>
    <row r="1182" spans="1:8" x14ac:dyDescent="0.35">
      <c r="A1182" s="5" t="str">
        <f>IFERROR(IF(Portafolio_Proyectos!$AQ394="","","CAP-"&amp;ROW()-1),"")</f>
        <v/>
      </c>
      <c r="B1182" s="5" t="str">
        <f>IFERROR(IF(Portafolio_Proyectos!$AQ394="","",Portafolio_Proyectos!$AQ394),"")</f>
        <v/>
      </c>
      <c r="C1182" s="5" t="str">
        <f>IFERROR(IF(Portafolio_Proyectos!$AQ394="","","Consolidada"),"")</f>
        <v/>
      </c>
      <c r="D1182" s="5" t="str">
        <f>IFERROR(IF(Portafolio_Proyectos!$AQ394="","",Portafolio_Proyectos!$C394),"")</f>
        <v/>
      </c>
      <c r="E1182" s="5" t="str">
        <f>IFERROR(IF(Portafolio_Proyectos!$AQ394="","",Portafolio_Proyectos!$B394),"")</f>
        <v/>
      </c>
      <c r="F1182" s="5" t="str">
        <f>IFERROR(IF(Portafolio_Proyectos!$AQ394="","",Portafolio_Proyectos!$D394),"")</f>
        <v/>
      </c>
      <c r="G1182" s="5" t="str">
        <f>IFERROR(IF(Portafolio_Proyectos!$AQ394="","",Portafolio_Proyectos!$A394),"")</f>
        <v/>
      </c>
      <c r="H1182" s="5" t="str">
        <f>IFERROR(IF(Portafolio_Proyectos!$AQ394="","",Portafolio_Proyectos!$E394),"")</f>
        <v/>
      </c>
    </row>
    <row r="1183" spans="1:8" x14ac:dyDescent="0.35">
      <c r="A1183" s="5" t="str">
        <f>IFERROR(IF(Portafolio_Proyectos!$AR394="","","CAP-"&amp;ROW()-1),"")</f>
        <v/>
      </c>
      <c r="B1183" s="5" t="str">
        <f>IFERROR(IF(Portafolio_Proyectos!$AR394="","",Portafolio_Proyectos!$AR394),"")</f>
        <v/>
      </c>
      <c r="C1183" s="5" t="str">
        <f>IFERROR(IF(Portafolio_Proyectos!$AR394="","","Distintiva"),"")</f>
        <v/>
      </c>
      <c r="D1183" s="5" t="str">
        <f>IFERROR(IF(Portafolio_Proyectos!$AR394="","",Portafolio_Proyectos!$C394),"")</f>
        <v/>
      </c>
      <c r="E1183" s="5" t="str">
        <f>IFERROR(IF(Portafolio_Proyectos!$AR394="","",Portafolio_Proyectos!$B394),"")</f>
        <v/>
      </c>
      <c r="F1183" s="5" t="str">
        <f>IFERROR(IF(Portafolio_Proyectos!$AR394="","",Portafolio_Proyectos!$D394),"")</f>
        <v/>
      </c>
      <c r="G1183" s="5" t="str">
        <f>IFERROR(IF(Portafolio_Proyectos!$AR394="","",Portafolio_Proyectos!$A394),"")</f>
        <v/>
      </c>
      <c r="H1183" s="5" t="str">
        <f>IFERROR(IF(Portafolio_Proyectos!$AR394="","",Portafolio_Proyectos!$E394),"")</f>
        <v/>
      </c>
    </row>
    <row r="1184" spans="1:8" x14ac:dyDescent="0.35">
      <c r="A1184" s="5" t="str">
        <f>IFERROR(IF(Portafolio_Proyectos!$AP395="","","CAP-"&amp;ROW()-1),"")</f>
        <v/>
      </c>
      <c r="B1184" s="5" t="str">
        <f>IFERROR(IF(Portafolio_Proyectos!$AP395="","",Portafolio_Proyectos!$AP395),"")</f>
        <v/>
      </c>
      <c r="C1184" s="5" t="str">
        <f>IFERROR(IF(Portafolio_Proyectos!$AP395="","","Emergente"),"")</f>
        <v/>
      </c>
      <c r="D1184" s="5" t="str">
        <f>IFERROR(IF(Portafolio_Proyectos!$AP395="","",Portafolio_Proyectos!$C395),"")</f>
        <v/>
      </c>
      <c r="E1184" s="5" t="str">
        <f>IFERROR(IF(Portafolio_Proyectos!$AP395="","",Portafolio_Proyectos!$B395),"")</f>
        <v/>
      </c>
      <c r="F1184" s="5" t="str">
        <f>IFERROR(IF(Portafolio_Proyectos!$AP395="","",Portafolio_Proyectos!$D395),"")</f>
        <v/>
      </c>
      <c r="G1184" s="5" t="str">
        <f>IFERROR(IF(Portafolio_Proyectos!$AP395="","",Portafolio_Proyectos!$A395),"")</f>
        <v/>
      </c>
      <c r="H1184" s="5" t="str">
        <f>IFERROR(IF(Portafolio_Proyectos!$AP395="","",Portafolio_Proyectos!$E395),"")</f>
        <v/>
      </c>
    </row>
    <row r="1185" spans="1:8" x14ac:dyDescent="0.35">
      <c r="A1185" s="5" t="str">
        <f>IFERROR(IF(Portafolio_Proyectos!$AQ395="","","CAP-"&amp;ROW()-1),"")</f>
        <v/>
      </c>
      <c r="B1185" s="5" t="str">
        <f>IFERROR(IF(Portafolio_Proyectos!$AQ395="","",Portafolio_Proyectos!$AQ395),"")</f>
        <v/>
      </c>
      <c r="C1185" s="5" t="str">
        <f>IFERROR(IF(Portafolio_Proyectos!$AQ395="","","Consolidada"),"")</f>
        <v/>
      </c>
      <c r="D1185" s="5" t="str">
        <f>IFERROR(IF(Portafolio_Proyectos!$AQ395="","",Portafolio_Proyectos!$C395),"")</f>
        <v/>
      </c>
      <c r="E1185" s="5" t="str">
        <f>IFERROR(IF(Portafolio_Proyectos!$AQ395="","",Portafolio_Proyectos!$B395),"")</f>
        <v/>
      </c>
      <c r="F1185" s="5" t="str">
        <f>IFERROR(IF(Portafolio_Proyectos!$AQ395="","",Portafolio_Proyectos!$D395),"")</f>
        <v/>
      </c>
      <c r="G1185" s="5" t="str">
        <f>IFERROR(IF(Portafolio_Proyectos!$AQ395="","",Portafolio_Proyectos!$A395),"")</f>
        <v/>
      </c>
      <c r="H1185" s="5" t="str">
        <f>IFERROR(IF(Portafolio_Proyectos!$AQ395="","",Portafolio_Proyectos!$E395),"")</f>
        <v/>
      </c>
    </row>
    <row r="1186" spans="1:8" x14ac:dyDescent="0.35">
      <c r="A1186" s="5" t="str">
        <f>IFERROR(IF(Portafolio_Proyectos!$AR395="","","CAP-"&amp;ROW()-1),"")</f>
        <v/>
      </c>
      <c r="B1186" s="5" t="str">
        <f>IFERROR(IF(Portafolio_Proyectos!$AR395="","",Portafolio_Proyectos!$AR395),"")</f>
        <v/>
      </c>
      <c r="C1186" s="5" t="str">
        <f>IFERROR(IF(Portafolio_Proyectos!$AR395="","","Distintiva"),"")</f>
        <v/>
      </c>
      <c r="D1186" s="5" t="str">
        <f>IFERROR(IF(Portafolio_Proyectos!$AR395="","",Portafolio_Proyectos!$C395),"")</f>
        <v/>
      </c>
      <c r="E1186" s="5" t="str">
        <f>IFERROR(IF(Portafolio_Proyectos!$AR395="","",Portafolio_Proyectos!$B395),"")</f>
        <v/>
      </c>
      <c r="F1186" s="5" t="str">
        <f>IFERROR(IF(Portafolio_Proyectos!$AR395="","",Portafolio_Proyectos!$D395),"")</f>
        <v/>
      </c>
      <c r="G1186" s="5" t="str">
        <f>IFERROR(IF(Portafolio_Proyectos!$AR395="","",Portafolio_Proyectos!$A395),"")</f>
        <v/>
      </c>
      <c r="H1186" s="5" t="str">
        <f>IFERROR(IF(Portafolio_Proyectos!$AR395="","",Portafolio_Proyectos!$E395),"")</f>
        <v/>
      </c>
    </row>
    <row r="1187" spans="1:8" x14ac:dyDescent="0.35">
      <c r="A1187" s="5" t="str">
        <f>IFERROR(IF(Portafolio_Proyectos!$AP396="","","CAP-"&amp;ROW()-1),"")</f>
        <v/>
      </c>
      <c r="B1187" s="5" t="str">
        <f>IFERROR(IF(Portafolio_Proyectos!$AP396="","",Portafolio_Proyectos!$AP396),"")</f>
        <v/>
      </c>
      <c r="C1187" s="5" t="str">
        <f>IFERROR(IF(Portafolio_Proyectos!$AP396="","","Emergente"),"")</f>
        <v/>
      </c>
      <c r="D1187" s="5" t="str">
        <f>IFERROR(IF(Portafolio_Proyectos!$AP396="","",Portafolio_Proyectos!$C396),"")</f>
        <v/>
      </c>
      <c r="E1187" s="5" t="str">
        <f>IFERROR(IF(Portafolio_Proyectos!$AP396="","",Portafolio_Proyectos!$B396),"")</f>
        <v/>
      </c>
      <c r="F1187" s="5" t="str">
        <f>IFERROR(IF(Portafolio_Proyectos!$AP396="","",Portafolio_Proyectos!$D396),"")</f>
        <v/>
      </c>
      <c r="G1187" s="5" t="str">
        <f>IFERROR(IF(Portafolio_Proyectos!$AP396="","",Portafolio_Proyectos!$A396),"")</f>
        <v/>
      </c>
      <c r="H1187" s="5" t="str">
        <f>IFERROR(IF(Portafolio_Proyectos!$AP396="","",Portafolio_Proyectos!$E396),"")</f>
        <v/>
      </c>
    </row>
    <row r="1188" spans="1:8" x14ac:dyDescent="0.35">
      <c r="A1188" s="5" t="str">
        <f>IFERROR(IF(Portafolio_Proyectos!$AQ396="","","CAP-"&amp;ROW()-1),"")</f>
        <v/>
      </c>
      <c r="B1188" s="5" t="str">
        <f>IFERROR(IF(Portafolio_Proyectos!$AQ396="","",Portafolio_Proyectos!$AQ396),"")</f>
        <v/>
      </c>
      <c r="C1188" s="5" t="str">
        <f>IFERROR(IF(Portafolio_Proyectos!$AQ396="","","Consolidada"),"")</f>
        <v/>
      </c>
      <c r="D1188" s="5" t="str">
        <f>IFERROR(IF(Portafolio_Proyectos!$AQ396="","",Portafolio_Proyectos!$C396),"")</f>
        <v/>
      </c>
      <c r="E1188" s="5" t="str">
        <f>IFERROR(IF(Portafolio_Proyectos!$AQ396="","",Portafolio_Proyectos!$B396),"")</f>
        <v/>
      </c>
      <c r="F1188" s="5" t="str">
        <f>IFERROR(IF(Portafolio_Proyectos!$AQ396="","",Portafolio_Proyectos!$D396),"")</f>
        <v/>
      </c>
      <c r="G1188" s="5" t="str">
        <f>IFERROR(IF(Portafolio_Proyectos!$AQ396="","",Portafolio_Proyectos!$A396),"")</f>
        <v/>
      </c>
      <c r="H1188" s="5" t="str">
        <f>IFERROR(IF(Portafolio_Proyectos!$AQ396="","",Portafolio_Proyectos!$E396),"")</f>
        <v/>
      </c>
    </row>
    <row r="1189" spans="1:8" x14ac:dyDescent="0.35">
      <c r="A1189" s="5" t="str">
        <f>IFERROR(IF(Portafolio_Proyectos!$AR396="","","CAP-"&amp;ROW()-1),"")</f>
        <v/>
      </c>
      <c r="B1189" s="5" t="str">
        <f>IFERROR(IF(Portafolio_Proyectos!$AR396="","",Portafolio_Proyectos!$AR396),"")</f>
        <v/>
      </c>
      <c r="C1189" s="5" t="str">
        <f>IFERROR(IF(Portafolio_Proyectos!$AR396="","","Distintiva"),"")</f>
        <v/>
      </c>
      <c r="D1189" s="5" t="str">
        <f>IFERROR(IF(Portafolio_Proyectos!$AR396="","",Portafolio_Proyectos!$C396),"")</f>
        <v/>
      </c>
      <c r="E1189" s="5" t="str">
        <f>IFERROR(IF(Portafolio_Proyectos!$AR396="","",Portafolio_Proyectos!$B396),"")</f>
        <v/>
      </c>
      <c r="F1189" s="5" t="str">
        <f>IFERROR(IF(Portafolio_Proyectos!$AR396="","",Portafolio_Proyectos!$D396),"")</f>
        <v/>
      </c>
      <c r="G1189" s="5" t="str">
        <f>IFERROR(IF(Portafolio_Proyectos!$AR396="","",Portafolio_Proyectos!$A396),"")</f>
        <v/>
      </c>
      <c r="H1189" s="5" t="str">
        <f>IFERROR(IF(Portafolio_Proyectos!$AR396="","",Portafolio_Proyectos!$E396),"")</f>
        <v/>
      </c>
    </row>
    <row r="1190" spans="1:8" x14ac:dyDescent="0.35">
      <c r="A1190" s="5" t="str">
        <f>IFERROR(IF(Portafolio_Proyectos!$AP397="","","CAP-"&amp;ROW()-1),"")</f>
        <v/>
      </c>
      <c r="B1190" s="5" t="str">
        <f>IFERROR(IF(Portafolio_Proyectos!$AP397="","",Portafolio_Proyectos!$AP397),"")</f>
        <v/>
      </c>
      <c r="C1190" s="5" t="str">
        <f>IFERROR(IF(Portafolio_Proyectos!$AP397="","","Emergente"),"")</f>
        <v/>
      </c>
      <c r="D1190" s="5" t="str">
        <f>IFERROR(IF(Portafolio_Proyectos!$AP397="","",Portafolio_Proyectos!$C397),"")</f>
        <v/>
      </c>
      <c r="E1190" s="5" t="str">
        <f>IFERROR(IF(Portafolio_Proyectos!$AP397="","",Portafolio_Proyectos!$B397),"")</f>
        <v/>
      </c>
      <c r="F1190" s="5" t="str">
        <f>IFERROR(IF(Portafolio_Proyectos!$AP397="","",Portafolio_Proyectos!$D397),"")</f>
        <v/>
      </c>
      <c r="G1190" s="5" t="str">
        <f>IFERROR(IF(Portafolio_Proyectos!$AP397="","",Portafolio_Proyectos!$A397),"")</f>
        <v/>
      </c>
      <c r="H1190" s="5" t="str">
        <f>IFERROR(IF(Portafolio_Proyectos!$AP397="","",Portafolio_Proyectos!$E397),"")</f>
        <v/>
      </c>
    </row>
    <row r="1191" spans="1:8" x14ac:dyDescent="0.35">
      <c r="A1191" s="5" t="str">
        <f>IFERROR(IF(Portafolio_Proyectos!$AQ397="","","CAP-"&amp;ROW()-1),"")</f>
        <v/>
      </c>
      <c r="B1191" s="5" t="str">
        <f>IFERROR(IF(Portafolio_Proyectos!$AQ397="","",Portafolio_Proyectos!$AQ397),"")</f>
        <v/>
      </c>
      <c r="C1191" s="5" t="str">
        <f>IFERROR(IF(Portafolio_Proyectos!$AQ397="","","Consolidada"),"")</f>
        <v/>
      </c>
      <c r="D1191" s="5" t="str">
        <f>IFERROR(IF(Portafolio_Proyectos!$AQ397="","",Portafolio_Proyectos!$C397),"")</f>
        <v/>
      </c>
      <c r="E1191" s="5" t="str">
        <f>IFERROR(IF(Portafolio_Proyectos!$AQ397="","",Portafolio_Proyectos!$B397),"")</f>
        <v/>
      </c>
      <c r="F1191" s="5" t="str">
        <f>IFERROR(IF(Portafolio_Proyectos!$AQ397="","",Portafolio_Proyectos!$D397),"")</f>
        <v/>
      </c>
      <c r="G1191" s="5" t="str">
        <f>IFERROR(IF(Portafolio_Proyectos!$AQ397="","",Portafolio_Proyectos!$A397),"")</f>
        <v/>
      </c>
      <c r="H1191" s="5" t="str">
        <f>IFERROR(IF(Portafolio_Proyectos!$AQ397="","",Portafolio_Proyectos!$E397),"")</f>
        <v/>
      </c>
    </row>
    <row r="1192" spans="1:8" x14ac:dyDescent="0.35">
      <c r="A1192" s="5" t="str">
        <f>IFERROR(IF(Portafolio_Proyectos!$AR397="","","CAP-"&amp;ROW()-1),"")</f>
        <v/>
      </c>
      <c r="B1192" s="5" t="str">
        <f>IFERROR(IF(Portafolio_Proyectos!$AR397="","",Portafolio_Proyectos!$AR397),"")</f>
        <v/>
      </c>
      <c r="C1192" s="5" t="str">
        <f>IFERROR(IF(Portafolio_Proyectos!$AR397="","","Distintiva"),"")</f>
        <v/>
      </c>
      <c r="D1192" s="5" t="str">
        <f>IFERROR(IF(Portafolio_Proyectos!$AR397="","",Portafolio_Proyectos!$C397),"")</f>
        <v/>
      </c>
      <c r="E1192" s="5" t="str">
        <f>IFERROR(IF(Portafolio_Proyectos!$AR397="","",Portafolio_Proyectos!$B397),"")</f>
        <v/>
      </c>
      <c r="F1192" s="5" t="str">
        <f>IFERROR(IF(Portafolio_Proyectos!$AR397="","",Portafolio_Proyectos!$D397),"")</f>
        <v/>
      </c>
      <c r="G1192" s="5" t="str">
        <f>IFERROR(IF(Portafolio_Proyectos!$AR397="","",Portafolio_Proyectos!$A397),"")</f>
        <v/>
      </c>
      <c r="H1192" s="5" t="str">
        <f>IFERROR(IF(Portafolio_Proyectos!$AR397="","",Portafolio_Proyectos!$E397),"")</f>
        <v/>
      </c>
    </row>
    <row r="1193" spans="1:8" x14ac:dyDescent="0.35">
      <c r="A1193" s="5" t="str">
        <f>IFERROR(IF(Portafolio_Proyectos!$AP398="","","CAP-"&amp;ROW()-1),"")</f>
        <v/>
      </c>
      <c r="B1193" s="5" t="str">
        <f>IFERROR(IF(Portafolio_Proyectos!$AP398="","",Portafolio_Proyectos!$AP398),"")</f>
        <v/>
      </c>
      <c r="C1193" s="5" t="str">
        <f>IFERROR(IF(Portafolio_Proyectos!$AP398="","","Emergente"),"")</f>
        <v/>
      </c>
      <c r="D1193" s="5" t="str">
        <f>IFERROR(IF(Portafolio_Proyectos!$AP398="","",Portafolio_Proyectos!$C398),"")</f>
        <v/>
      </c>
      <c r="E1193" s="5" t="str">
        <f>IFERROR(IF(Portafolio_Proyectos!$AP398="","",Portafolio_Proyectos!$B398),"")</f>
        <v/>
      </c>
      <c r="F1193" s="5" t="str">
        <f>IFERROR(IF(Portafolio_Proyectos!$AP398="","",Portafolio_Proyectos!$D398),"")</f>
        <v/>
      </c>
      <c r="G1193" s="5" t="str">
        <f>IFERROR(IF(Portafolio_Proyectos!$AP398="","",Portafolio_Proyectos!$A398),"")</f>
        <v/>
      </c>
      <c r="H1193" s="5" t="str">
        <f>IFERROR(IF(Portafolio_Proyectos!$AP398="","",Portafolio_Proyectos!$E398),"")</f>
        <v/>
      </c>
    </row>
    <row r="1194" spans="1:8" x14ac:dyDescent="0.35">
      <c r="A1194" s="5" t="str">
        <f>IFERROR(IF(Portafolio_Proyectos!$AQ398="","","CAP-"&amp;ROW()-1),"")</f>
        <v/>
      </c>
      <c r="B1194" s="5" t="str">
        <f>IFERROR(IF(Portafolio_Proyectos!$AQ398="","",Portafolio_Proyectos!$AQ398),"")</f>
        <v/>
      </c>
      <c r="C1194" s="5" t="str">
        <f>IFERROR(IF(Portafolio_Proyectos!$AQ398="","","Consolidada"),"")</f>
        <v/>
      </c>
      <c r="D1194" s="5" t="str">
        <f>IFERROR(IF(Portafolio_Proyectos!$AQ398="","",Portafolio_Proyectos!$C398),"")</f>
        <v/>
      </c>
      <c r="E1194" s="5" t="str">
        <f>IFERROR(IF(Portafolio_Proyectos!$AQ398="","",Portafolio_Proyectos!$B398),"")</f>
        <v/>
      </c>
      <c r="F1194" s="5" t="str">
        <f>IFERROR(IF(Portafolio_Proyectos!$AQ398="","",Portafolio_Proyectos!$D398),"")</f>
        <v/>
      </c>
      <c r="G1194" s="5" t="str">
        <f>IFERROR(IF(Portafolio_Proyectos!$AQ398="","",Portafolio_Proyectos!$A398),"")</f>
        <v/>
      </c>
      <c r="H1194" s="5" t="str">
        <f>IFERROR(IF(Portafolio_Proyectos!$AQ398="","",Portafolio_Proyectos!$E398),"")</f>
        <v/>
      </c>
    </row>
    <row r="1195" spans="1:8" x14ac:dyDescent="0.35">
      <c r="A1195" s="5" t="str">
        <f>IFERROR(IF(Portafolio_Proyectos!$AR398="","","CAP-"&amp;ROW()-1),"")</f>
        <v/>
      </c>
      <c r="B1195" s="5" t="str">
        <f>IFERROR(IF(Portafolio_Proyectos!$AR398="","",Portafolio_Proyectos!$AR398),"")</f>
        <v/>
      </c>
      <c r="C1195" s="5" t="str">
        <f>IFERROR(IF(Portafolio_Proyectos!$AR398="","","Distintiva"),"")</f>
        <v/>
      </c>
      <c r="D1195" s="5" t="str">
        <f>IFERROR(IF(Portafolio_Proyectos!$AR398="","",Portafolio_Proyectos!$C398),"")</f>
        <v/>
      </c>
      <c r="E1195" s="5" t="str">
        <f>IFERROR(IF(Portafolio_Proyectos!$AR398="","",Portafolio_Proyectos!$B398),"")</f>
        <v/>
      </c>
      <c r="F1195" s="5" t="str">
        <f>IFERROR(IF(Portafolio_Proyectos!$AR398="","",Portafolio_Proyectos!$D398),"")</f>
        <v/>
      </c>
      <c r="G1195" s="5" t="str">
        <f>IFERROR(IF(Portafolio_Proyectos!$AR398="","",Portafolio_Proyectos!$A398),"")</f>
        <v/>
      </c>
      <c r="H1195" s="5" t="str">
        <f>IFERROR(IF(Portafolio_Proyectos!$AR398="","",Portafolio_Proyectos!$E398),"")</f>
        <v/>
      </c>
    </row>
    <row r="1196" spans="1:8" x14ac:dyDescent="0.35">
      <c r="A1196" s="5" t="str">
        <f>IFERROR(IF(Portafolio_Proyectos!$AP399="","","CAP-"&amp;ROW()-1),"")</f>
        <v/>
      </c>
      <c r="B1196" s="5" t="str">
        <f>IFERROR(IF(Portafolio_Proyectos!$AP399="","",Portafolio_Proyectos!$AP399),"")</f>
        <v/>
      </c>
      <c r="C1196" s="5" t="str">
        <f>IFERROR(IF(Portafolio_Proyectos!$AP399="","","Emergente"),"")</f>
        <v/>
      </c>
      <c r="D1196" s="5" t="str">
        <f>IFERROR(IF(Portafolio_Proyectos!$AP399="","",Portafolio_Proyectos!$C399),"")</f>
        <v/>
      </c>
      <c r="E1196" s="5" t="str">
        <f>IFERROR(IF(Portafolio_Proyectos!$AP399="","",Portafolio_Proyectos!$B399),"")</f>
        <v/>
      </c>
      <c r="F1196" s="5" t="str">
        <f>IFERROR(IF(Portafolio_Proyectos!$AP399="","",Portafolio_Proyectos!$D399),"")</f>
        <v/>
      </c>
      <c r="G1196" s="5" t="str">
        <f>IFERROR(IF(Portafolio_Proyectos!$AP399="","",Portafolio_Proyectos!$A399),"")</f>
        <v/>
      </c>
      <c r="H1196" s="5" t="str">
        <f>IFERROR(IF(Portafolio_Proyectos!$AP399="","",Portafolio_Proyectos!$E399),"")</f>
        <v/>
      </c>
    </row>
    <row r="1197" spans="1:8" x14ac:dyDescent="0.35">
      <c r="A1197" s="5" t="str">
        <f>IFERROR(IF(Portafolio_Proyectos!$AQ399="","","CAP-"&amp;ROW()-1),"")</f>
        <v/>
      </c>
      <c r="B1197" s="5" t="str">
        <f>IFERROR(IF(Portafolio_Proyectos!$AQ399="","",Portafolio_Proyectos!$AQ399),"")</f>
        <v/>
      </c>
      <c r="C1197" s="5" t="str">
        <f>IFERROR(IF(Portafolio_Proyectos!$AQ399="","","Consolidada"),"")</f>
        <v/>
      </c>
      <c r="D1197" s="5" t="str">
        <f>IFERROR(IF(Portafolio_Proyectos!$AQ399="","",Portafolio_Proyectos!$C399),"")</f>
        <v/>
      </c>
      <c r="E1197" s="5" t="str">
        <f>IFERROR(IF(Portafolio_Proyectos!$AQ399="","",Portafolio_Proyectos!$B399),"")</f>
        <v/>
      </c>
      <c r="F1197" s="5" t="str">
        <f>IFERROR(IF(Portafolio_Proyectos!$AQ399="","",Portafolio_Proyectos!$D399),"")</f>
        <v/>
      </c>
      <c r="G1197" s="5" t="str">
        <f>IFERROR(IF(Portafolio_Proyectos!$AQ399="","",Portafolio_Proyectos!$A399),"")</f>
        <v/>
      </c>
      <c r="H1197" s="5" t="str">
        <f>IFERROR(IF(Portafolio_Proyectos!$AQ399="","",Portafolio_Proyectos!$E399),"")</f>
        <v/>
      </c>
    </row>
    <row r="1198" spans="1:8" x14ac:dyDescent="0.35">
      <c r="A1198" s="5" t="str">
        <f>IFERROR(IF(Portafolio_Proyectos!$AR399="","","CAP-"&amp;ROW()-1),"")</f>
        <v/>
      </c>
      <c r="B1198" s="5" t="str">
        <f>IFERROR(IF(Portafolio_Proyectos!$AR399="","",Portafolio_Proyectos!$AR399),"")</f>
        <v/>
      </c>
      <c r="C1198" s="5" t="str">
        <f>IFERROR(IF(Portafolio_Proyectos!$AR399="","","Distintiva"),"")</f>
        <v/>
      </c>
      <c r="D1198" s="5" t="str">
        <f>IFERROR(IF(Portafolio_Proyectos!$AR399="","",Portafolio_Proyectos!$C399),"")</f>
        <v/>
      </c>
      <c r="E1198" s="5" t="str">
        <f>IFERROR(IF(Portafolio_Proyectos!$AR399="","",Portafolio_Proyectos!$B399),"")</f>
        <v/>
      </c>
      <c r="F1198" s="5" t="str">
        <f>IFERROR(IF(Portafolio_Proyectos!$AR399="","",Portafolio_Proyectos!$D399),"")</f>
        <v/>
      </c>
      <c r="G1198" s="5" t="str">
        <f>IFERROR(IF(Portafolio_Proyectos!$AR399="","",Portafolio_Proyectos!$A399),"")</f>
        <v/>
      </c>
      <c r="H1198" s="5" t="str">
        <f>IFERROR(IF(Portafolio_Proyectos!$AR399="","",Portafolio_Proyectos!$E399),"")</f>
        <v/>
      </c>
    </row>
    <row r="1199" spans="1:8" x14ac:dyDescent="0.35">
      <c r="A1199" s="5" t="str">
        <f>IFERROR(IF(Portafolio_Proyectos!$AP400="","","CAP-"&amp;ROW()-1),"")</f>
        <v/>
      </c>
      <c r="B1199" s="5" t="str">
        <f>IFERROR(IF(Portafolio_Proyectos!$AP400="","",Portafolio_Proyectos!$AP400),"")</f>
        <v/>
      </c>
      <c r="C1199" s="5" t="str">
        <f>IFERROR(IF(Portafolio_Proyectos!$AP400="","","Emergente"),"")</f>
        <v/>
      </c>
      <c r="D1199" s="5" t="str">
        <f>IFERROR(IF(Portafolio_Proyectos!$AP400="","",Portafolio_Proyectos!$C400),"")</f>
        <v/>
      </c>
      <c r="E1199" s="5" t="str">
        <f>IFERROR(IF(Portafolio_Proyectos!$AP400="","",Portafolio_Proyectos!$B400),"")</f>
        <v/>
      </c>
      <c r="F1199" s="5" t="str">
        <f>IFERROR(IF(Portafolio_Proyectos!$AP400="","",Portafolio_Proyectos!$D400),"")</f>
        <v/>
      </c>
      <c r="G1199" s="5" t="str">
        <f>IFERROR(IF(Portafolio_Proyectos!$AP400="","",Portafolio_Proyectos!$A400),"")</f>
        <v/>
      </c>
      <c r="H1199" s="5" t="str">
        <f>IFERROR(IF(Portafolio_Proyectos!$AP400="","",Portafolio_Proyectos!$E400),"")</f>
        <v/>
      </c>
    </row>
    <row r="1200" spans="1:8" x14ac:dyDescent="0.35">
      <c r="A1200" s="5" t="str">
        <f>IFERROR(IF(Portafolio_Proyectos!$AQ400="","","CAP-"&amp;ROW()-1),"")</f>
        <v/>
      </c>
      <c r="B1200" s="5" t="str">
        <f>IFERROR(IF(Portafolio_Proyectos!$AQ400="","",Portafolio_Proyectos!$AQ400),"")</f>
        <v/>
      </c>
      <c r="C1200" s="5" t="str">
        <f>IFERROR(IF(Portafolio_Proyectos!$AQ400="","","Consolidada"),"")</f>
        <v/>
      </c>
      <c r="D1200" s="5" t="str">
        <f>IFERROR(IF(Portafolio_Proyectos!$AQ400="","",Portafolio_Proyectos!$C400),"")</f>
        <v/>
      </c>
      <c r="E1200" s="5" t="str">
        <f>IFERROR(IF(Portafolio_Proyectos!$AQ400="","",Portafolio_Proyectos!$B400),"")</f>
        <v/>
      </c>
      <c r="F1200" s="5" t="str">
        <f>IFERROR(IF(Portafolio_Proyectos!$AQ400="","",Portafolio_Proyectos!$D400),"")</f>
        <v/>
      </c>
      <c r="G1200" s="5" t="str">
        <f>IFERROR(IF(Portafolio_Proyectos!$AQ400="","",Portafolio_Proyectos!$A400),"")</f>
        <v/>
      </c>
      <c r="H1200" s="5" t="str">
        <f>IFERROR(IF(Portafolio_Proyectos!$AQ400="","",Portafolio_Proyectos!$E400),"")</f>
        <v/>
      </c>
    </row>
    <row r="1201" spans="1:8" x14ac:dyDescent="0.35">
      <c r="A1201" s="5" t="str">
        <f>IFERROR(IF(Portafolio_Proyectos!$AR400="","","CAP-"&amp;ROW()-1),"")</f>
        <v/>
      </c>
      <c r="B1201" s="5" t="str">
        <f>IFERROR(IF(Portafolio_Proyectos!$AR400="","",Portafolio_Proyectos!$AR400),"")</f>
        <v/>
      </c>
      <c r="C1201" s="5" t="str">
        <f>IFERROR(IF(Portafolio_Proyectos!$AR400="","","Distintiva"),"")</f>
        <v/>
      </c>
      <c r="D1201" s="5" t="str">
        <f>IFERROR(IF(Portafolio_Proyectos!$AR400="","",Portafolio_Proyectos!$C400),"")</f>
        <v/>
      </c>
      <c r="E1201" s="5" t="str">
        <f>IFERROR(IF(Portafolio_Proyectos!$AR400="","",Portafolio_Proyectos!$B400),"")</f>
        <v/>
      </c>
      <c r="F1201" s="5" t="str">
        <f>IFERROR(IF(Portafolio_Proyectos!$AR400="","",Portafolio_Proyectos!$D400),"")</f>
        <v/>
      </c>
      <c r="G1201" s="5" t="str">
        <f>IFERROR(IF(Portafolio_Proyectos!$AR400="","",Portafolio_Proyectos!$A400),"")</f>
        <v/>
      </c>
      <c r="H1201" s="5" t="str">
        <f>IFERROR(IF(Portafolio_Proyectos!$AR400="","",Portafolio_Proyectos!$E400),"")</f>
        <v/>
      </c>
    </row>
    <row r="1202" spans="1:8" x14ac:dyDescent="0.35">
      <c r="A1202" s="5" t="str">
        <f>IFERROR(IF(Portafolio_Proyectos!$AP401="","","CAP-"&amp;ROW()-1),"")</f>
        <v/>
      </c>
      <c r="B1202" s="5" t="str">
        <f>IFERROR(IF(Portafolio_Proyectos!$AP401="","",Portafolio_Proyectos!$AP401),"")</f>
        <v/>
      </c>
      <c r="C1202" s="5" t="str">
        <f>IFERROR(IF(Portafolio_Proyectos!$AP401="","","Emergente"),"")</f>
        <v/>
      </c>
      <c r="D1202" s="5" t="str">
        <f>IFERROR(IF(Portafolio_Proyectos!$AP401="","",Portafolio_Proyectos!$C401),"")</f>
        <v/>
      </c>
      <c r="E1202" s="5" t="str">
        <f>IFERROR(IF(Portafolio_Proyectos!$AP401="","",Portafolio_Proyectos!$B401),"")</f>
        <v/>
      </c>
      <c r="F1202" s="5" t="str">
        <f>IFERROR(IF(Portafolio_Proyectos!$AP401="","",Portafolio_Proyectos!$D401),"")</f>
        <v/>
      </c>
      <c r="G1202" s="5" t="str">
        <f>IFERROR(IF(Portafolio_Proyectos!$AP401="","",Portafolio_Proyectos!$A401),"")</f>
        <v/>
      </c>
      <c r="H1202" s="5" t="str">
        <f>IFERROR(IF(Portafolio_Proyectos!$AP401="","",Portafolio_Proyectos!$E401),"")</f>
        <v/>
      </c>
    </row>
    <row r="1203" spans="1:8" x14ac:dyDescent="0.35">
      <c r="A1203" s="5" t="str">
        <f>IFERROR(IF(Portafolio_Proyectos!$AQ401="","","CAP-"&amp;ROW()-1),"")</f>
        <v/>
      </c>
      <c r="B1203" s="5" t="str">
        <f>IFERROR(IF(Portafolio_Proyectos!$AQ401="","",Portafolio_Proyectos!$AQ401),"")</f>
        <v/>
      </c>
      <c r="C1203" s="5" t="str">
        <f>IFERROR(IF(Portafolio_Proyectos!$AQ401="","","Consolidada"),"")</f>
        <v/>
      </c>
      <c r="D1203" s="5" t="str">
        <f>IFERROR(IF(Portafolio_Proyectos!$AQ401="","",Portafolio_Proyectos!$C401),"")</f>
        <v/>
      </c>
      <c r="E1203" s="5" t="str">
        <f>IFERROR(IF(Portafolio_Proyectos!$AQ401="","",Portafolio_Proyectos!$B401),"")</f>
        <v/>
      </c>
      <c r="F1203" s="5" t="str">
        <f>IFERROR(IF(Portafolio_Proyectos!$AQ401="","",Portafolio_Proyectos!$D401),"")</f>
        <v/>
      </c>
      <c r="G1203" s="5" t="str">
        <f>IFERROR(IF(Portafolio_Proyectos!$AQ401="","",Portafolio_Proyectos!$A401),"")</f>
        <v/>
      </c>
      <c r="H1203" s="5" t="str">
        <f>IFERROR(IF(Portafolio_Proyectos!$AQ401="","",Portafolio_Proyectos!$E401),"")</f>
        <v/>
      </c>
    </row>
    <row r="1204" spans="1:8" x14ac:dyDescent="0.35">
      <c r="A1204" s="5" t="str">
        <f>IFERROR(IF(Portafolio_Proyectos!$AR401="","","CAP-"&amp;ROW()-1),"")</f>
        <v/>
      </c>
      <c r="B1204" s="5" t="str">
        <f>IFERROR(IF(Portafolio_Proyectos!$AR401="","",Portafolio_Proyectos!$AR401),"")</f>
        <v/>
      </c>
      <c r="C1204" s="5" t="str">
        <f>IFERROR(IF(Portafolio_Proyectos!$AR401="","","Distintiva"),"")</f>
        <v/>
      </c>
      <c r="D1204" s="5" t="str">
        <f>IFERROR(IF(Portafolio_Proyectos!$AR401="","",Portafolio_Proyectos!$C401),"")</f>
        <v/>
      </c>
      <c r="E1204" s="5" t="str">
        <f>IFERROR(IF(Portafolio_Proyectos!$AR401="","",Portafolio_Proyectos!$B401),"")</f>
        <v/>
      </c>
      <c r="F1204" s="5" t="str">
        <f>IFERROR(IF(Portafolio_Proyectos!$AR401="","",Portafolio_Proyectos!$D401),"")</f>
        <v/>
      </c>
      <c r="G1204" s="5" t="str">
        <f>IFERROR(IF(Portafolio_Proyectos!$AR401="","",Portafolio_Proyectos!$A401),"")</f>
        <v/>
      </c>
      <c r="H1204" s="5" t="str">
        <f>IFERROR(IF(Portafolio_Proyectos!$AR401="","",Portafolio_Proyectos!$E401),"")</f>
        <v/>
      </c>
    </row>
    <row r="1205" spans="1:8" x14ac:dyDescent="0.35">
      <c r="A1205" s="5" t="str">
        <f>IFERROR(IF(Portafolio_Proyectos!$AP402="","","CAP-"&amp;ROW()-1),"")</f>
        <v/>
      </c>
      <c r="B1205" s="5" t="str">
        <f>IFERROR(IF(Portafolio_Proyectos!$AP402="","",Portafolio_Proyectos!$AP402),"")</f>
        <v/>
      </c>
      <c r="C1205" s="5" t="str">
        <f>IFERROR(IF(Portafolio_Proyectos!$AP402="","","Emergente"),"")</f>
        <v/>
      </c>
      <c r="D1205" s="5" t="str">
        <f>IFERROR(IF(Portafolio_Proyectos!$AP402="","",Portafolio_Proyectos!$C402),"")</f>
        <v/>
      </c>
      <c r="E1205" s="5" t="str">
        <f>IFERROR(IF(Portafolio_Proyectos!$AP402="","",Portafolio_Proyectos!$B402),"")</f>
        <v/>
      </c>
      <c r="F1205" s="5" t="str">
        <f>IFERROR(IF(Portafolio_Proyectos!$AP402="","",Portafolio_Proyectos!$D402),"")</f>
        <v/>
      </c>
      <c r="G1205" s="5" t="str">
        <f>IFERROR(IF(Portafolio_Proyectos!$AP402="","",Portafolio_Proyectos!$A402),"")</f>
        <v/>
      </c>
      <c r="H1205" s="5" t="str">
        <f>IFERROR(IF(Portafolio_Proyectos!$AP402="","",Portafolio_Proyectos!$E402),"")</f>
        <v/>
      </c>
    </row>
    <row r="1206" spans="1:8" x14ac:dyDescent="0.35">
      <c r="A1206" s="5" t="str">
        <f>IFERROR(IF(Portafolio_Proyectos!$AQ402="","","CAP-"&amp;ROW()-1),"")</f>
        <v/>
      </c>
      <c r="B1206" s="5" t="str">
        <f>IFERROR(IF(Portafolio_Proyectos!$AQ402="","",Portafolio_Proyectos!$AQ402),"")</f>
        <v/>
      </c>
      <c r="C1206" s="5" t="str">
        <f>IFERROR(IF(Portafolio_Proyectos!$AQ402="","","Consolidada"),"")</f>
        <v/>
      </c>
      <c r="D1206" s="5" t="str">
        <f>IFERROR(IF(Portafolio_Proyectos!$AQ402="","",Portafolio_Proyectos!$C402),"")</f>
        <v/>
      </c>
      <c r="E1206" s="5" t="str">
        <f>IFERROR(IF(Portafolio_Proyectos!$AQ402="","",Portafolio_Proyectos!$B402),"")</f>
        <v/>
      </c>
      <c r="F1206" s="5" t="str">
        <f>IFERROR(IF(Portafolio_Proyectos!$AQ402="","",Portafolio_Proyectos!$D402),"")</f>
        <v/>
      </c>
      <c r="G1206" s="5" t="str">
        <f>IFERROR(IF(Portafolio_Proyectos!$AQ402="","",Portafolio_Proyectos!$A402),"")</f>
        <v/>
      </c>
      <c r="H1206" s="5" t="str">
        <f>IFERROR(IF(Portafolio_Proyectos!$AQ402="","",Portafolio_Proyectos!$E402),"")</f>
        <v/>
      </c>
    </row>
    <row r="1207" spans="1:8" x14ac:dyDescent="0.35">
      <c r="A1207" s="5" t="str">
        <f>IFERROR(IF(Portafolio_Proyectos!$AR402="","","CAP-"&amp;ROW()-1),"")</f>
        <v/>
      </c>
      <c r="B1207" s="5" t="str">
        <f>IFERROR(IF(Portafolio_Proyectos!$AR402="","",Portafolio_Proyectos!$AR402),"")</f>
        <v/>
      </c>
      <c r="C1207" s="5" t="str">
        <f>IFERROR(IF(Portafolio_Proyectos!$AR402="","","Distintiva"),"")</f>
        <v/>
      </c>
      <c r="D1207" s="5" t="str">
        <f>IFERROR(IF(Portafolio_Proyectos!$AR402="","",Portafolio_Proyectos!$C402),"")</f>
        <v/>
      </c>
      <c r="E1207" s="5" t="str">
        <f>IFERROR(IF(Portafolio_Proyectos!$AR402="","",Portafolio_Proyectos!$B402),"")</f>
        <v/>
      </c>
      <c r="F1207" s="5" t="str">
        <f>IFERROR(IF(Portafolio_Proyectos!$AR402="","",Portafolio_Proyectos!$D402),"")</f>
        <v/>
      </c>
      <c r="G1207" s="5" t="str">
        <f>IFERROR(IF(Portafolio_Proyectos!$AR402="","",Portafolio_Proyectos!$A402),"")</f>
        <v/>
      </c>
      <c r="H1207" s="5" t="str">
        <f>IFERROR(IF(Portafolio_Proyectos!$AR402="","",Portafolio_Proyectos!$E402),"")</f>
        <v/>
      </c>
    </row>
    <row r="1208" spans="1:8" x14ac:dyDescent="0.35">
      <c r="A1208" s="5" t="str">
        <f>IFERROR(IF(Portafolio_Proyectos!$AP403="","","CAP-"&amp;ROW()-1),"")</f>
        <v/>
      </c>
      <c r="B1208" s="5" t="str">
        <f>IFERROR(IF(Portafolio_Proyectos!$AP403="","",Portafolio_Proyectos!$AP403),"")</f>
        <v/>
      </c>
      <c r="C1208" s="5" t="str">
        <f>IFERROR(IF(Portafolio_Proyectos!$AP403="","","Emergente"),"")</f>
        <v/>
      </c>
      <c r="D1208" s="5" t="str">
        <f>IFERROR(IF(Portafolio_Proyectos!$AP403="","",Portafolio_Proyectos!$C403),"")</f>
        <v/>
      </c>
      <c r="E1208" s="5" t="str">
        <f>IFERROR(IF(Portafolio_Proyectos!$AP403="","",Portafolio_Proyectos!$B403),"")</f>
        <v/>
      </c>
      <c r="F1208" s="5" t="str">
        <f>IFERROR(IF(Portafolio_Proyectos!$AP403="","",Portafolio_Proyectos!$D403),"")</f>
        <v/>
      </c>
      <c r="G1208" s="5" t="str">
        <f>IFERROR(IF(Portafolio_Proyectos!$AP403="","",Portafolio_Proyectos!$A403),"")</f>
        <v/>
      </c>
      <c r="H1208" s="5" t="str">
        <f>IFERROR(IF(Portafolio_Proyectos!$AP403="","",Portafolio_Proyectos!$E403),"")</f>
        <v/>
      </c>
    </row>
    <row r="1209" spans="1:8" x14ac:dyDescent="0.35">
      <c r="A1209" s="5" t="str">
        <f>IFERROR(IF(Portafolio_Proyectos!$AQ403="","","CAP-"&amp;ROW()-1),"")</f>
        <v/>
      </c>
      <c r="B1209" s="5" t="str">
        <f>IFERROR(IF(Portafolio_Proyectos!$AQ403="","",Portafolio_Proyectos!$AQ403),"")</f>
        <v/>
      </c>
      <c r="C1209" s="5" t="str">
        <f>IFERROR(IF(Portafolio_Proyectos!$AQ403="","","Consolidada"),"")</f>
        <v/>
      </c>
      <c r="D1209" s="5" t="str">
        <f>IFERROR(IF(Portafolio_Proyectos!$AQ403="","",Portafolio_Proyectos!$C403),"")</f>
        <v/>
      </c>
      <c r="E1209" s="5" t="str">
        <f>IFERROR(IF(Portafolio_Proyectos!$AQ403="","",Portafolio_Proyectos!$B403),"")</f>
        <v/>
      </c>
      <c r="F1209" s="5" t="str">
        <f>IFERROR(IF(Portafolio_Proyectos!$AQ403="","",Portafolio_Proyectos!$D403),"")</f>
        <v/>
      </c>
      <c r="G1209" s="5" t="str">
        <f>IFERROR(IF(Portafolio_Proyectos!$AQ403="","",Portafolio_Proyectos!$A403),"")</f>
        <v/>
      </c>
      <c r="H1209" s="5" t="str">
        <f>IFERROR(IF(Portafolio_Proyectos!$AQ403="","",Portafolio_Proyectos!$E403),"")</f>
        <v/>
      </c>
    </row>
    <row r="1210" spans="1:8" x14ac:dyDescent="0.35">
      <c r="A1210" s="5" t="str">
        <f>IFERROR(IF(Portafolio_Proyectos!$AR403="","","CAP-"&amp;ROW()-1),"")</f>
        <v/>
      </c>
      <c r="B1210" s="5" t="str">
        <f>IFERROR(IF(Portafolio_Proyectos!$AR403="","",Portafolio_Proyectos!$AR403),"")</f>
        <v/>
      </c>
      <c r="C1210" s="5" t="str">
        <f>IFERROR(IF(Portafolio_Proyectos!$AR403="","","Distintiva"),"")</f>
        <v/>
      </c>
      <c r="D1210" s="5" t="str">
        <f>IFERROR(IF(Portafolio_Proyectos!$AR403="","",Portafolio_Proyectos!$C403),"")</f>
        <v/>
      </c>
      <c r="E1210" s="5" t="str">
        <f>IFERROR(IF(Portafolio_Proyectos!$AR403="","",Portafolio_Proyectos!$B403),"")</f>
        <v/>
      </c>
      <c r="F1210" s="5" t="str">
        <f>IFERROR(IF(Portafolio_Proyectos!$AR403="","",Portafolio_Proyectos!$D403),"")</f>
        <v/>
      </c>
      <c r="G1210" s="5" t="str">
        <f>IFERROR(IF(Portafolio_Proyectos!$AR403="","",Portafolio_Proyectos!$A403),"")</f>
        <v/>
      </c>
      <c r="H1210" s="5" t="str">
        <f>IFERROR(IF(Portafolio_Proyectos!$AR403="","",Portafolio_Proyectos!$E403),"")</f>
        <v/>
      </c>
    </row>
    <row r="1211" spans="1:8" x14ac:dyDescent="0.35">
      <c r="A1211" s="5" t="str">
        <f>IFERROR(IF(Portafolio_Proyectos!$AP404="","","CAP-"&amp;ROW()-1),"")</f>
        <v/>
      </c>
      <c r="B1211" s="5" t="str">
        <f>IFERROR(IF(Portafolio_Proyectos!$AP404="","",Portafolio_Proyectos!$AP404),"")</f>
        <v/>
      </c>
      <c r="C1211" s="5" t="str">
        <f>IFERROR(IF(Portafolio_Proyectos!$AP404="","","Emergente"),"")</f>
        <v/>
      </c>
      <c r="D1211" s="5" t="str">
        <f>IFERROR(IF(Portafolio_Proyectos!$AP404="","",Portafolio_Proyectos!$C404),"")</f>
        <v/>
      </c>
      <c r="E1211" s="5" t="str">
        <f>IFERROR(IF(Portafolio_Proyectos!$AP404="","",Portafolio_Proyectos!$B404),"")</f>
        <v/>
      </c>
      <c r="F1211" s="5" t="str">
        <f>IFERROR(IF(Portafolio_Proyectos!$AP404="","",Portafolio_Proyectos!$D404),"")</f>
        <v/>
      </c>
      <c r="G1211" s="5" t="str">
        <f>IFERROR(IF(Portafolio_Proyectos!$AP404="","",Portafolio_Proyectos!$A404),"")</f>
        <v/>
      </c>
      <c r="H1211" s="5" t="str">
        <f>IFERROR(IF(Portafolio_Proyectos!$AP404="","",Portafolio_Proyectos!$E404),"")</f>
        <v/>
      </c>
    </row>
    <row r="1212" spans="1:8" x14ac:dyDescent="0.35">
      <c r="A1212" s="5" t="str">
        <f>IFERROR(IF(Portafolio_Proyectos!$AQ404="","","CAP-"&amp;ROW()-1),"")</f>
        <v/>
      </c>
      <c r="B1212" s="5" t="str">
        <f>IFERROR(IF(Portafolio_Proyectos!$AQ404="","",Portafolio_Proyectos!$AQ404),"")</f>
        <v/>
      </c>
      <c r="C1212" s="5" t="str">
        <f>IFERROR(IF(Portafolio_Proyectos!$AQ404="","","Consolidada"),"")</f>
        <v/>
      </c>
      <c r="D1212" s="5" t="str">
        <f>IFERROR(IF(Portafolio_Proyectos!$AQ404="","",Portafolio_Proyectos!$C404),"")</f>
        <v/>
      </c>
      <c r="E1212" s="5" t="str">
        <f>IFERROR(IF(Portafolio_Proyectos!$AQ404="","",Portafolio_Proyectos!$B404),"")</f>
        <v/>
      </c>
      <c r="F1212" s="5" t="str">
        <f>IFERROR(IF(Portafolio_Proyectos!$AQ404="","",Portafolio_Proyectos!$D404),"")</f>
        <v/>
      </c>
      <c r="G1212" s="5" t="str">
        <f>IFERROR(IF(Portafolio_Proyectos!$AQ404="","",Portafolio_Proyectos!$A404),"")</f>
        <v/>
      </c>
      <c r="H1212" s="5" t="str">
        <f>IFERROR(IF(Portafolio_Proyectos!$AQ404="","",Portafolio_Proyectos!$E404),"")</f>
        <v/>
      </c>
    </row>
    <row r="1213" spans="1:8" x14ac:dyDescent="0.35">
      <c r="A1213" s="5" t="str">
        <f>IFERROR(IF(Portafolio_Proyectos!$AR404="","","CAP-"&amp;ROW()-1),"")</f>
        <v/>
      </c>
      <c r="B1213" s="5" t="str">
        <f>IFERROR(IF(Portafolio_Proyectos!$AR404="","",Portafolio_Proyectos!$AR404),"")</f>
        <v/>
      </c>
      <c r="C1213" s="5" t="str">
        <f>IFERROR(IF(Portafolio_Proyectos!$AR404="","","Distintiva"),"")</f>
        <v/>
      </c>
      <c r="D1213" s="5" t="str">
        <f>IFERROR(IF(Portafolio_Proyectos!$AR404="","",Portafolio_Proyectos!$C404),"")</f>
        <v/>
      </c>
      <c r="E1213" s="5" t="str">
        <f>IFERROR(IF(Portafolio_Proyectos!$AR404="","",Portafolio_Proyectos!$B404),"")</f>
        <v/>
      </c>
      <c r="F1213" s="5" t="str">
        <f>IFERROR(IF(Portafolio_Proyectos!$AR404="","",Portafolio_Proyectos!$D404),"")</f>
        <v/>
      </c>
      <c r="G1213" s="5" t="str">
        <f>IFERROR(IF(Portafolio_Proyectos!$AR404="","",Portafolio_Proyectos!$A404),"")</f>
        <v/>
      </c>
      <c r="H1213" s="5" t="str">
        <f>IFERROR(IF(Portafolio_Proyectos!$AR404="","",Portafolio_Proyectos!$E404),"")</f>
        <v/>
      </c>
    </row>
    <row r="1214" spans="1:8" x14ac:dyDescent="0.35">
      <c r="A1214" s="5" t="str">
        <f>IFERROR(IF(Portafolio_Proyectos!$AP405="","","CAP-"&amp;ROW()-1),"")</f>
        <v/>
      </c>
      <c r="B1214" s="5" t="str">
        <f>IFERROR(IF(Portafolio_Proyectos!$AP405="","",Portafolio_Proyectos!$AP405),"")</f>
        <v/>
      </c>
      <c r="C1214" s="5" t="str">
        <f>IFERROR(IF(Portafolio_Proyectos!$AP405="","","Emergente"),"")</f>
        <v/>
      </c>
      <c r="D1214" s="5" t="str">
        <f>IFERROR(IF(Portafolio_Proyectos!$AP405="","",Portafolio_Proyectos!$C405),"")</f>
        <v/>
      </c>
      <c r="E1214" s="5" t="str">
        <f>IFERROR(IF(Portafolio_Proyectos!$AP405="","",Portafolio_Proyectos!$B405),"")</f>
        <v/>
      </c>
      <c r="F1214" s="5" t="str">
        <f>IFERROR(IF(Portafolio_Proyectos!$AP405="","",Portafolio_Proyectos!$D405),"")</f>
        <v/>
      </c>
      <c r="G1214" s="5" t="str">
        <f>IFERROR(IF(Portafolio_Proyectos!$AP405="","",Portafolio_Proyectos!$A405),"")</f>
        <v/>
      </c>
      <c r="H1214" s="5" t="str">
        <f>IFERROR(IF(Portafolio_Proyectos!$AP405="","",Portafolio_Proyectos!$E405),"")</f>
        <v/>
      </c>
    </row>
    <row r="1215" spans="1:8" x14ac:dyDescent="0.35">
      <c r="A1215" s="5" t="str">
        <f>IFERROR(IF(Portafolio_Proyectos!$AQ405="","","CAP-"&amp;ROW()-1),"")</f>
        <v/>
      </c>
      <c r="B1215" s="5" t="str">
        <f>IFERROR(IF(Portafolio_Proyectos!$AQ405="","",Portafolio_Proyectos!$AQ405),"")</f>
        <v/>
      </c>
      <c r="C1215" s="5" t="str">
        <f>IFERROR(IF(Portafolio_Proyectos!$AQ405="","","Consolidada"),"")</f>
        <v/>
      </c>
      <c r="D1215" s="5" t="str">
        <f>IFERROR(IF(Portafolio_Proyectos!$AQ405="","",Portafolio_Proyectos!$C405),"")</f>
        <v/>
      </c>
      <c r="E1215" s="5" t="str">
        <f>IFERROR(IF(Portafolio_Proyectos!$AQ405="","",Portafolio_Proyectos!$B405),"")</f>
        <v/>
      </c>
      <c r="F1215" s="5" t="str">
        <f>IFERROR(IF(Portafolio_Proyectos!$AQ405="","",Portafolio_Proyectos!$D405),"")</f>
        <v/>
      </c>
      <c r="G1215" s="5" t="str">
        <f>IFERROR(IF(Portafolio_Proyectos!$AQ405="","",Portafolio_Proyectos!$A405),"")</f>
        <v/>
      </c>
      <c r="H1215" s="5" t="str">
        <f>IFERROR(IF(Portafolio_Proyectos!$AQ405="","",Portafolio_Proyectos!$E405),"")</f>
        <v/>
      </c>
    </row>
    <row r="1216" spans="1:8" x14ac:dyDescent="0.35">
      <c r="A1216" s="5" t="str">
        <f>IFERROR(IF(Portafolio_Proyectos!$AR405="","","CAP-"&amp;ROW()-1),"")</f>
        <v/>
      </c>
      <c r="B1216" s="5" t="str">
        <f>IFERROR(IF(Portafolio_Proyectos!$AR405="","",Portafolio_Proyectos!$AR405),"")</f>
        <v/>
      </c>
      <c r="C1216" s="5" t="str">
        <f>IFERROR(IF(Portafolio_Proyectos!$AR405="","","Distintiva"),"")</f>
        <v/>
      </c>
      <c r="D1216" s="5" t="str">
        <f>IFERROR(IF(Portafolio_Proyectos!$AR405="","",Portafolio_Proyectos!$C405),"")</f>
        <v/>
      </c>
      <c r="E1216" s="5" t="str">
        <f>IFERROR(IF(Portafolio_Proyectos!$AR405="","",Portafolio_Proyectos!$B405),"")</f>
        <v/>
      </c>
      <c r="F1216" s="5" t="str">
        <f>IFERROR(IF(Portafolio_Proyectos!$AR405="","",Portafolio_Proyectos!$D405),"")</f>
        <v/>
      </c>
      <c r="G1216" s="5" t="str">
        <f>IFERROR(IF(Portafolio_Proyectos!$AR405="","",Portafolio_Proyectos!$A405),"")</f>
        <v/>
      </c>
      <c r="H1216" s="5" t="str">
        <f>IFERROR(IF(Portafolio_Proyectos!$AR405="","",Portafolio_Proyectos!$E405),"")</f>
        <v/>
      </c>
    </row>
    <row r="1217" spans="1:8" x14ac:dyDescent="0.35">
      <c r="A1217" s="5" t="str">
        <f>IFERROR(IF(Portafolio_Proyectos!$AP406="","","CAP-"&amp;ROW()-1),"")</f>
        <v/>
      </c>
      <c r="B1217" s="5" t="str">
        <f>IFERROR(IF(Portafolio_Proyectos!$AP406="","",Portafolio_Proyectos!$AP406),"")</f>
        <v/>
      </c>
      <c r="C1217" s="5" t="str">
        <f>IFERROR(IF(Portafolio_Proyectos!$AP406="","","Emergente"),"")</f>
        <v/>
      </c>
      <c r="D1217" s="5" t="str">
        <f>IFERROR(IF(Portafolio_Proyectos!$AP406="","",Portafolio_Proyectos!$C406),"")</f>
        <v/>
      </c>
      <c r="E1217" s="5" t="str">
        <f>IFERROR(IF(Portafolio_Proyectos!$AP406="","",Portafolio_Proyectos!$B406),"")</f>
        <v/>
      </c>
      <c r="F1217" s="5" t="str">
        <f>IFERROR(IF(Portafolio_Proyectos!$AP406="","",Portafolio_Proyectos!$D406),"")</f>
        <v/>
      </c>
      <c r="G1217" s="5" t="str">
        <f>IFERROR(IF(Portafolio_Proyectos!$AP406="","",Portafolio_Proyectos!$A406),"")</f>
        <v/>
      </c>
      <c r="H1217" s="5" t="str">
        <f>IFERROR(IF(Portafolio_Proyectos!$AP406="","",Portafolio_Proyectos!$E406),"")</f>
        <v/>
      </c>
    </row>
    <row r="1218" spans="1:8" x14ac:dyDescent="0.35">
      <c r="A1218" s="5" t="str">
        <f>IFERROR(IF(Portafolio_Proyectos!$AQ406="","","CAP-"&amp;ROW()-1),"")</f>
        <v/>
      </c>
      <c r="B1218" s="5" t="str">
        <f>IFERROR(IF(Portafolio_Proyectos!$AQ406="","",Portafolio_Proyectos!$AQ406),"")</f>
        <v/>
      </c>
      <c r="C1218" s="5" t="str">
        <f>IFERROR(IF(Portafolio_Proyectos!$AQ406="","","Consolidada"),"")</f>
        <v/>
      </c>
      <c r="D1218" s="5" t="str">
        <f>IFERROR(IF(Portafolio_Proyectos!$AQ406="","",Portafolio_Proyectos!$C406),"")</f>
        <v/>
      </c>
      <c r="E1218" s="5" t="str">
        <f>IFERROR(IF(Portafolio_Proyectos!$AQ406="","",Portafolio_Proyectos!$B406),"")</f>
        <v/>
      </c>
      <c r="F1218" s="5" t="str">
        <f>IFERROR(IF(Portafolio_Proyectos!$AQ406="","",Portafolio_Proyectos!$D406),"")</f>
        <v/>
      </c>
      <c r="G1218" s="5" t="str">
        <f>IFERROR(IF(Portafolio_Proyectos!$AQ406="","",Portafolio_Proyectos!$A406),"")</f>
        <v/>
      </c>
      <c r="H1218" s="5" t="str">
        <f>IFERROR(IF(Portafolio_Proyectos!$AQ406="","",Portafolio_Proyectos!$E406),"")</f>
        <v/>
      </c>
    </row>
    <row r="1219" spans="1:8" x14ac:dyDescent="0.35">
      <c r="A1219" s="5" t="str">
        <f>IFERROR(IF(Portafolio_Proyectos!$AR406="","","CAP-"&amp;ROW()-1),"")</f>
        <v/>
      </c>
      <c r="B1219" s="5" t="str">
        <f>IFERROR(IF(Portafolio_Proyectos!$AR406="","",Portafolio_Proyectos!$AR406),"")</f>
        <v/>
      </c>
      <c r="C1219" s="5" t="str">
        <f>IFERROR(IF(Portafolio_Proyectos!$AR406="","","Distintiva"),"")</f>
        <v/>
      </c>
      <c r="D1219" s="5" t="str">
        <f>IFERROR(IF(Portafolio_Proyectos!$AR406="","",Portafolio_Proyectos!$C406),"")</f>
        <v/>
      </c>
      <c r="E1219" s="5" t="str">
        <f>IFERROR(IF(Portafolio_Proyectos!$AR406="","",Portafolio_Proyectos!$B406),"")</f>
        <v/>
      </c>
      <c r="F1219" s="5" t="str">
        <f>IFERROR(IF(Portafolio_Proyectos!$AR406="","",Portafolio_Proyectos!$D406),"")</f>
        <v/>
      </c>
      <c r="G1219" s="5" t="str">
        <f>IFERROR(IF(Portafolio_Proyectos!$AR406="","",Portafolio_Proyectos!$A406),"")</f>
        <v/>
      </c>
      <c r="H1219" s="5" t="str">
        <f>IFERROR(IF(Portafolio_Proyectos!$AR406="","",Portafolio_Proyectos!$E406),"")</f>
        <v/>
      </c>
    </row>
    <row r="1220" spans="1:8" x14ac:dyDescent="0.35">
      <c r="A1220" s="5" t="str">
        <f>IFERROR(IF(Portafolio_Proyectos!$AP407="","","CAP-"&amp;ROW()-1),"")</f>
        <v/>
      </c>
      <c r="B1220" s="5" t="str">
        <f>IFERROR(IF(Portafolio_Proyectos!$AP407="","",Portafolio_Proyectos!$AP407),"")</f>
        <v/>
      </c>
      <c r="C1220" s="5" t="str">
        <f>IFERROR(IF(Portafolio_Proyectos!$AP407="","","Emergente"),"")</f>
        <v/>
      </c>
      <c r="D1220" s="5" t="str">
        <f>IFERROR(IF(Portafolio_Proyectos!$AP407="","",Portafolio_Proyectos!$C407),"")</f>
        <v/>
      </c>
      <c r="E1220" s="5" t="str">
        <f>IFERROR(IF(Portafolio_Proyectos!$AP407="","",Portafolio_Proyectos!$B407),"")</f>
        <v/>
      </c>
      <c r="F1220" s="5" t="str">
        <f>IFERROR(IF(Portafolio_Proyectos!$AP407="","",Portafolio_Proyectos!$D407),"")</f>
        <v/>
      </c>
      <c r="G1220" s="5" t="str">
        <f>IFERROR(IF(Portafolio_Proyectos!$AP407="","",Portafolio_Proyectos!$A407),"")</f>
        <v/>
      </c>
      <c r="H1220" s="5" t="str">
        <f>IFERROR(IF(Portafolio_Proyectos!$AP407="","",Portafolio_Proyectos!$E407),"")</f>
        <v/>
      </c>
    </row>
    <row r="1221" spans="1:8" x14ac:dyDescent="0.35">
      <c r="A1221" s="5" t="str">
        <f>IFERROR(IF(Portafolio_Proyectos!$AQ407="","","CAP-"&amp;ROW()-1),"")</f>
        <v/>
      </c>
      <c r="B1221" s="5" t="str">
        <f>IFERROR(IF(Portafolio_Proyectos!$AQ407="","",Portafolio_Proyectos!$AQ407),"")</f>
        <v/>
      </c>
      <c r="C1221" s="5" t="str">
        <f>IFERROR(IF(Portafolio_Proyectos!$AQ407="","","Consolidada"),"")</f>
        <v/>
      </c>
      <c r="D1221" s="5" t="str">
        <f>IFERROR(IF(Portafolio_Proyectos!$AQ407="","",Portafolio_Proyectos!$C407),"")</f>
        <v/>
      </c>
      <c r="E1221" s="5" t="str">
        <f>IFERROR(IF(Portafolio_Proyectos!$AQ407="","",Portafolio_Proyectos!$B407),"")</f>
        <v/>
      </c>
      <c r="F1221" s="5" t="str">
        <f>IFERROR(IF(Portafolio_Proyectos!$AQ407="","",Portafolio_Proyectos!$D407),"")</f>
        <v/>
      </c>
      <c r="G1221" s="5" t="str">
        <f>IFERROR(IF(Portafolio_Proyectos!$AQ407="","",Portafolio_Proyectos!$A407),"")</f>
        <v/>
      </c>
      <c r="H1221" s="5" t="str">
        <f>IFERROR(IF(Portafolio_Proyectos!$AQ407="","",Portafolio_Proyectos!$E407),"")</f>
        <v/>
      </c>
    </row>
    <row r="1222" spans="1:8" x14ac:dyDescent="0.35">
      <c r="A1222" s="5" t="str">
        <f>IFERROR(IF(Portafolio_Proyectos!$AR407="","","CAP-"&amp;ROW()-1),"")</f>
        <v/>
      </c>
      <c r="B1222" s="5" t="str">
        <f>IFERROR(IF(Portafolio_Proyectos!$AR407="","",Portafolio_Proyectos!$AR407),"")</f>
        <v/>
      </c>
      <c r="C1222" s="5" t="str">
        <f>IFERROR(IF(Portafolio_Proyectos!$AR407="","","Distintiva"),"")</f>
        <v/>
      </c>
      <c r="D1222" s="5" t="str">
        <f>IFERROR(IF(Portafolio_Proyectos!$AR407="","",Portafolio_Proyectos!$C407),"")</f>
        <v/>
      </c>
      <c r="E1222" s="5" t="str">
        <f>IFERROR(IF(Portafolio_Proyectos!$AR407="","",Portafolio_Proyectos!$B407),"")</f>
        <v/>
      </c>
      <c r="F1222" s="5" t="str">
        <f>IFERROR(IF(Portafolio_Proyectos!$AR407="","",Portafolio_Proyectos!$D407),"")</f>
        <v/>
      </c>
      <c r="G1222" s="5" t="str">
        <f>IFERROR(IF(Portafolio_Proyectos!$AR407="","",Portafolio_Proyectos!$A407),"")</f>
        <v/>
      </c>
      <c r="H1222" s="5" t="str">
        <f>IFERROR(IF(Portafolio_Proyectos!$AR407="","",Portafolio_Proyectos!$E407),"")</f>
        <v/>
      </c>
    </row>
    <row r="1223" spans="1:8" x14ac:dyDescent="0.35">
      <c r="A1223" s="5" t="str">
        <f>IFERROR(IF(Portafolio_Proyectos!$AP408="","","CAP-"&amp;ROW()-1),"")</f>
        <v/>
      </c>
      <c r="B1223" s="5" t="str">
        <f>IFERROR(IF(Portafolio_Proyectos!$AP408="","",Portafolio_Proyectos!$AP408),"")</f>
        <v/>
      </c>
      <c r="C1223" s="5" t="str">
        <f>IFERROR(IF(Portafolio_Proyectos!$AP408="","","Emergente"),"")</f>
        <v/>
      </c>
      <c r="D1223" s="5" t="str">
        <f>IFERROR(IF(Portafolio_Proyectos!$AP408="","",Portafolio_Proyectos!$C408),"")</f>
        <v/>
      </c>
      <c r="E1223" s="5" t="str">
        <f>IFERROR(IF(Portafolio_Proyectos!$AP408="","",Portafolio_Proyectos!$B408),"")</f>
        <v/>
      </c>
      <c r="F1223" s="5" t="str">
        <f>IFERROR(IF(Portafolio_Proyectos!$AP408="","",Portafolio_Proyectos!$D408),"")</f>
        <v/>
      </c>
      <c r="G1223" s="5" t="str">
        <f>IFERROR(IF(Portafolio_Proyectos!$AP408="","",Portafolio_Proyectos!$A408),"")</f>
        <v/>
      </c>
      <c r="H1223" s="5" t="str">
        <f>IFERROR(IF(Portafolio_Proyectos!$AP408="","",Portafolio_Proyectos!$E408),"")</f>
        <v/>
      </c>
    </row>
    <row r="1224" spans="1:8" x14ac:dyDescent="0.35">
      <c r="A1224" s="5" t="str">
        <f>IFERROR(IF(Portafolio_Proyectos!$AQ408="","","CAP-"&amp;ROW()-1),"")</f>
        <v/>
      </c>
      <c r="B1224" s="5" t="str">
        <f>IFERROR(IF(Portafolio_Proyectos!$AQ408="","",Portafolio_Proyectos!$AQ408),"")</f>
        <v/>
      </c>
      <c r="C1224" s="5" t="str">
        <f>IFERROR(IF(Portafolio_Proyectos!$AQ408="","","Consolidada"),"")</f>
        <v/>
      </c>
      <c r="D1224" s="5" t="str">
        <f>IFERROR(IF(Portafolio_Proyectos!$AQ408="","",Portafolio_Proyectos!$C408),"")</f>
        <v/>
      </c>
      <c r="E1224" s="5" t="str">
        <f>IFERROR(IF(Portafolio_Proyectos!$AQ408="","",Portafolio_Proyectos!$B408),"")</f>
        <v/>
      </c>
      <c r="F1224" s="5" t="str">
        <f>IFERROR(IF(Portafolio_Proyectos!$AQ408="","",Portafolio_Proyectos!$D408),"")</f>
        <v/>
      </c>
      <c r="G1224" s="5" t="str">
        <f>IFERROR(IF(Portafolio_Proyectos!$AQ408="","",Portafolio_Proyectos!$A408),"")</f>
        <v/>
      </c>
      <c r="H1224" s="5" t="str">
        <f>IFERROR(IF(Portafolio_Proyectos!$AQ408="","",Portafolio_Proyectos!$E408),"")</f>
        <v/>
      </c>
    </row>
    <row r="1225" spans="1:8" x14ac:dyDescent="0.35">
      <c r="A1225" s="5" t="str">
        <f>IFERROR(IF(Portafolio_Proyectos!$AR408="","","CAP-"&amp;ROW()-1),"")</f>
        <v/>
      </c>
      <c r="B1225" s="5" t="str">
        <f>IFERROR(IF(Portafolio_Proyectos!$AR408="","",Portafolio_Proyectos!$AR408),"")</f>
        <v/>
      </c>
      <c r="C1225" s="5" t="str">
        <f>IFERROR(IF(Portafolio_Proyectos!$AR408="","","Distintiva"),"")</f>
        <v/>
      </c>
      <c r="D1225" s="5" t="str">
        <f>IFERROR(IF(Portafolio_Proyectos!$AR408="","",Portafolio_Proyectos!$C408),"")</f>
        <v/>
      </c>
      <c r="E1225" s="5" t="str">
        <f>IFERROR(IF(Portafolio_Proyectos!$AR408="","",Portafolio_Proyectos!$B408),"")</f>
        <v/>
      </c>
      <c r="F1225" s="5" t="str">
        <f>IFERROR(IF(Portafolio_Proyectos!$AR408="","",Portafolio_Proyectos!$D408),"")</f>
        <v/>
      </c>
      <c r="G1225" s="5" t="str">
        <f>IFERROR(IF(Portafolio_Proyectos!$AR408="","",Portafolio_Proyectos!$A408),"")</f>
        <v/>
      </c>
      <c r="H1225" s="5" t="str">
        <f>IFERROR(IF(Portafolio_Proyectos!$AR408="","",Portafolio_Proyectos!$E408),"")</f>
        <v/>
      </c>
    </row>
    <row r="1226" spans="1:8" x14ac:dyDescent="0.35">
      <c r="A1226" s="5" t="str">
        <f>IFERROR(IF(Portafolio_Proyectos!$AP409="","","CAP-"&amp;ROW()-1),"")</f>
        <v/>
      </c>
      <c r="B1226" s="5" t="str">
        <f>IFERROR(IF(Portafolio_Proyectos!$AP409="","",Portafolio_Proyectos!$AP409),"")</f>
        <v/>
      </c>
      <c r="C1226" s="5" t="str">
        <f>IFERROR(IF(Portafolio_Proyectos!$AP409="","","Emergente"),"")</f>
        <v/>
      </c>
      <c r="D1226" s="5" t="str">
        <f>IFERROR(IF(Portafolio_Proyectos!$AP409="","",Portafolio_Proyectos!$C409),"")</f>
        <v/>
      </c>
      <c r="E1226" s="5" t="str">
        <f>IFERROR(IF(Portafolio_Proyectos!$AP409="","",Portafolio_Proyectos!$B409),"")</f>
        <v/>
      </c>
      <c r="F1226" s="5" t="str">
        <f>IFERROR(IF(Portafolio_Proyectos!$AP409="","",Portafolio_Proyectos!$D409),"")</f>
        <v/>
      </c>
      <c r="G1226" s="5" t="str">
        <f>IFERROR(IF(Portafolio_Proyectos!$AP409="","",Portafolio_Proyectos!$A409),"")</f>
        <v/>
      </c>
      <c r="H1226" s="5" t="str">
        <f>IFERROR(IF(Portafolio_Proyectos!$AP409="","",Portafolio_Proyectos!$E409),"")</f>
        <v/>
      </c>
    </row>
    <row r="1227" spans="1:8" x14ac:dyDescent="0.35">
      <c r="A1227" s="5" t="str">
        <f>IFERROR(IF(Portafolio_Proyectos!$AQ409="","","CAP-"&amp;ROW()-1),"")</f>
        <v/>
      </c>
      <c r="B1227" s="5" t="str">
        <f>IFERROR(IF(Portafolio_Proyectos!$AQ409="","",Portafolio_Proyectos!$AQ409),"")</f>
        <v/>
      </c>
      <c r="C1227" s="5" t="str">
        <f>IFERROR(IF(Portafolio_Proyectos!$AQ409="","","Consolidada"),"")</f>
        <v/>
      </c>
      <c r="D1227" s="5" t="str">
        <f>IFERROR(IF(Portafolio_Proyectos!$AQ409="","",Portafolio_Proyectos!$C409),"")</f>
        <v/>
      </c>
      <c r="E1227" s="5" t="str">
        <f>IFERROR(IF(Portafolio_Proyectos!$AQ409="","",Portafolio_Proyectos!$B409),"")</f>
        <v/>
      </c>
      <c r="F1227" s="5" t="str">
        <f>IFERROR(IF(Portafolio_Proyectos!$AQ409="","",Portafolio_Proyectos!$D409),"")</f>
        <v/>
      </c>
      <c r="G1227" s="5" t="str">
        <f>IFERROR(IF(Portafolio_Proyectos!$AQ409="","",Portafolio_Proyectos!$A409),"")</f>
        <v/>
      </c>
      <c r="H1227" s="5" t="str">
        <f>IFERROR(IF(Portafolio_Proyectos!$AQ409="","",Portafolio_Proyectos!$E409),"")</f>
        <v/>
      </c>
    </row>
    <row r="1228" spans="1:8" x14ac:dyDescent="0.35">
      <c r="A1228" s="5" t="str">
        <f>IFERROR(IF(Portafolio_Proyectos!$AR409="","","CAP-"&amp;ROW()-1),"")</f>
        <v/>
      </c>
      <c r="B1228" s="5" t="str">
        <f>IFERROR(IF(Portafolio_Proyectos!$AR409="","",Portafolio_Proyectos!$AR409),"")</f>
        <v/>
      </c>
      <c r="C1228" s="5" t="str">
        <f>IFERROR(IF(Portafolio_Proyectos!$AR409="","","Distintiva"),"")</f>
        <v/>
      </c>
      <c r="D1228" s="5" t="str">
        <f>IFERROR(IF(Portafolio_Proyectos!$AR409="","",Portafolio_Proyectos!$C409),"")</f>
        <v/>
      </c>
      <c r="E1228" s="5" t="str">
        <f>IFERROR(IF(Portafolio_Proyectos!$AR409="","",Portafolio_Proyectos!$B409),"")</f>
        <v/>
      </c>
      <c r="F1228" s="5" t="str">
        <f>IFERROR(IF(Portafolio_Proyectos!$AR409="","",Portafolio_Proyectos!$D409),"")</f>
        <v/>
      </c>
      <c r="G1228" s="5" t="str">
        <f>IFERROR(IF(Portafolio_Proyectos!$AR409="","",Portafolio_Proyectos!$A409),"")</f>
        <v/>
      </c>
      <c r="H1228" s="5" t="str">
        <f>IFERROR(IF(Portafolio_Proyectos!$AR409="","",Portafolio_Proyectos!$E409),"")</f>
        <v/>
      </c>
    </row>
    <row r="1229" spans="1:8" x14ac:dyDescent="0.35">
      <c r="A1229" s="5" t="str">
        <f>IFERROR(IF(Portafolio_Proyectos!$AP410="","","CAP-"&amp;ROW()-1),"")</f>
        <v/>
      </c>
      <c r="B1229" s="5" t="str">
        <f>IFERROR(IF(Portafolio_Proyectos!$AP410="","",Portafolio_Proyectos!$AP410),"")</f>
        <v/>
      </c>
      <c r="C1229" s="5" t="str">
        <f>IFERROR(IF(Portafolio_Proyectos!$AP410="","","Emergente"),"")</f>
        <v/>
      </c>
      <c r="D1229" s="5" t="str">
        <f>IFERROR(IF(Portafolio_Proyectos!$AP410="","",Portafolio_Proyectos!$C410),"")</f>
        <v/>
      </c>
      <c r="E1229" s="5" t="str">
        <f>IFERROR(IF(Portafolio_Proyectos!$AP410="","",Portafolio_Proyectos!$B410),"")</f>
        <v/>
      </c>
      <c r="F1229" s="5" t="str">
        <f>IFERROR(IF(Portafolio_Proyectos!$AP410="","",Portafolio_Proyectos!$D410),"")</f>
        <v/>
      </c>
      <c r="G1229" s="5" t="str">
        <f>IFERROR(IF(Portafolio_Proyectos!$AP410="","",Portafolio_Proyectos!$A410),"")</f>
        <v/>
      </c>
      <c r="H1229" s="5" t="str">
        <f>IFERROR(IF(Portafolio_Proyectos!$AP410="","",Portafolio_Proyectos!$E410),"")</f>
        <v/>
      </c>
    </row>
    <row r="1230" spans="1:8" x14ac:dyDescent="0.35">
      <c r="A1230" s="5" t="str">
        <f>IFERROR(IF(Portafolio_Proyectos!$AQ410="","","CAP-"&amp;ROW()-1),"")</f>
        <v/>
      </c>
      <c r="B1230" s="5" t="str">
        <f>IFERROR(IF(Portafolio_Proyectos!$AQ410="","",Portafolio_Proyectos!$AQ410),"")</f>
        <v/>
      </c>
      <c r="C1230" s="5" t="str">
        <f>IFERROR(IF(Portafolio_Proyectos!$AQ410="","","Consolidada"),"")</f>
        <v/>
      </c>
      <c r="D1230" s="5" t="str">
        <f>IFERROR(IF(Portafolio_Proyectos!$AQ410="","",Portafolio_Proyectos!$C410),"")</f>
        <v/>
      </c>
      <c r="E1230" s="5" t="str">
        <f>IFERROR(IF(Portafolio_Proyectos!$AQ410="","",Portafolio_Proyectos!$B410),"")</f>
        <v/>
      </c>
      <c r="F1230" s="5" t="str">
        <f>IFERROR(IF(Portafolio_Proyectos!$AQ410="","",Portafolio_Proyectos!$D410),"")</f>
        <v/>
      </c>
      <c r="G1230" s="5" t="str">
        <f>IFERROR(IF(Portafolio_Proyectos!$AQ410="","",Portafolio_Proyectos!$A410),"")</f>
        <v/>
      </c>
      <c r="H1230" s="5" t="str">
        <f>IFERROR(IF(Portafolio_Proyectos!$AQ410="","",Portafolio_Proyectos!$E410),"")</f>
        <v/>
      </c>
    </row>
    <row r="1231" spans="1:8" x14ac:dyDescent="0.35">
      <c r="A1231" s="5" t="str">
        <f>IFERROR(IF(Portafolio_Proyectos!$AR410="","","CAP-"&amp;ROW()-1),"")</f>
        <v/>
      </c>
      <c r="B1231" s="5" t="str">
        <f>IFERROR(IF(Portafolio_Proyectos!$AR410="","",Portafolio_Proyectos!$AR410),"")</f>
        <v/>
      </c>
      <c r="C1231" s="5" t="str">
        <f>IFERROR(IF(Portafolio_Proyectos!$AR410="","","Distintiva"),"")</f>
        <v/>
      </c>
      <c r="D1231" s="5" t="str">
        <f>IFERROR(IF(Portafolio_Proyectos!$AR410="","",Portafolio_Proyectos!$C410),"")</f>
        <v/>
      </c>
      <c r="E1231" s="5" t="str">
        <f>IFERROR(IF(Portafolio_Proyectos!$AR410="","",Portafolio_Proyectos!$B410),"")</f>
        <v/>
      </c>
      <c r="F1231" s="5" t="str">
        <f>IFERROR(IF(Portafolio_Proyectos!$AR410="","",Portafolio_Proyectos!$D410),"")</f>
        <v/>
      </c>
      <c r="G1231" s="5" t="str">
        <f>IFERROR(IF(Portafolio_Proyectos!$AR410="","",Portafolio_Proyectos!$A410),"")</f>
        <v/>
      </c>
      <c r="H1231" s="5" t="str">
        <f>IFERROR(IF(Portafolio_Proyectos!$AR410="","",Portafolio_Proyectos!$E410),"")</f>
        <v/>
      </c>
    </row>
    <row r="1232" spans="1:8" x14ac:dyDescent="0.35">
      <c r="A1232" s="5" t="str">
        <f>IFERROR(IF(Portafolio_Proyectos!$AP411="","","CAP-"&amp;ROW()-1),"")</f>
        <v/>
      </c>
      <c r="B1232" s="5" t="str">
        <f>IFERROR(IF(Portafolio_Proyectos!$AP411="","",Portafolio_Proyectos!$AP411),"")</f>
        <v/>
      </c>
      <c r="C1232" s="5" t="str">
        <f>IFERROR(IF(Portafolio_Proyectos!$AP411="","","Emergente"),"")</f>
        <v/>
      </c>
      <c r="D1232" s="5" t="str">
        <f>IFERROR(IF(Portafolio_Proyectos!$AP411="","",Portafolio_Proyectos!$C411),"")</f>
        <v/>
      </c>
      <c r="E1232" s="5" t="str">
        <f>IFERROR(IF(Portafolio_Proyectos!$AP411="","",Portafolio_Proyectos!$B411),"")</f>
        <v/>
      </c>
      <c r="F1232" s="5" t="str">
        <f>IFERROR(IF(Portafolio_Proyectos!$AP411="","",Portafolio_Proyectos!$D411),"")</f>
        <v/>
      </c>
      <c r="G1232" s="5" t="str">
        <f>IFERROR(IF(Portafolio_Proyectos!$AP411="","",Portafolio_Proyectos!$A411),"")</f>
        <v/>
      </c>
      <c r="H1232" s="5" t="str">
        <f>IFERROR(IF(Portafolio_Proyectos!$AP411="","",Portafolio_Proyectos!$E411),"")</f>
        <v/>
      </c>
    </row>
    <row r="1233" spans="1:8" x14ac:dyDescent="0.35">
      <c r="A1233" s="5" t="str">
        <f>IFERROR(IF(Portafolio_Proyectos!$AQ411="","","CAP-"&amp;ROW()-1),"")</f>
        <v/>
      </c>
      <c r="B1233" s="5" t="str">
        <f>IFERROR(IF(Portafolio_Proyectos!$AQ411="","",Portafolio_Proyectos!$AQ411),"")</f>
        <v/>
      </c>
      <c r="C1233" s="5" t="str">
        <f>IFERROR(IF(Portafolio_Proyectos!$AQ411="","","Consolidada"),"")</f>
        <v/>
      </c>
      <c r="D1233" s="5" t="str">
        <f>IFERROR(IF(Portafolio_Proyectos!$AQ411="","",Portafolio_Proyectos!$C411),"")</f>
        <v/>
      </c>
      <c r="E1233" s="5" t="str">
        <f>IFERROR(IF(Portafolio_Proyectos!$AQ411="","",Portafolio_Proyectos!$B411),"")</f>
        <v/>
      </c>
      <c r="F1233" s="5" t="str">
        <f>IFERROR(IF(Portafolio_Proyectos!$AQ411="","",Portafolio_Proyectos!$D411),"")</f>
        <v/>
      </c>
      <c r="G1233" s="5" t="str">
        <f>IFERROR(IF(Portafolio_Proyectos!$AQ411="","",Portafolio_Proyectos!$A411),"")</f>
        <v/>
      </c>
      <c r="H1233" s="5" t="str">
        <f>IFERROR(IF(Portafolio_Proyectos!$AQ411="","",Portafolio_Proyectos!$E411),"")</f>
        <v/>
      </c>
    </row>
    <row r="1234" spans="1:8" x14ac:dyDescent="0.35">
      <c r="A1234" s="5" t="str">
        <f>IFERROR(IF(Portafolio_Proyectos!$AR411="","","CAP-"&amp;ROW()-1),"")</f>
        <v/>
      </c>
      <c r="B1234" s="5" t="str">
        <f>IFERROR(IF(Portafolio_Proyectos!$AR411="","",Portafolio_Proyectos!$AR411),"")</f>
        <v/>
      </c>
      <c r="C1234" s="5" t="str">
        <f>IFERROR(IF(Portafolio_Proyectos!$AR411="","","Distintiva"),"")</f>
        <v/>
      </c>
      <c r="D1234" s="5" t="str">
        <f>IFERROR(IF(Portafolio_Proyectos!$AR411="","",Portafolio_Proyectos!$C411),"")</f>
        <v/>
      </c>
      <c r="E1234" s="5" t="str">
        <f>IFERROR(IF(Portafolio_Proyectos!$AR411="","",Portafolio_Proyectos!$B411),"")</f>
        <v/>
      </c>
      <c r="F1234" s="5" t="str">
        <f>IFERROR(IF(Portafolio_Proyectos!$AR411="","",Portafolio_Proyectos!$D411),"")</f>
        <v/>
      </c>
      <c r="G1234" s="5" t="str">
        <f>IFERROR(IF(Portafolio_Proyectos!$AR411="","",Portafolio_Proyectos!$A411),"")</f>
        <v/>
      </c>
      <c r="H1234" s="5" t="str">
        <f>IFERROR(IF(Portafolio_Proyectos!$AR411="","",Portafolio_Proyectos!$E411),"")</f>
        <v/>
      </c>
    </row>
    <row r="1235" spans="1:8" x14ac:dyDescent="0.35">
      <c r="A1235" s="5" t="str">
        <f>IFERROR(IF(Portafolio_Proyectos!$AP412="","","CAP-"&amp;ROW()-1),"")</f>
        <v/>
      </c>
      <c r="B1235" s="5" t="str">
        <f>IFERROR(IF(Portafolio_Proyectos!$AP412="","",Portafolio_Proyectos!$AP412),"")</f>
        <v/>
      </c>
      <c r="C1235" s="5" t="str">
        <f>IFERROR(IF(Portafolio_Proyectos!$AP412="","","Emergente"),"")</f>
        <v/>
      </c>
      <c r="D1235" s="5" t="str">
        <f>IFERROR(IF(Portafolio_Proyectos!$AP412="","",Portafolio_Proyectos!$C412),"")</f>
        <v/>
      </c>
      <c r="E1235" s="5" t="str">
        <f>IFERROR(IF(Portafolio_Proyectos!$AP412="","",Portafolio_Proyectos!$B412),"")</f>
        <v/>
      </c>
      <c r="F1235" s="5" t="str">
        <f>IFERROR(IF(Portafolio_Proyectos!$AP412="","",Portafolio_Proyectos!$D412),"")</f>
        <v/>
      </c>
      <c r="G1235" s="5" t="str">
        <f>IFERROR(IF(Portafolio_Proyectos!$AP412="","",Portafolio_Proyectos!$A412),"")</f>
        <v/>
      </c>
      <c r="H1235" s="5" t="str">
        <f>IFERROR(IF(Portafolio_Proyectos!$AP412="","",Portafolio_Proyectos!$E412),"")</f>
        <v/>
      </c>
    </row>
    <row r="1236" spans="1:8" x14ac:dyDescent="0.35">
      <c r="A1236" s="5" t="str">
        <f>IFERROR(IF(Portafolio_Proyectos!$AQ412="","","CAP-"&amp;ROW()-1),"")</f>
        <v/>
      </c>
      <c r="B1236" s="5" t="str">
        <f>IFERROR(IF(Portafolio_Proyectos!$AQ412="","",Portafolio_Proyectos!$AQ412),"")</f>
        <v/>
      </c>
      <c r="C1236" s="5" t="str">
        <f>IFERROR(IF(Portafolio_Proyectos!$AQ412="","","Consolidada"),"")</f>
        <v/>
      </c>
      <c r="D1236" s="5" t="str">
        <f>IFERROR(IF(Portafolio_Proyectos!$AQ412="","",Portafolio_Proyectos!$C412),"")</f>
        <v/>
      </c>
      <c r="E1236" s="5" t="str">
        <f>IFERROR(IF(Portafolio_Proyectos!$AQ412="","",Portafolio_Proyectos!$B412),"")</f>
        <v/>
      </c>
      <c r="F1236" s="5" t="str">
        <f>IFERROR(IF(Portafolio_Proyectos!$AQ412="","",Portafolio_Proyectos!$D412),"")</f>
        <v/>
      </c>
      <c r="G1236" s="5" t="str">
        <f>IFERROR(IF(Portafolio_Proyectos!$AQ412="","",Portafolio_Proyectos!$A412),"")</f>
        <v/>
      </c>
      <c r="H1236" s="5" t="str">
        <f>IFERROR(IF(Portafolio_Proyectos!$AQ412="","",Portafolio_Proyectos!$E412),"")</f>
        <v/>
      </c>
    </row>
    <row r="1237" spans="1:8" x14ac:dyDescent="0.35">
      <c r="A1237" s="5" t="str">
        <f>IFERROR(IF(Portafolio_Proyectos!$AR412="","","CAP-"&amp;ROW()-1),"")</f>
        <v/>
      </c>
      <c r="B1237" s="5" t="str">
        <f>IFERROR(IF(Portafolio_Proyectos!$AR412="","",Portafolio_Proyectos!$AR412),"")</f>
        <v/>
      </c>
      <c r="C1237" s="5" t="str">
        <f>IFERROR(IF(Portafolio_Proyectos!$AR412="","","Distintiva"),"")</f>
        <v/>
      </c>
      <c r="D1237" s="5" t="str">
        <f>IFERROR(IF(Portafolio_Proyectos!$AR412="","",Portafolio_Proyectos!$C412),"")</f>
        <v/>
      </c>
      <c r="E1237" s="5" t="str">
        <f>IFERROR(IF(Portafolio_Proyectos!$AR412="","",Portafolio_Proyectos!$B412),"")</f>
        <v/>
      </c>
      <c r="F1237" s="5" t="str">
        <f>IFERROR(IF(Portafolio_Proyectos!$AR412="","",Portafolio_Proyectos!$D412),"")</f>
        <v/>
      </c>
      <c r="G1237" s="5" t="str">
        <f>IFERROR(IF(Portafolio_Proyectos!$AR412="","",Portafolio_Proyectos!$A412),"")</f>
        <v/>
      </c>
      <c r="H1237" s="5" t="str">
        <f>IFERROR(IF(Portafolio_Proyectos!$AR412="","",Portafolio_Proyectos!$E412),"")</f>
        <v/>
      </c>
    </row>
    <row r="1238" spans="1:8" x14ac:dyDescent="0.35">
      <c r="A1238" s="5" t="str">
        <f>IFERROR(IF(Portafolio_Proyectos!$AP413="","","CAP-"&amp;ROW()-1),"")</f>
        <v/>
      </c>
      <c r="B1238" s="5" t="str">
        <f>IFERROR(IF(Portafolio_Proyectos!$AP413="","",Portafolio_Proyectos!$AP413),"")</f>
        <v/>
      </c>
      <c r="C1238" s="5" t="str">
        <f>IFERROR(IF(Portafolio_Proyectos!$AP413="","","Emergente"),"")</f>
        <v/>
      </c>
      <c r="D1238" s="5" t="str">
        <f>IFERROR(IF(Portafolio_Proyectos!$AP413="","",Portafolio_Proyectos!$C413),"")</f>
        <v/>
      </c>
      <c r="E1238" s="5" t="str">
        <f>IFERROR(IF(Portafolio_Proyectos!$AP413="","",Portafolio_Proyectos!$B413),"")</f>
        <v/>
      </c>
      <c r="F1238" s="5" t="str">
        <f>IFERROR(IF(Portafolio_Proyectos!$AP413="","",Portafolio_Proyectos!$D413),"")</f>
        <v/>
      </c>
      <c r="G1238" s="5" t="str">
        <f>IFERROR(IF(Portafolio_Proyectos!$AP413="","",Portafolio_Proyectos!$A413),"")</f>
        <v/>
      </c>
      <c r="H1238" s="5" t="str">
        <f>IFERROR(IF(Portafolio_Proyectos!$AP413="","",Portafolio_Proyectos!$E413),"")</f>
        <v/>
      </c>
    </row>
    <row r="1239" spans="1:8" x14ac:dyDescent="0.35">
      <c r="A1239" s="5" t="str">
        <f>IFERROR(IF(Portafolio_Proyectos!$AQ413="","","CAP-"&amp;ROW()-1),"")</f>
        <v/>
      </c>
      <c r="B1239" s="5" t="str">
        <f>IFERROR(IF(Portafolio_Proyectos!$AQ413="","",Portafolio_Proyectos!$AQ413),"")</f>
        <v/>
      </c>
      <c r="C1239" s="5" t="str">
        <f>IFERROR(IF(Portafolio_Proyectos!$AQ413="","","Consolidada"),"")</f>
        <v/>
      </c>
      <c r="D1239" s="5" t="str">
        <f>IFERROR(IF(Portafolio_Proyectos!$AQ413="","",Portafolio_Proyectos!$C413),"")</f>
        <v/>
      </c>
      <c r="E1239" s="5" t="str">
        <f>IFERROR(IF(Portafolio_Proyectos!$AQ413="","",Portafolio_Proyectos!$B413),"")</f>
        <v/>
      </c>
      <c r="F1239" s="5" t="str">
        <f>IFERROR(IF(Portafolio_Proyectos!$AQ413="","",Portafolio_Proyectos!$D413),"")</f>
        <v/>
      </c>
      <c r="G1239" s="5" t="str">
        <f>IFERROR(IF(Portafolio_Proyectos!$AQ413="","",Portafolio_Proyectos!$A413),"")</f>
        <v/>
      </c>
      <c r="H1239" s="5" t="str">
        <f>IFERROR(IF(Portafolio_Proyectos!$AQ413="","",Portafolio_Proyectos!$E413),"")</f>
        <v/>
      </c>
    </row>
    <row r="1240" spans="1:8" x14ac:dyDescent="0.35">
      <c r="A1240" s="5" t="str">
        <f>IFERROR(IF(Portafolio_Proyectos!$AR413="","","CAP-"&amp;ROW()-1),"")</f>
        <v/>
      </c>
      <c r="B1240" s="5" t="str">
        <f>IFERROR(IF(Portafolio_Proyectos!$AR413="","",Portafolio_Proyectos!$AR413),"")</f>
        <v/>
      </c>
      <c r="C1240" s="5" t="str">
        <f>IFERROR(IF(Portafolio_Proyectos!$AR413="","","Distintiva"),"")</f>
        <v/>
      </c>
      <c r="D1240" s="5" t="str">
        <f>IFERROR(IF(Portafolio_Proyectos!$AR413="","",Portafolio_Proyectos!$C413),"")</f>
        <v/>
      </c>
      <c r="E1240" s="5" t="str">
        <f>IFERROR(IF(Portafolio_Proyectos!$AR413="","",Portafolio_Proyectos!$B413),"")</f>
        <v/>
      </c>
      <c r="F1240" s="5" t="str">
        <f>IFERROR(IF(Portafolio_Proyectos!$AR413="","",Portafolio_Proyectos!$D413),"")</f>
        <v/>
      </c>
      <c r="G1240" s="5" t="str">
        <f>IFERROR(IF(Portafolio_Proyectos!$AR413="","",Portafolio_Proyectos!$A413),"")</f>
        <v/>
      </c>
      <c r="H1240" s="5" t="str">
        <f>IFERROR(IF(Portafolio_Proyectos!$AR413="","",Portafolio_Proyectos!$E413),"")</f>
        <v/>
      </c>
    </row>
    <row r="1241" spans="1:8" x14ac:dyDescent="0.35">
      <c r="A1241" s="5" t="str">
        <f>IFERROR(IF(Portafolio_Proyectos!$AP414="","","CAP-"&amp;ROW()-1),"")</f>
        <v/>
      </c>
      <c r="B1241" s="5" t="str">
        <f>IFERROR(IF(Portafolio_Proyectos!$AP414="","",Portafolio_Proyectos!$AP414),"")</f>
        <v/>
      </c>
      <c r="C1241" s="5" t="str">
        <f>IFERROR(IF(Portafolio_Proyectos!$AP414="","","Emergente"),"")</f>
        <v/>
      </c>
      <c r="D1241" s="5" t="str">
        <f>IFERROR(IF(Portafolio_Proyectos!$AP414="","",Portafolio_Proyectos!$C414),"")</f>
        <v/>
      </c>
      <c r="E1241" s="5" t="str">
        <f>IFERROR(IF(Portafolio_Proyectos!$AP414="","",Portafolio_Proyectos!$B414),"")</f>
        <v/>
      </c>
      <c r="F1241" s="5" t="str">
        <f>IFERROR(IF(Portafolio_Proyectos!$AP414="","",Portafolio_Proyectos!$D414),"")</f>
        <v/>
      </c>
      <c r="G1241" s="5" t="str">
        <f>IFERROR(IF(Portafolio_Proyectos!$AP414="","",Portafolio_Proyectos!$A414),"")</f>
        <v/>
      </c>
      <c r="H1241" s="5" t="str">
        <f>IFERROR(IF(Portafolio_Proyectos!$AP414="","",Portafolio_Proyectos!$E414),"")</f>
        <v/>
      </c>
    </row>
    <row r="1242" spans="1:8" x14ac:dyDescent="0.35">
      <c r="A1242" s="5" t="str">
        <f>IFERROR(IF(Portafolio_Proyectos!$AQ414="","","CAP-"&amp;ROW()-1),"")</f>
        <v/>
      </c>
      <c r="B1242" s="5" t="str">
        <f>IFERROR(IF(Portafolio_Proyectos!$AQ414="","",Portafolio_Proyectos!$AQ414),"")</f>
        <v/>
      </c>
      <c r="C1242" s="5" t="str">
        <f>IFERROR(IF(Portafolio_Proyectos!$AQ414="","","Consolidada"),"")</f>
        <v/>
      </c>
      <c r="D1242" s="5" t="str">
        <f>IFERROR(IF(Portafolio_Proyectos!$AQ414="","",Portafolio_Proyectos!$C414),"")</f>
        <v/>
      </c>
      <c r="E1242" s="5" t="str">
        <f>IFERROR(IF(Portafolio_Proyectos!$AQ414="","",Portafolio_Proyectos!$B414),"")</f>
        <v/>
      </c>
      <c r="F1242" s="5" t="str">
        <f>IFERROR(IF(Portafolio_Proyectos!$AQ414="","",Portafolio_Proyectos!$D414),"")</f>
        <v/>
      </c>
      <c r="G1242" s="5" t="str">
        <f>IFERROR(IF(Portafolio_Proyectos!$AQ414="","",Portafolio_Proyectos!$A414),"")</f>
        <v/>
      </c>
      <c r="H1242" s="5" t="str">
        <f>IFERROR(IF(Portafolio_Proyectos!$AQ414="","",Portafolio_Proyectos!$E414),"")</f>
        <v/>
      </c>
    </row>
    <row r="1243" spans="1:8" x14ac:dyDescent="0.35">
      <c r="A1243" s="5" t="str">
        <f>IFERROR(IF(Portafolio_Proyectos!$AR414="","","CAP-"&amp;ROW()-1),"")</f>
        <v/>
      </c>
      <c r="B1243" s="5" t="str">
        <f>IFERROR(IF(Portafolio_Proyectos!$AR414="","",Portafolio_Proyectos!$AR414),"")</f>
        <v/>
      </c>
      <c r="C1243" s="5" t="str">
        <f>IFERROR(IF(Portafolio_Proyectos!$AR414="","","Distintiva"),"")</f>
        <v/>
      </c>
      <c r="D1243" s="5" t="str">
        <f>IFERROR(IF(Portafolio_Proyectos!$AR414="","",Portafolio_Proyectos!$C414),"")</f>
        <v/>
      </c>
      <c r="E1243" s="5" t="str">
        <f>IFERROR(IF(Portafolio_Proyectos!$AR414="","",Portafolio_Proyectos!$B414),"")</f>
        <v/>
      </c>
      <c r="F1243" s="5" t="str">
        <f>IFERROR(IF(Portafolio_Proyectos!$AR414="","",Portafolio_Proyectos!$D414),"")</f>
        <v/>
      </c>
      <c r="G1243" s="5" t="str">
        <f>IFERROR(IF(Portafolio_Proyectos!$AR414="","",Portafolio_Proyectos!$A414),"")</f>
        <v/>
      </c>
      <c r="H1243" s="5" t="str">
        <f>IFERROR(IF(Portafolio_Proyectos!$AR414="","",Portafolio_Proyectos!$E414),"")</f>
        <v/>
      </c>
    </row>
    <row r="1244" spans="1:8" x14ac:dyDescent="0.35">
      <c r="A1244" s="5" t="str">
        <f>IFERROR(IF(Portafolio_Proyectos!$AP415="","","CAP-"&amp;ROW()-1),"")</f>
        <v/>
      </c>
      <c r="B1244" s="5" t="str">
        <f>IFERROR(IF(Portafolio_Proyectos!$AP415="","",Portafolio_Proyectos!$AP415),"")</f>
        <v/>
      </c>
      <c r="C1244" s="5" t="str">
        <f>IFERROR(IF(Portafolio_Proyectos!$AP415="","","Emergente"),"")</f>
        <v/>
      </c>
      <c r="D1244" s="5" t="str">
        <f>IFERROR(IF(Portafolio_Proyectos!$AP415="","",Portafolio_Proyectos!$C415),"")</f>
        <v/>
      </c>
      <c r="E1244" s="5" t="str">
        <f>IFERROR(IF(Portafolio_Proyectos!$AP415="","",Portafolio_Proyectos!$B415),"")</f>
        <v/>
      </c>
      <c r="F1244" s="5" t="str">
        <f>IFERROR(IF(Portafolio_Proyectos!$AP415="","",Portafolio_Proyectos!$D415),"")</f>
        <v/>
      </c>
      <c r="G1244" s="5" t="str">
        <f>IFERROR(IF(Portafolio_Proyectos!$AP415="","",Portafolio_Proyectos!$A415),"")</f>
        <v/>
      </c>
      <c r="H1244" s="5" t="str">
        <f>IFERROR(IF(Portafolio_Proyectos!$AP415="","",Portafolio_Proyectos!$E415),"")</f>
        <v/>
      </c>
    </row>
    <row r="1245" spans="1:8" x14ac:dyDescent="0.35">
      <c r="A1245" s="5" t="str">
        <f>IFERROR(IF(Portafolio_Proyectos!$AQ415="","","CAP-"&amp;ROW()-1),"")</f>
        <v/>
      </c>
      <c r="B1245" s="5" t="str">
        <f>IFERROR(IF(Portafolio_Proyectos!$AQ415="","",Portafolio_Proyectos!$AQ415),"")</f>
        <v/>
      </c>
      <c r="C1245" s="5" t="str">
        <f>IFERROR(IF(Portafolio_Proyectos!$AQ415="","","Consolidada"),"")</f>
        <v/>
      </c>
      <c r="D1245" s="5" t="str">
        <f>IFERROR(IF(Portafolio_Proyectos!$AQ415="","",Portafolio_Proyectos!$C415),"")</f>
        <v/>
      </c>
      <c r="E1245" s="5" t="str">
        <f>IFERROR(IF(Portafolio_Proyectos!$AQ415="","",Portafolio_Proyectos!$B415),"")</f>
        <v/>
      </c>
      <c r="F1245" s="5" t="str">
        <f>IFERROR(IF(Portafolio_Proyectos!$AQ415="","",Portafolio_Proyectos!$D415),"")</f>
        <v/>
      </c>
      <c r="G1245" s="5" t="str">
        <f>IFERROR(IF(Portafolio_Proyectos!$AQ415="","",Portafolio_Proyectos!$A415),"")</f>
        <v/>
      </c>
      <c r="H1245" s="5" t="str">
        <f>IFERROR(IF(Portafolio_Proyectos!$AQ415="","",Portafolio_Proyectos!$E415),"")</f>
        <v/>
      </c>
    </row>
    <row r="1246" spans="1:8" x14ac:dyDescent="0.35">
      <c r="A1246" s="5" t="str">
        <f>IFERROR(IF(Portafolio_Proyectos!$AR415="","","CAP-"&amp;ROW()-1),"")</f>
        <v/>
      </c>
      <c r="B1246" s="5" t="str">
        <f>IFERROR(IF(Portafolio_Proyectos!$AR415="","",Portafolio_Proyectos!$AR415),"")</f>
        <v/>
      </c>
      <c r="C1246" s="5" t="str">
        <f>IFERROR(IF(Portafolio_Proyectos!$AR415="","","Distintiva"),"")</f>
        <v/>
      </c>
      <c r="D1246" s="5" t="str">
        <f>IFERROR(IF(Portafolio_Proyectos!$AR415="","",Portafolio_Proyectos!$C415),"")</f>
        <v/>
      </c>
      <c r="E1246" s="5" t="str">
        <f>IFERROR(IF(Portafolio_Proyectos!$AR415="","",Portafolio_Proyectos!$B415),"")</f>
        <v/>
      </c>
      <c r="F1246" s="5" t="str">
        <f>IFERROR(IF(Portafolio_Proyectos!$AR415="","",Portafolio_Proyectos!$D415),"")</f>
        <v/>
      </c>
      <c r="G1246" s="5" t="str">
        <f>IFERROR(IF(Portafolio_Proyectos!$AR415="","",Portafolio_Proyectos!$A415),"")</f>
        <v/>
      </c>
      <c r="H1246" s="5" t="str">
        <f>IFERROR(IF(Portafolio_Proyectos!$AR415="","",Portafolio_Proyectos!$E415),"")</f>
        <v/>
      </c>
    </row>
    <row r="1247" spans="1:8" x14ac:dyDescent="0.35">
      <c r="A1247" s="5" t="str">
        <f>IFERROR(IF(Portafolio_Proyectos!$AP416="","","CAP-"&amp;ROW()-1),"")</f>
        <v/>
      </c>
      <c r="B1247" s="5" t="str">
        <f>IFERROR(IF(Portafolio_Proyectos!$AP416="","",Portafolio_Proyectos!$AP416),"")</f>
        <v/>
      </c>
      <c r="C1247" s="5" t="str">
        <f>IFERROR(IF(Portafolio_Proyectos!$AP416="","","Emergente"),"")</f>
        <v/>
      </c>
      <c r="D1247" s="5" t="str">
        <f>IFERROR(IF(Portafolio_Proyectos!$AP416="","",Portafolio_Proyectos!$C416),"")</f>
        <v/>
      </c>
      <c r="E1247" s="5" t="str">
        <f>IFERROR(IF(Portafolio_Proyectos!$AP416="","",Portafolio_Proyectos!$B416),"")</f>
        <v/>
      </c>
      <c r="F1247" s="5" t="str">
        <f>IFERROR(IF(Portafolio_Proyectos!$AP416="","",Portafolio_Proyectos!$D416),"")</f>
        <v/>
      </c>
      <c r="G1247" s="5" t="str">
        <f>IFERROR(IF(Portafolio_Proyectos!$AP416="","",Portafolio_Proyectos!$A416),"")</f>
        <v/>
      </c>
      <c r="H1247" s="5" t="str">
        <f>IFERROR(IF(Portafolio_Proyectos!$AP416="","",Portafolio_Proyectos!$E416),"")</f>
        <v/>
      </c>
    </row>
    <row r="1248" spans="1:8" x14ac:dyDescent="0.35">
      <c r="A1248" s="5" t="str">
        <f>IFERROR(IF(Portafolio_Proyectos!$AQ416="","","CAP-"&amp;ROW()-1),"")</f>
        <v/>
      </c>
      <c r="B1248" s="5" t="str">
        <f>IFERROR(IF(Portafolio_Proyectos!$AQ416="","",Portafolio_Proyectos!$AQ416),"")</f>
        <v/>
      </c>
      <c r="C1248" s="5" t="str">
        <f>IFERROR(IF(Portafolio_Proyectos!$AQ416="","","Consolidada"),"")</f>
        <v/>
      </c>
      <c r="D1248" s="5" t="str">
        <f>IFERROR(IF(Portafolio_Proyectos!$AQ416="","",Portafolio_Proyectos!$C416),"")</f>
        <v/>
      </c>
      <c r="E1248" s="5" t="str">
        <f>IFERROR(IF(Portafolio_Proyectos!$AQ416="","",Portafolio_Proyectos!$B416),"")</f>
        <v/>
      </c>
      <c r="F1248" s="5" t="str">
        <f>IFERROR(IF(Portafolio_Proyectos!$AQ416="","",Portafolio_Proyectos!$D416),"")</f>
        <v/>
      </c>
      <c r="G1248" s="5" t="str">
        <f>IFERROR(IF(Portafolio_Proyectos!$AQ416="","",Portafolio_Proyectos!$A416),"")</f>
        <v/>
      </c>
      <c r="H1248" s="5" t="str">
        <f>IFERROR(IF(Portafolio_Proyectos!$AQ416="","",Portafolio_Proyectos!$E416),"")</f>
        <v/>
      </c>
    </row>
    <row r="1249" spans="1:8" x14ac:dyDescent="0.35">
      <c r="A1249" s="5" t="str">
        <f>IFERROR(IF(Portafolio_Proyectos!$AR416="","","CAP-"&amp;ROW()-1),"")</f>
        <v/>
      </c>
      <c r="B1249" s="5" t="str">
        <f>IFERROR(IF(Portafolio_Proyectos!$AR416="","",Portafolio_Proyectos!$AR416),"")</f>
        <v/>
      </c>
      <c r="C1249" s="5" t="str">
        <f>IFERROR(IF(Portafolio_Proyectos!$AR416="","","Distintiva"),"")</f>
        <v/>
      </c>
      <c r="D1249" s="5" t="str">
        <f>IFERROR(IF(Portafolio_Proyectos!$AR416="","",Portafolio_Proyectos!$C416),"")</f>
        <v/>
      </c>
      <c r="E1249" s="5" t="str">
        <f>IFERROR(IF(Portafolio_Proyectos!$AR416="","",Portafolio_Proyectos!$B416),"")</f>
        <v/>
      </c>
      <c r="F1249" s="5" t="str">
        <f>IFERROR(IF(Portafolio_Proyectos!$AR416="","",Portafolio_Proyectos!$D416),"")</f>
        <v/>
      </c>
      <c r="G1249" s="5" t="str">
        <f>IFERROR(IF(Portafolio_Proyectos!$AR416="","",Portafolio_Proyectos!$A416),"")</f>
        <v/>
      </c>
      <c r="H1249" s="5" t="str">
        <f>IFERROR(IF(Portafolio_Proyectos!$AR416="","",Portafolio_Proyectos!$E416),"")</f>
        <v/>
      </c>
    </row>
    <row r="1250" spans="1:8" x14ac:dyDescent="0.35">
      <c r="A1250" s="5" t="str">
        <f>IFERROR(IF(Portafolio_Proyectos!$AP417="","","CAP-"&amp;ROW()-1),"")</f>
        <v/>
      </c>
      <c r="B1250" s="5" t="str">
        <f>IFERROR(IF(Portafolio_Proyectos!$AP417="","",Portafolio_Proyectos!$AP417),"")</f>
        <v/>
      </c>
      <c r="C1250" s="5" t="str">
        <f>IFERROR(IF(Portafolio_Proyectos!$AP417="","","Emergente"),"")</f>
        <v/>
      </c>
      <c r="D1250" s="5" t="str">
        <f>IFERROR(IF(Portafolio_Proyectos!$AP417="","",Portafolio_Proyectos!$C417),"")</f>
        <v/>
      </c>
      <c r="E1250" s="5" t="str">
        <f>IFERROR(IF(Portafolio_Proyectos!$AP417="","",Portafolio_Proyectos!$B417),"")</f>
        <v/>
      </c>
      <c r="F1250" s="5" t="str">
        <f>IFERROR(IF(Portafolio_Proyectos!$AP417="","",Portafolio_Proyectos!$D417),"")</f>
        <v/>
      </c>
      <c r="G1250" s="5" t="str">
        <f>IFERROR(IF(Portafolio_Proyectos!$AP417="","",Portafolio_Proyectos!$A417),"")</f>
        <v/>
      </c>
      <c r="H1250" s="5" t="str">
        <f>IFERROR(IF(Portafolio_Proyectos!$AP417="","",Portafolio_Proyectos!$E417),"")</f>
        <v/>
      </c>
    </row>
    <row r="1251" spans="1:8" x14ac:dyDescent="0.35">
      <c r="A1251" s="5" t="str">
        <f>IFERROR(IF(Portafolio_Proyectos!$AQ417="","","CAP-"&amp;ROW()-1),"")</f>
        <v/>
      </c>
      <c r="B1251" s="5" t="str">
        <f>IFERROR(IF(Portafolio_Proyectos!$AQ417="","",Portafolio_Proyectos!$AQ417),"")</f>
        <v/>
      </c>
      <c r="C1251" s="5" t="str">
        <f>IFERROR(IF(Portafolio_Proyectos!$AQ417="","","Consolidada"),"")</f>
        <v/>
      </c>
      <c r="D1251" s="5" t="str">
        <f>IFERROR(IF(Portafolio_Proyectos!$AQ417="","",Portafolio_Proyectos!$C417),"")</f>
        <v/>
      </c>
      <c r="E1251" s="5" t="str">
        <f>IFERROR(IF(Portafolio_Proyectos!$AQ417="","",Portafolio_Proyectos!$B417),"")</f>
        <v/>
      </c>
      <c r="F1251" s="5" t="str">
        <f>IFERROR(IF(Portafolio_Proyectos!$AQ417="","",Portafolio_Proyectos!$D417),"")</f>
        <v/>
      </c>
      <c r="G1251" s="5" t="str">
        <f>IFERROR(IF(Portafolio_Proyectos!$AQ417="","",Portafolio_Proyectos!$A417),"")</f>
        <v/>
      </c>
      <c r="H1251" s="5" t="str">
        <f>IFERROR(IF(Portafolio_Proyectos!$AQ417="","",Portafolio_Proyectos!$E417),"")</f>
        <v/>
      </c>
    </row>
    <row r="1252" spans="1:8" x14ac:dyDescent="0.35">
      <c r="A1252" s="5" t="str">
        <f>IFERROR(IF(Portafolio_Proyectos!$AR417="","","CAP-"&amp;ROW()-1),"")</f>
        <v/>
      </c>
      <c r="B1252" s="5" t="str">
        <f>IFERROR(IF(Portafolio_Proyectos!$AR417="","",Portafolio_Proyectos!$AR417),"")</f>
        <v/>
      </c>
      <c r="C1252" s="5" t="str">
        <f>IFERROR(IF(Portafolio_Proyectos!$AR417="","","Distintiva"),"")</f>
        <v/>
      </c>
      <c r="D1252" s="5" t="str">
        <f>IFERROR(IF(Portafolio_Proyectos!$AR417="","",Portafolio_Proyectos!$C417),"")</f>
        <v/>
      </c>
      <c r="E1252" s="5" t="str">
        <f>IFERROR(IF(Portafolio_Proyectos!$AR417="","",Portafolio_Proyectos!$B417),"")</f>
        <v/>
      </c>
      <c r="F1252" s="5" t="str">
        <f>IFERROR(IF(Portafolio_Proyectos!$AR417="","",Portafolio_Proyectos!$D417),"")</f>
        <v/>
      </c>
      <c r="G1252" s="5" t="str">
        <f>IFERROR(IF(Portafolio_Proyectos!$AR417="","",Portafolio_Proyectos!$A417),"")</f>
        <v/>
      </c>
      <c r="H1252" s="5" t="str">
        <f>IFERROR(IF(Portafolio_Proyectos!$AR417="","",Portafolio_Proyectos!$E417),"")</f>
        <v/>
      </c>
    </row>
    <row r="1253" spans="1:8" x14ac:dyDescent="0.35">
      <c r="A1253" s="5" t="str">
        <f>IFERROR(IF(Portafolio_Proyectos!$AP418="","","CAP-"&amp;ROW()-1),"")</f>
        <v/>
      </c>
      <c r="B1253" s="5" t="str">
        <f>IFERROR(IF(Portafolio_Proyectos!$AP418="","",Portafolio_Proyectos!$AP418),"")</f>
        <v/>
      </c>
      <c r="C1253" s="5" t="str">
        <f>IFERROR(IF(Portafolio_Proyectos!$AP418="","","Emergente"),"")</f>
        <v/>
      </c>
      <c r="D1253" s="5" t="str">
        <f>IFERROR(IF(Portafolio_Proyectos!$AP418="","",Portafolio_Proyectos!$C418),"")</f>
        <v/>
      </c>
      <c r="E1253" s="5" t="str">
        <f>IFERROR(IF(Portafolio_Proyectos!$AP418="","",Portafolio_Proyectos!$B418),"")</f>
        <v/>
      </c>
      <c r="F1253" s="5" t="str">
        <f>IFERROR(IF(Portafolio_Proyectos!$AP418="","",Portafolio_Proyectos!$D418),"")</f>
        <v/>
      </c>
      <c r="G1253" s="5" t="str">
        <f>IFERROR(IF(Portafolio_Proyectos!$AP418="","",Portafolio_Proyectos!$A418),"")</f>
        <v/>
      </c>
      <c r="H1253" s="5" t="str">
        <f>IFERROR(IF(Portafolio_Proyectos!$AP418="","",Portafolio_Proyectos!$E418),"")</f>
        <v/>
      </c>
    </row>
    <row r="1254" spans="1:8" x14ac:dyDescent="0.35">
      <c r="A1254" s="5" t="str">
        <f>IFERROR(IF(Portafolio_Proyectos!$AQ418="","","CAP-"&amp;ROW()-1),"")</f>
        <v/>
      </c>
      <c r="B1254" s="5" t="str">
        <f>IFERROR(IF(Portafolio_Proyectos!$AQ418="","",Portafolio_Proyectos!$AQ418),"")</f>
        <v/>
      </c>
      <c r="C1254" s="5" t="str">
        <f>IFERROR(IF(Portafolio_Proyectos!$AQ418="","","Consolidada"),"")</f>
        <v/>
      </c>
      <c r="D1254" s="5" t="str">
        <f>IFERROR(IF(Portafolio_Proyectos!$AQ418="","",Portafolio_Proyectos!$C418),"")</f>
        <v/>
      </c>
      <c r="E1254" s="5" t="str">
        <f>IFERROR(IF(Portafolio_Proyectos!$AQ418="","",Portafolio_Proyectos!$B418),"")</f>
        <v/>
      </c>
      <c r="F1254" s="5" t="str">
        <f>IFERROR(IF(Portafolio_Proyectos!$AQ418="","",Portafolio_Proyectos!$D418),"")</f>
        <v/>
      </c>
      <c r="G1254" s="5" t="str">
        <f>IFERROR(IF(Portafolio_Proyectos!$AQ418="","",Portafolio_Proyectos!$A418),"")</f>
        <v/>
      </c>
      <c r="H1254" s="5" t="str">
        <f>IFERROR(IF(Portafolio_Proyectos!$AQ418="","",Portafolio_Proyectos!$E418),"")</f>
        <v/>
      </c>
    </row>
    <row r="1255" spans="1:8" x14ac:dyDescent="0.35">
      <c r="A1255" s="5" t="str">
        <f>IFERROR(IF(Portafolio_Proyectos!$AR418="","","CAP-"&amp;ROW()-1),"")</f>
        <v/>
      </c>
      <c r="B1255" s="5" t="str">
        <f>IFERROR(IF(Portafolio_Proyectos!$AR418="","",Portafolio_Proyectos!$AR418),"")</f>
        <v/>
      </c>
      <c r="C1255" s="5" t="str">
        <f>IFERROR(IF(Portafolio_Proyectos!$AR418="","","Distintiva"),"")</f>
        <v/>
      </c>
      <c r="D1255" s="5" t="str">
        <f>IFERROR(IF(Portafolio_Proyectos!$AR418="","",Portafolio_Proyectos!$C418),"")</f>
        <v/>
      </c>
      <c r="E1255" s="5" t="str">
        <f>IFERROR(IF(Portafolio_Proyectos!$AR418="","",Portafolio_Proyectos!$B418),"")</f>
        <v/>
      </c>
      <c r="F1255" s="5" t="str">
        <f>IFERROR(IF(Portafolio_Proyectos!$AR418="","",Portafolio_Proyectos!$D418),"")</f>
        <v/>
      </c>
      <c r="G1255" s="5" t="str">
        <f>IFERROR(IF(Portafolio_Proyectos!$AR418="","",Portafolio_Proyectos!$A418),"")</f>
        <v/>
      </c>
      <c r="H1255" s="5" t="str">
        <f>IFERROR(IF(Portafolio_Proyectos!$AR418="","",Portafolio_Proyectos!$E418),"")</f>
        <v/>
      </c>
    </row>
    <row r="1256" spans="1:8" x14ac:dyDescent="0.35">
      <c r="A1256" s="5" t="str">
        <f>IFERROR(IF(Portafolio_Proyectos!$AP419="","","CAP-"&amp;ROW()-1),"")</f>
        <v/>
      </c>
      <c r="B1256" s="5" t="str">
        <f>IFERROR(IF(Portafolio_Proyectos!$AP419="","",Portafolio_Proyectos!$AP419),"")</f>
        <v/>
      </c>
      <c r="C1256" s="5" t="str">
        <f>IFERROR(IF(Portafolio_Proyectos!$AP419="","","Emergente"),"")</f>
        <v/>
      </c>
      <c r="D1256" s="5" t="str">
        <f>IFERROR(IF(Portafolio_Proyectos!$AP419="","",Portafolio_Proyectos!$C419),"")</f>
        <v/>
      </c>
      <c r="E1256" s="5" t="str">
        <f>IFERROR(IF(Portafolio_Proyectos!$AP419="","",Portafolio_Proyectos!$B419),"")</f>
        <v/>
      </c>
      <c r="F1256" s="5" t="str">
        <f>IFERROR(IF(Portafolio_Proyectos!$AP419="","",Portafolio_Proyectos!$D419),"")</f>
        <v/>
      </c>
      <c r="G1256" s="5" t="str">
        <f>IFERROR(IF(Portafolio_Proyectos!$AP419="","",Portafolio_Proyectos!$A419),"")</f>
        <v/>
      </c>
      <c r="H1256" s="5" t="str">
        <f>IFERROR(IF(Portafolio_Proyectos!$AP419="","",Portafolio_Proyectos!$E419),"")</f>
        <v/>
      </c>
    </row>
    <row r="1257" spans="1:8" x14ac:dyDescent="0.35">
      <c r="A1257" s="5" t="str">
        <f>IFERROR(IF(Portafolio_Proyectos!$AQ419="","","CAP-"&amp;ROW()-1),"")</f>
        <v/>
      </c>
      <c r="B1257" s="5" t="str">
        <f>IFERROR(IF(Portafolio_Proyectos!$AQ419="","",Portafolio_Proyectos!$AQ419),"")</f>
        <v/>
      </c>
      <c r="C1257" s="5" t="str">
        <f>IFERROR(IF(Portafolio_Proyectos!$AQ419="","","Consolidada"),"")</f>
        <v/>
      </c>
      <c r="D1257" s="5" t="str">
        <f>IFERROR(IF(Portafolio_Proyectos!$AQ419="","",Portafolio_Proyectos!$C419),"")</f>
        <v/>
      </c>
      <c r="E1257" s="5" t="str">
        <f>IFERROR(IF(Portafolio_Proyectos!$AQ419="","",Portafolio_Proyectos!$B419),"")</f>
        <v/>
      </c>
      <c r="F1257" s="5" t="str">
        <f>IFERROR(IF(Portafolio_Proyectos!$AQ419="","",Portafolio_Proyectos!$D419),"")</f>
        <v/>
      </c>
      <c r="G1257" s="5" t="str">
        <f>IFERROR(IF(Portafolio_Proyectos!$AQ419="","",Portafolio_Proyectos!$A419),"")</f>
        <v/>
      </c>
      <c r="H1257" s="5" t="str">
        <f>IFERROR(IF(Portafolio_Proyectos!$AQ419="","",Portafolio_Proyectos!$E419),"")</f>
        <v/>
      </c>
    </row>
    <row r="1258" spans="1:8" x14ac:dyDescent="0.35">
      <c r="A1258" s="5" t="str">
        <f>IFERROR(IF(Portafolio_Proyectos!$AR419="","","CAP-"&amp;ROW()-1),"")</f>
        <v/>
      </c>
      <c r="B1258" s="5" t="str">
        <f>IFERROR(IF(Portafolio_Proyectos!$AR419="","",Portafolio_Proyectos!$AR419),"")</f>
        <v/>
      </c>
      <c r="C1258" s="5" t="str">
        <f>IFERROR(IF(Portafolio_Proyectos!$AR419="","","Distintiva"),"")</f>
        <v/>
      </c>
      <c r="D1258" s="5" t="str">
        <f>IFERROR(IF(Portafolio_Proyectos!$AR419="","",Portafolio_Proyectos!$C419),"")</f>
        <v/>
      </c>
      <c r="E1258" s="5" t="str">
        <f>IFERROR(IF(Portafolio_Proyectos!$AR419="","",Portafolio_Proyectos!$B419),"")</f>
        <v/>
      </c>
      <c r="F1258" s="5" t="str">
        <f>IFERROR(IF(Portafolio_Proyectos!$AR419="","",Portafolio_Proyectos!$D419),"")</f>
        <v/>
      </c>
      <c r="G1258" s="5" t="str">
        <f>IFERROR(IF(Portafolio_Proyectos!$AR419="","",Portafolio_Proyectos!$A419),"")</f>
        <v/>
      </c>
      <c r="H1258" s="5" t="str">
        <f>IFERROR(IF(Portafolio_Proyectos!$AR419="","",Portafolio_Proyectos!$E419),"")</f>
        <v/>
      </c>
    </row>
    <row r="1259" spans="1:8" x14ac:dyDescent="0.35">
      <c r="A1259" s="5" t="str">
        <f>IFERROR(IF(Portafolio_Proyectos!$AP420="","","CAP-"&amp;ROW()-1),"")</f>
        <v/>
      </c>
      <c r="B1259" s="5" t="str">
        <f>IFERROR(IF(Portafolio_Proyectos!$AP420="","",Portafolio_Proyectos!$AP420),"")</f>
        <v/>
      </c>
      <c r="C1259" s="5" t="str">
        <f>IFERROR(IF(Portafolio_Proyectos!$AP420="","","Emergente"),"")</f>
        <v/>
      </c>
      <c r="D1259" s="5" t="str">
        <f>IFERROR(IF(Portafolio_Proyectos!$AP420="","",Portafolio_Proyectos!$C420),"")</f>
        <v/>
      </c>
      <c r="E1259" s="5" t="str">
        <f>IFERROR(IF(Portafolio_Proyectos!$AP420="","",Portafolio_Proyectos!$B420),"")</f>
        <v/>
      </c>
      <c r="F1259" s="5" t="str">
        <f>IFERROR(IF(Portafolio_Proyectos!$AP420="","",Portafolio_Proyectos!$D420),"")</f>
        <v/>
      </c>
      <c r="G1259" s="5" t="str">
        <f>IFERROR(IF(Portafolio_Proyectos!$AP420="","",Portafolio_Proyectos!$A420),"")</f>
        <v/>
      </c>
      <c r="H1259" s="5" t="str">
        <f>IFERROR(IF(Portafolio_Proyectos!$AP420="","",Portafolio_Proyectos!$E420),"")</f>
        <v/>
      </c>
    </row>
    <row r="1260" spans="1:8" x14ac:dyDescent="0.35">
      <c r="A1260" s="5" t="str">
        <f>IFERROR(IF(Portafolio_Proyectos!$AQ420="","","CAP-"&amp;ROW()-1),"")</f>
        <v/>
      </c>
      <c r="B1260" s="5" t="str">
        <f>IFERROR(IF(Portafolio_Proyectos!$AQ420="","",Portafolio_Proyectos!$AQ420),"")</f>
        <v/>
      </c>
      <c r="C1260" s="5" t="str">
        <f>IFERROR(IF(Portafolio_Proyectos!$AQ420="","","Consolidada"),"")</f>
        <v/>
      </c>
      <c r="D1260" s="5" t="str">
        <f>IFERROR(IF(Portafolio_Proyectos!$AQ420="","",Portafolio_Proyectos!$C420),"")</f>
        <v/>
      </c>
      <c r="E1260" s="5" t="str">
        <f>IFERROR(IF(Portafolio_Proyectos!$AQ420="","",Portafolio_Proyectos!$B420),"")</f>
        <v/>
      </c>
      <c r="F1260" s="5" t="str">
        <f>IFERROR(IF(Portafolio_Proyectos!$AQ420="","",Portafolio_Proyectos!$D420),"")</f>
        <v/>
      </c>
      <c r="G1260" s="5" t="str">
        <f>IFERROR(IF(Portafolio_Proyectos!$AQ420="","",Portafolio_Proyectos!$A420),"")</f>
        <v/>
      </c>
      <c r="H1260" s="5" t="str">
        <f>IFERROR(IF(Portafolio_Proyectos!$AQ420="","",Portafolio_Proyectos!$E420),"")</f>
        <v/>
      </c>
    </row>
    <row r="1261" spans="1:8" x14ac:dyDescent="0.35">
      <c r="A1261" s="5" t="str">
        <f>IFERROR(IF(Portafolio_Proyectos!$AR420="","","CAP-"&amp;ROW()-1),"")</f>
        <v/>
      </c>
      <c r="B1261" s="5" t="str">
        <f>IFERROR(IF(Portafolio_Proyectos!$AR420="","",Portafolio_Proyectos!$AR420),"")</f>
        <v/>
      </c>
      <c r="C1261" s="5" t="str">
        <f>IFERROR(IF(Portafolio_Proyectos!$AR420="","","Distintiva"),"")</f>
        <v/>
      </c>
      <c r="D1261" s="5" t="str">
        <f>IFERROR(IF(Portafolio_Proyectos!$AR420="","",Portafolio_Proyectos!$C420),"")</f>
        <v/>
      </c>
      <c r="E1261" s="5" t="str">
        <f>IFERROR(IF(Portafolio_Proyectos!$AR420="","",Portafolio_Proyectos!$B420),"")</f>
        <v/>
      </c>
      <c r="F1261" s="5" t="str">
        <f>IFERROR(IF(Portafolio_Proyectos!$AR420="","",Portafolio_Proyectos!$D420),"")</f>
        <v/>
      </c>
      <c r="G1261" s="5" t="str">
        <f>IFERROR(IF(Portafolio_Proyectos!$AR420="","",Portafolio_Proyectos!$A420),"")</f>
        <v/>
      </c>
      <c r="H1261" s="5" t="str">
        <f>IFERROR(IF(Portafolio_Proyectos!$AR420="","",Portafolio_Proyectos!$E420),"")</f>
        <v/>
      </c>
    </row>
    <row r="1262" spans="1:8" x14ac:dyDescent="0.35">
      <c r="A1262" s="5" t="str">
        <f>IFERROR(IF(Portafolio_Proyectos!$AP421="","","CAP-"&amp;ROW()-1),"")</f>
        <v/>
      </c>
      <c r="B1262" s="5" t="str">
        <f>IFERROR(IF(Portafolio_Proyectos!$AP421="","",Portafolio_Proyectos!$AP421),"")</f>
        <v/>
      </c>
      <c r="C1262" s="5" t="str">
        <f>IFERROR(IF(Portafolio_Proyectos!$AP421="","","Emergente"),"")</f>
        <v/>
      </c>
      <c r="D1262" s="5" t="str">
        <f>IFERROR(IF(Portafolio_Proyectos!$AP421="","",Portafolio_Proyectos!$C421),"")</f>
        <v/>
      </c>
      <c r="E1262" s="5" t="str">
        <f>IFERROR(IF(Portafolio_Proyectos!$AP421="","",Portafolio_Proyectos!$B421),"")</f>
        <v/>
      </c>
      <c r="F1262" s="5" t="str">
        <f>IFERROR(IF(Portafolio_Proyectos!$AP421="","",Portafolio_Proyectos!$D421),"")</f>
        <v/>
      </c>
      <c r="G1262" s="5" t="str">
        <f>IFERROR(IF(Portafolio_Proyectos!$AP421="","",Portafolio_Proyectos!$A421),"")</f>
        <v/>
      </c>
      <c r="H1262" s="5" t="str">
        <f>IFERROR(IF(Portafolio_Proyectos!$AP421="","",Portafolio_Proyectos!$E421),"")</f>
        <v/>
      </c>
    </row>
    <row r="1263" spans="1:8" x14ac:dyDescent="0.35">
      <c r="A1263" s="5" t="str">
        <f>IFERROR(IF(Portafolio_Proyectos!$AQ421="","","CAP-"&amp;ROW()-1),"")</f>
        <v/>
      </c>
      <c r="B1263" s="5" t="str">
        <f>IFERROR(IF(Portafolio_Proyectos!$AQ421="","",Portafolio_Proyectos!$AQ421),"")</f>
        <v/>
      </c>
      <c r="C1263" s="5" t="str">
        <f>IFERROR(IF(Portafolio_Proyectos!$AQ421="","","Consolidada"),"")</f>
        <v/>
      </c>
      <c r="D1263" s="5" t="str">
        <f>IFERROR(IF(Portafolio_Proyectos!$AQ421="","",Portafolio_Proyectos!$C421),"")</f>
        <v/>
      </c>
      <c r="E1263" s="5" t="str">
        <f>IFERROR(IF(Portafolio_Proyectos!$AQ421="","",Portafolio_Proyectos!$B421),"")</f>
        <v/>
      </c>
      <c r="F1263" s="5" t="str">
        <f>IFERROR(IF(Portafolio_Proyectos!$AQ421="","",Portafolio_Proyectos!$D421),"")</f>
        <v/>
      </c>
      <c r="G1263" s="5" t="str">
        <f>IFERROR(IF(Portafolio_Proyectos!$AQ421="","",Portafolio_Proyectos!$A421),"")</f>
        <v/>
      </c>
      <c r="H1263" s="5" t="str">
        <f>IFERROR(IF(Portafolio_Proyectos!$AQ421="","",Portafolio_Proyectos!$E421),"")</f>
        <v/>
      </c>
    </row>
    <row r="1264" spans="1:8" x14ac:dyDescent="0.35">
      <c r="A1264" s="5" t="str">
        <f>IFERROR(IF(Portafolio_Proyectos!$AR421="","","CAP-"&amp;ROW()-1),"")</f>
        <v/>
      </c>
      <c r="B1264" s="5" t="str">
        <f>IFERROR(IF(Portafolio_Proyectos!$AR421="","",Portafolio_Proyectos!$AR421),"")</f>
        <v/>
      </c>
      <c r="C1264" s="5" t="str">
        <f>IFERROR(IF(Portafolio_Proyectos!$AR421="","","Distintiva"),"")</f>
        <v/>
      </c>
      <c r="D1264" s="5" t="str">
        <f>IFERROR(IF(Portafolio_Proyectos!$AR421="","",Portafolio_Proyectos!$C421),"")</f>
        <v/>
      </c>
      <c r="E1264" s="5" t="str">
        <f>IFERROR(IF(Portafolio_Proyectos!$AR421="","",Portafolio_Proyectos!$B421),"")</f>
        <v/>
      </c>
      <c r="F1264" s="5" t="str">
        <f>IFERROR(IF(Portafolio_Proyectos!$AR421="","",Portafolio_Proyectos!$D421),"")</f>
        <v/>
      </c>
      <c r="G1264" s="5" t="str">
        <f>IFERROR(IF(Portafolio_Proyectos!$AR421="","",Portafolio_Proyectos!$A421),"")</f>
        <v/>
      </c>
      <c r="H1264" s="5" t="str">
        <f>IFERROR(IF(Portafolio_Proyectos!$AR421="","",Portafolio_Proyectos!$E421),"")</f>
        <v/>
      </c>
    </row>
    <row r="1265" spans="1:8" x14ac:dyDescent="0.35">
      <c r="A1265" s="5" t="str">
        <f>IFERROR(IF(Portafolio_Proyectos!$AP422="","","CAP-"&amp;ROW()-1),"")</f>
        <v/>
      </c>
      <c r="B1265" s="5" t="str">
        <f>IFERROR(IF(Portafolio_Proyectos!$AP422="","",Portafolio_Proyectos!$AP422),"")</f>
        <v/>
      </c>
      <c r="C1265" s="5" t="str">
        <f>IFERROR(IF(Portafolio_Proyectos!$AP422="","","Emergente"),"")</f>
        <v/>
      </c>
      <c r="D1265" s="5" t="str">
        <f>IFERROR(IF(Portafolio_Proyectos!$AP422="","",Portafolio_Proyectos!$C422),"")</f>
        <v/>
      </c>
      <c r="E1265" s="5" t="str">
        <f>IFERROR(IF(Portafolio_Proyectos!$AP422="","",Portafolio_Proyectos!$B422),"")</f>
        <v/>
      </c>
      <c r="F1265" s="5" t="str">
        <f>IFERROR(IF(Portafolio_Proyectos!$AP422="","",Portafolio_Proyectos!$D422),"")</f>
        <v/>
      </c>
      <c r="G1265" s="5" t="str">
        <f>IFERROR(IF(Portafolio_Proyectos!$AP422="","",Portafolio_Proyectos!$A422),"")</f>
        <v/>
      </c>
      <c r="H1265" s="5" t="str">
        <f>IFERROR(IF(Portafolio_Proyectos!$AP422="","",Portafolio_Proyectos!$E422),"")</f>
        <v/>
      </c>
    </row>
    <row r="1266" spans="1:8" x14ac:dyDescent="0.35">
      <c r="A1266" s="5" t="str">
        <f>IFERROR(IF(Portafolio_Proyectos!$AQ422="","","CAP-"&amp;ROW()-1),"")</f>
        <v/>
      </c>
      <c r="B1266" s="5" t="str">
        <f>IFERROR(IF(Portafolio_Proyectos!$AQ422="","",Portafolio_Proyectos!$AQ422),"")</f>
        <v/>
      </c>
      <c r="C1266" s="5" t="str">
        <f>IFERROR(IF(Portafolio_Proyectos!$AQ422="","","Consolidada"),"")</f>
        <v/>
      </c>
      <c r="D1266" s="5" t="str">
        <f>IFERROR(IF(Portafolio_Proyectos!$AQ422="","",Portafolio_Proyectos!$C422),"")</f>
        <v/>
      </c>
      <c r="E1266" s="5" t="str">
        <f>IFERROR(IF(Portafolio_Proyectos!$AQ422="","",Portafolio_Proyectos!$B422),"")</f>
        <v/>
      </c>
      <c r="F1266" s="5" t="str">
        <f>IFERROR(IF(Portafolio_Proyectos!$AQ422="","",Portafolio_Proyectos!$D422),"")</f>
        <v/>
      </c>
      <c r="G1266" s="5" t="str">
        <f>IFERROR(IF(Portafolio_Proyectos!$AQ422="","",Portafolio_Proyectos!$A422),"")</f>
        <v/>
      </c>
      <c r="H1266" s="5" t="str">
        <f>IFERROR(IF(Portafolio_Proyectos!$AQ422="","",Portafolio_Proyectos!$E422),"")</f>
        <v/>
      </c>
    </row>
    <row r="1267" spans="1:8" x14ac:dyDescent="0.35">
      <c r="A1267" s="5" t="str">
        <f>IFERROR(IF(Portafolio_Proyectos!$AR422="","","CAP-"&amp;ROW()-1),"")</f>
        <v/>
      </c>
      <c r="B1267" s="5" t="str">
        <f>IFERROR(IF(Portafolio_Proyectos!$AR422="","",Portafolio_Proyectos!$AR422),"")</f>
        <v/>
      </c>
      <c r="C1267" s="5" t="str">
        <f>IFERROR(IF(Portafolio_Proyectos!$AR422="","","Distintiva"),"")</f>
        <v/>
      </c>
      <c r="D1267" s="5" t="str">
        <f>IFERROR(IF(Portafolio_Proyectos!$AR422="","",Portafolio_Proyectos!$C422),"")</f>
        <v/>
      </c>
      <c r="E1267" s="5" t="str">
        <f>IFERROR(IF(Portafolio_Proyectos!$AR422="","",Portafolio_Proyectos!$B422),"")</f>
        <v/>
      </c>
      <c r="F1267" s="5" t="str">
        <f>IFERROR(IF(Portafolio_Proyectos!$AR422="","",Portafolio_Proyectos!$D422),"")</f>
        <v/>
      </c>
      <c r="G1267" s="5" t="str">
        <f>IFERROR(IF(Portafolio_Proyectos!$AR422="","",Portafolio_Proyectos!$A422),"")</f>
        <v/>
      </c>
      <c r="H1267" s="5" t="str">
        <f>IFERROR(IF(Portafolio_Proyectos!$AR422="","",Portafolio_Proyectos!$E422),"")</f>
        <v/>
      </c>
    </row>
    <row r="1268" spans="1:8" x14ac:dyDescent="0.35">
      <c r="A1268" s="5" t="str">
        <f>IFERROR(IF(Portafolio_Proyectos!$AP423="","","CAP-"&amp;ROW()-1),"")</f>
        <v/>
      </c>
      <c r="B1268" s="5" t="str">
        <f>IFERROR(IF(Portafolio_Proyectos!$AP423="","",Portafolio_Proyectos!$AP423),"")</f>
        <v/>
      </c>
      <c r="C1268" s="5" t="str">
        <f>IFERROR(IF(Portafolio_Proyectos!$AP423="","","Emergente"),"")</f>
        <v/>
      </c>
      <c r="D1268" s="5" t="str">
        <f>IFERROR(IF(Portafolio_Proyectos!$AP423="","",Portafolio_Proyectos!$C423),"")</f>
        <v/>
      </c>
      <c r="E1268" s="5" t="str">
        <f>IFERROR(IF(Portafolio_Proyectos!$AP423="","",Portafolio_Proyectos!$B423),"")</f>
        <v/>
      </c>
      <c r="F1268" s="5" t="str">
        <f>IFERROR(IF(Portafolio_Proyectos!$AP423="","",Portafolio_Proyectos!$D423),"")</f>
        <v/>
      </c>
      <c r="G1268" s="5" t="str">
        <f>IFERROR(IF(Portafolio_Proyectos!$AP423="","",Portafolio_Proyectos!$A423),"")</f>
        <v/>
      </c>
      <c r="H1268" s="5" t="str">
        <f>IFERROR(IF(Portafolio_Proyectos!$AP423="","",Portafolio_Proyectos!$E423),"")</f>
        <v/>
      </c>
    </row>
    <row r="1269" spans="1:8" x14ac:dyDescent="0.35">
      <c r="A1269" s="5" t="str">
        <f>IFERROR(IF(Portafolio_Proyectos!$AQ423="","","CAP-"&amp;ROW()-1),"")</f>
        <v/>
      </c>
      <c r="B1269" s="5" t="str">
        <f>IFERROR(IF(Portafolio_Proyectos!$AQ423="","",Portafolio_Proyectos!$AQ423),"")</f>
        <v/>
      </c>
      <c r="C1269" s="5" t="str">
        <f>IFERROR(IF(Portafolio_Proyectos!$AQ423="","","Consolidada"),"")</f>
        <v/>
      </c>
      <c r="D1269" s="5" t="str">
        <f>IFERROR(IF(Portafolio_Proyectos!$AQ423="","",Portafolio_Proyectos!$C423),"")</f>
        <v/>
      </c>
      <c r="E1269" s="5" t="str">
        <f>IFERROR(IF(Portafolio_Proyectos!$AQ423="","",Portafolio_Proyectos!$B423),"")</f>
        <v/>
      </c>
      <c r="F1269" s="5" t="str">
        <f>IFERROR(IF(Portafolio_Proyectos!$AQ423="","",Portafolio_Proyectos!$D423),"")</f>
        <v/>
      </c>
      <c r="G1269" s="5" t="str">
        <f>IFERROR(IF(Portafolio_Proyectos!$AQ423="","",Portafolio_Proyectos!$A423),"")</f>
        <v/>
      </c>
      <c r="H1269" s="5" t="str">
        <f>IFERROR(IF(Portafolio_Proyectos!$AQ423="","",Portafolio_Proyectos!$E423),"")</f>
        <v/>
      </c>
    </row>
    <row r="1270" spans="1:8" x14ac:dyDescent="0.35">
      <c r="A1270" s="5" t="str">
        <f>IFERROR(IF(Portafolio_Proyectos!$AR423="","","CAP-"&amp;ROW()-1),"")</f>
        <v/>
      </c>
      <c r="B1270" s="5" t="str">
        <f>IFERROR(IF(Portafolio_Proyectos!$AR423="","",Portafolio_Proyectos!$AR423),"")</f>
        <v/>
      </c>
      <c r="C1270" s="5" t="str">
        <f>IFERROR(IF(Portafolio_Proyectos!$AR423="","","Distintiva"),"")</f>
        <v/>
      </c>
      <c r="D1270" s="5" t="str">
        <f>IFERROR(IF(Portafolio_Proyectos!$AR423="","",Portafolio_Proyectos!$C423),"")</f>
        <v/>
      </c>
      <c r="E1270" s="5" t="str">
        <f>IFERROR(IF(Portafolio_Proyectos!$AR423="","",Portafolio_Proyectos!$B423),"")</f>
        <v/>
      </c>
      <c r="F1270" s="5" t="str">
        <f>IFERROR(IF(Portafolio_Proyectos!$AR423="","",Portafolio_Proyectos!$D423),"")</f>
        <v/>
      </c>
      <c r="G1270" s="5" t="str">
        <f>IFERROR(IF(Portafolio_Proyectos!$AR423="","",Portafolio_Proyectos!$A423),"")</f>
        <v/>
      </c>
      <c r="H1270" s="5" t="str">
        <f>IFERROR(IF(Portafolio_Proyectos!$AR423="","",Portafolio_Proyectos!$E423),"")</f>
        <v/>
      </c>
    </row>
    <row r="1271" spans="1:8" x14ac:dyDescent="0.35">
      <c r="A1271" s="5" t="str">
        <f>IFERROR(IF(Portafolio_Proyectos!$AP424="","","CAP-"&amp;ROW()-1),"")</f>
        <v/>
      </c>
      <c r="B1271" s="5" t="str">
        <f>IFERROR(IF(Portafolio_Proyectos!$AP424="","",Portafolio_Proyectos!$AP424),"")</f>
        <v/>
      </c>
      <c r="C1271" s="5" t="str">
        <f>IFERROR(IF(Portafolio_Proyectos!$AP424="","","Emergente"),"")</f>
        <v/>
      </c>
      <c r="D1271" s="5" t="str">
        <f>IFERROR(IF(Portafolio_Proyectos!$AP424="","",Portafolio_Proyectos!$C424),"")</f>
        <v/>
      </c>
      <c r="E1271" s="5" t="str">
        <f>IFERROR(IF(Portafolio_Proyectos!$AP424="","",Portafolio_Proyectos!$B424),"")</f>
        <v/>
      </c>
      <c r="F1271" s="5" t="str">
        <f>IFERROR(IF(Portafolio_Proyectos!$AP424="","",Portafolio_Proyectos!$D424),"")</f>
        <v/>
      </c>
      <c r="G1271" s="5" t="str">
        <f>IFERROR(IF(Portafolio_Proyectos!$AP424="","",Portafolio_Proyectos!$A424),"")</f>
        <v/>
      </c>
      <c r="H1271" s="5" t="str">
        <f>IFERROR(IF(Portafolio_Proyectos!$AP424="","",Portafolio_Proyectos!$E424),"")</f>
        <v/>
      </c>
    </row>
    <row r="1272" spans="1:8" x14ac:dyDescent="0.35">
      <c r="A1272" s="5" t="str">
        <f>IFERROR(IF(Portafolio_Proyectos!$AQ424="","","CAP-"&amp;ROW()-1),"")</f>
        <v/>
      </c>
      <c r="B1272" s="5" t="str">
        <f>IFERROR(IF(Portafolio_Proyectos!$AQ424="","",Portafolio_Proyectos!$AQ424),"")</f>
        <v/>
      </c>
      <c r="C1272" s="5" t="str">
        <f>IFERROR(IF(Portafolio_Proyectos!$AQ424="","","Consolidada"),"")</f>
        <v/>
      </c>
      <c r="D1272" s="5" t="str">
        <f>IFERROR(IF(Portafolio_Proyectos!$AQ424="","",Portafolio_Proyectos!$C424),"")</f>
        <v/>
      </c>
      <c r="E1272" s="5" t="str">
        <f>IFERROR(IF(Portafolio_Proyectos!$AQ424="","",Portafolio_Proyectos!$B424),"")</f>
        <v/>
      </c>
      <c r="F1272" s="5" t="str">
        <f>IFERROR(IF(Portafolio_Proyectos!$AQ424="","",Portafolio_Proyectos!$D424),"")</f>
        <v/>
      </c>
      <c r="G1272" s="5" t="str">
        <f>IFERROR(IF(Portafolio_Proyectos!$AQ424="","",Portafolio_Proyectos!$A424),"")</f>
        <v/>
      </c>
      <c r="H1272" s="5" t="str">
        <f>IFERROR(IF(Portafolio_Proyectos!$AQ424="","",Portafolio_Proyectos!$E424),"")</f>
        <v/>
      </c>
    </row>
    <row r="1273" spans="1:8" x14ac:dyDescent="0.35">
      <c r="A1273" s="5" t="str">
        <f>IFERROR(IF(Portafolio_Proyectos!$AR424="","","CAP-"&amp;ROW()-1),"")</f>
        <v/>
      </c>
      <c r="B1273" s="5" t="str">
        <f>IFERROR(IF(Portafolio_Proyectos!$AR424="","",Portafolio_Proyectos!$AR424),"")</f>
        <v/>
      </c>
      <c r="C1273" s="5" t="str">
        <f>IFERROR(IF(Portafolio_Proyectos!$AR424="","","Distintiva"),"")</f>
        <v/>
      </c>
      <c r="D1273" s="5" t="str">
        <f>IFERROR(IF(Portafolio_Proyectos!$AR424="","",Portafolio_Proyectos!$C424),"")</f>
        <v/>
      </c>
      <c r="E1273" s="5" t="str">
        <f>IFERROR(IF(Portafolio_Proyectos!$AR424="","",Portafolio_Proyectos!$B424),"")</f>
        <v/>
      </c>
      <c r="F1273" s="5" t="str">
        <f>IFERROR(IF(Portafolio_Proyectos!$AR424="","",Portafolio_Proyectos!$D424),"")</f>
        <v/>
      </c>
      <c r="G1273" s="5" t="str">
        <f>IFERROR(IF(Portafolio_Proyectos!$AR424="","",Portafolio_Proyectos!$A424),"")</f>
        <v/>
      </c>
      <c r="H1273" s="5" t="str">
        <f>IFERROR(IF(Portafolio_Proyectos!$AR424="","",Portafolio_Proyectos!$E424),"")</f>
        <v/>
      </c>
    </row>
    <row r="1274" spans="1:8" x14ac:dyDescent="0.35">
      <c r="A1274" s="5" t="str">
        <f>IFERROR(IF(Portafolio_Proyectos!$AP425="","","CAP-"&amp;ROW()-1),"")</f>
        <v/>
      </c>
      <c r="B1274" s="5" t="str">
        <f>IFERROR(IF(Portafolio_Proyectos!$AP425="","",Portafolio_Proyectos!$AP425),"")</f>
        <v/>
      </c>
      <c r="C1274" s="5" t="str">
        <f>IFERROR(IF(Portafolio_Proyectos!$AP425="","","Emergente"),"")</f>
        <v/>
      </c>
      <c r="D1274" s="5" t="str">
        <f>IFERROR(IF(Portafolio_Proyectos!$AP425="","",Portafolio_Proyectos!$C425),"")</f>
        <v/>
      </c>
      <c r="E1274" s="5" t="str">
        <f>IFERROR(IF(Portafolio_Proyectos!$AP425="","",Portafolio_Proyectos!$B425),"")</f>
        <v/>
      </c>
      <c r="F1274" s="5" t="str">
        <f>IFERROR(IF(Portafolio_Proyectos!$AP425="","",Portafolio_Proyectos!$D425),"")</f>
        <v/>
      </c>
      <c r="G1274" s="5" t="str">
        <f>IFERROR(IF(Portafolio_Proyectos!$AP425="","",Portafolio_Proyectos!$A425),"")</f>
        <v/>
      </c>
      <c r="H1274" s="5" t="str">
        <f>IFERROR(IF(Portafolio_Proyectos!$AP425="","",Portafolio_Proyectos!$E425),"")</f>
        <v/>
      </c>
    </row>
    <row r="1275" spans="1:8" x14ac:dyDescent="0.35">
      <c r="A1275" s="5" t="str">
        <f>IFERROR(IF(Portafolio_Proyectos!$AQ425="","","CAP-"&amp;ROW()-1),"")</f>
        <v/>
      </c>
      <c r="B1275" s="5" t="str">
        <f>IFERROR(IF(Portafolio_Proyectos!$AQ425="","",Portafolio_Proyectos!$AQ425),"")</f>
        <v/>
      </c>
      <c r="C1275" s="5" t="str">
        <f>IFERROR(IF(Portafolio_Proyectos!$AQ425="","","Consolidada"),"")</f>
        <v/>
      </c>
      <c r="D1275" s="5" t="str">
        <f>IFERROR(IF(Portafolio_Proyectos!$AQ425="","",Portafolio_Proyectos!$C425),"")</f>
        <v/>
      </c>
      <c r="E1275" s="5" t="str">
        <f>IFERROR(IF(Portafolio_Proyectos!$AQ425="","",Portafolio_Proyectos!$B425),"")</f>
        <v/>
      </c>
      <c r="F1275" s="5" t="str">
        <f>IFERROR(IF(Portafolio_Proyectos!$AQ425="","",Portafolio_Proyectos!$D425),"")</f>
        <v/>
      </c>
      <c r="G1275" s="5" t="str">
        <f>IFERROR(IF(Portafolio_Proyectos!$AQ425="","",Portafolio_Proyectos!$A425),"")</f>
        <v/>
      </c>
      <c r="H1275" s="5" t="str">
        <f>IFERROR(IF(Portafolio_Proyectos!$AQ425="","",Portafolio_Proyectos!$E425),"")</f>
        <v/>
      </c>
    </row>
    <row r="1276" spans="1:8" x14ac:dyDescent="0.35">
      <c r="A1276" s="5" t="str">
        <f>IFERROR(IF(Portafolio_Proyectos!$AR425="","","CAP-"&amp;ROW()-1),"")</f>
        <v/>
      </c>
      <c r="B1276" s="5" t="str">
        <f>IFERROR(IF(Portafolio_Proyectos!$AR425="","",Portafolio_Proyectos!$AR425),"")</f>
        <v/>
      </c>
      <c r="C1276" s="5" t="str">
        <f>IFERROR(IF(Portafolio_Proyectos!$AR425="","","Distintiva"),"")</f>
        <v/>
      </c>
      <c r="D1276" s="5" t="str">
        <f>IFERROR(IF(Portafolio_Proyectos!$AR425="","",Portafolio_Proyectos!$C425),"")</f>
        <v/>
      </c>
      <c r="E1276" s="5" t="str">
        <f>IFERROR(IF(Portafolio_Proyectos!$AR425="","",Portafolio_Proyectos!$B425),"")</f>
        <v/>
      </c>
      <c r="F1276" s="5" t="str">
        <f>IFERROR(IF(Portafolio_Proyectos!$AR425="","",Portafolio_Proyectos!$D425),"")</f>
        <v/>
      </c>
      <c r="G1276" s="5" t="str">
        <f>IFERROR(IF(Portafolio_Proyectos!$AR425="","",Portafolio_Proyectos!$A425),"")</f>
        <v/>
      </c>
      <c r="H1276" s="5" t="str">
        <f>IFERROR(IF(Portafolio_Proyectos!$AR425="","",Portafolio_Proyectos!$E425),"")</f>
        <v/>
      </c>
    </row>
    <row r="1277" spans="1:8" x14ac:dyDescent="0.35">
      <c r="A1277" s="5" t="str">
        <f>IFERROR(IF(Portafolio_Proyectos!$AP426="","","CAP-"&amp;ROW()-1),"")</f>
        <v/>
      </c>
      <c r="B1277" s="5" t="str">
        <f>IFERROR(IF(Portafolio_Proyectos!$AP426="","",Portafolio_Proyectos!$AP426),"")</f>
        <v/>
      </c>
      <c r="C1277" s="5" t="str">
        <f>IFERROR(IF(Portafolio_Proyectos!$AP426="","","Emergente"),"")</f>
        <v/>
      </c>
      <c r="D1277" s="5" t="str">
        <f>IFERROR(IF(Portafolio_Proyectos!$AP426="","",Portafolio_Proyectos!$C426),"")</f>
        <v/>
      </c>
      <c r="E1277" s="5" t="str">
        <f>IFERROR(IF(Portafolio_Proyectos!$AP426="","",Portafolio_Proyectos!$B426),"")</f>
        <v/>
      </c>
      <c r="F1277" s="5" t="str">
        <f>IFERROR(IF(Portafolio_Proyectos!$AP426="","",Portafolio_Proyectos!$D426),"")</f>
        <v/>
      </c>
      <c r="G1277" s="5" t="str">
        <f>IFERROR(IF(Portafolio_Proyectos!$AP426="","",Portafolio_Proyectos!$A426),"")</f>
        <v/>
      </c>
      <c r="H1277" s="5" t="str">
        <f>IFERROR(IF(Portafolio_Proyectos!$AP426="","",Portafolio_Proyectos!$E426),"")</f>
        <v/>
      </c>
    </row>
    <row r="1278" spans="1:8" x14ac:dyDescent="0.35">
      <c r="A1278" s="5" t="str">
        <f>IFERROR(IF(Portafolio_Proyectos!$AQ426="","","CAP-"&amp;ROW()-1),"")</f>
        <v/>
      </c>
      <c r="B1278" s="5" t="str">
        <f>IFERROR(IF(Portafolio_Proyectos!$AQ426="","",Portafolio_Proyectos!$AQ426),"")</f>
        <v/>
      </c>
      <c r="C1278" s="5" t="str">
        <f>IFERROR(IF(Portafolio_Proyectos!$AQ426="","","Consolidada"),"")</f>
        <v/>
      </c>
      <c r="D1278" s="5" t="str">
        <f>IFERROR(IF(Portafolio_Proyectos!$AQ426="","",Portafolio_Proyectos!$C426),"")</f>
        <v/>
      </c>
      <c r="E1278" s="5" t="str">
        <f>IFERROR(IF(Portafolio_Proyectos!$AQ426="","",Portafolio_Proyectos!$B426),"")</f>
        <v/>
      </c>
      <c r="F1278" s="5" t="str">
        <f>IFERROR(IF(Portafolio_Proyectos!$AQ426="","",Portafolio_Proyectos!$D426),"")</f>
        <v/>
      </c>
      <c r="G1278" s="5" t="str">
        <f>IFERROR(IF(Portafolio_Proyectos!$AQ426="","",Portafolio_Proyectos!$A426),"")</f>
        <v/>
      </c>
      <c r="H1278" s="5" t="str">
        <f>IFERROR(IF(Portafolio_Proyectos!$AQ426="","",Portafolio_Proyectos!$E426),"")</f>
        <v/>
      </c>
    </row>
    <row r="1279" spans="1:8" x14ac:dyDescent="0.35">
      <c r="A1279" s="5" t="str">
        <f>IFERROR(IF(Portafolio_Proyectos!$AR426="","","CAP-"&amp;ROW()-1),"")</f>
        <v/>
      </c>
      <c r="B1279" s="5" t="str">
        <f>IFERROR(IF(Portafolio_Proyectos!$AR426="","",Portafolio_Proyectos!$AR426),"")</f>
        <v/>
      </c>
      <c r="C1279" s="5" t="str">
        <f>IFERROR(IF(Portafolio_Proyectos!$AR426="","","Distintiva"),"")</f>
        <v/>
      </c>
      <c r="D1279" s="5" t="str">
        <f>IFERROR(IF(Portafolio_Proyectos!$AR426="","",Portafolio_Proyectos!$C426),"")</f>
        <v/>
      </c>
      <c r="E1279" s="5" t="str">
        <f>IFERROR(IF(Portafolio_Proyectos!$AR426="","",Portafolio_Proyectos!$B426),"")</f>
        <v/>
      </c>
      <c r="F1279" s="5" t="str">
        <f>IFERROR(IF(Portafolio_Proyectos!$AR426="","",Portafolio_Proyectos!$D426),"")</f>
        <v/>
      </c>
      <c r="G1279" s="5" t="str">
        <f>IFERROR(IF(Portafolio_Proyectos!$AR426="","",Portafolio_Proyectos!$A426),"")</f>
        <v/>
      </c>
      <c r="H1279" s="5" t="str">
        <f>IFERROR(IF(Portafolio_Proyectos!$AR426="","",Portafolio_Proyectos!$E426),"")</f>
        <v/>
      </c>
    </row>
    <row r="1280" spans="1:8" x14ac:dyDescent="0.35">
      <c r="A1280" s="5" t="str">
        <f>IFERROR(IF(Portafolio_Proyectos!$AP427="","","CAP-"&amp;ROW()-1),"")</f>
        <v/>
      </c>
      <c r="B1280" s="5" t="str">
        <f>IFERROR(IF(Portafolio_Proyectos!$AP427="","",Portafolio_Proyectos!$AP427),"")</f>
        <v/>
      </c>
      <c r="C1280" s="5" t="str">
        <f>IFERROR(IF(Portafolio_Proyectos!$AP427="","","Emergente"),"")</f>
        <v/>
      </c>
      <c r="D1280" s="5" t="str">
        <f>IFERROR(IF(Portafolio_Proyectos!$AP427="","",Portafolio_Proyectos!$C427),"")</f>
        <v/>
      </c>
      <c r="E1280" s="5" t="str">
        <f>IFERROR(IF(Portafolio_Proyectos!$AP427="","",Portafolio_Proyectos!$B427),"")</f>
        <v/>
      </c>
      <c r="F1280" s="5" t="str">
        <f>IFERROR(IF(Portafolio_Proyectos!$AP427="","",Portafolio_Proyectos!$D427),"")</f>
        <v/>
      </c>
      <c r="G1280" s="5" t="str">
        <f>IFERROR(IF(Portafolio_Proyectos!$AP427="","",Portafolio_Proyectos!$A427),"")</f>
        <v/>
      </c>
      <c r="H1280" s="5" t="str">
        <f>IFERROR(IF(Portafolio_Proyectos!$AP427="","",Portafolio_Proyectos!$E427),"")</f>
        <v/>
      </c>
    </row>
    <row r="1281" spans="1:8" x14ac:dyDescent="0.35">
      <c r="A1281" s="5" t="str">
        <f>IFERROR(IF(Portafolio_Proyectos!$AQ427="","","CAP-"&amp;ROW()-1),"")</f>
        <v/>
      </c>
      <c r="B1281" s="5" t="str">
        <f>IFERROR(IF(Portafolio_Proyectos!$AQ427="","",Portafolio_Proyectos!$AQ427),"")</f>
        <v/>
      </c>
      <c r="C1281" s="5" t="str">
        <f>IFERROR(IF(Portafolio_Proyectos!$AQ427="","","Consolidada"),"")</f>
        <v/>
      </c>
      <c r="D1281" s="5" t="str">
        <f>IFERROR(IF(Portafolio_Proyectos!$AQ427="","",Portafolio_Proyectos!$C427),"")</f>
        <v/>
      </c>
      <c r="E1281" s="5" t="str">
        <f>IFERROR(IF(Portafolio_Proyectos!$AQ427="","",Portafolio_Proyectos!$B427),"")</f>
        <v/>
      </c>
      <c r="F1281" s="5" t="str">
        <f>IFERROR(IF(Portafolio_Proyectos!$AQ427="","",Portafolio_Proyectos!$D427),"")</f>
        <v/>
      </c>
      <c r="G1281" s="5" t="str">
        <f>IFERROR(IF(Portafolio_Proyectos!$AQ427="","",Portafolio_Proyectos!$A427),"")</f>
        <v/>
      </c>
      <c r="H1281" s="5" t="str">
        <f>IFERROR(IF(Portafolio_Proyectos!$AQ427="","",Portafolio_Proyectos!$E427),"")</f>
        <v/>
      </c>
    </row>
    <row r="1282" spans="1:8" x14ac:dyDescent="0.35">
      <c r="A1282" s="5" t="str">
        <f>IFERROR(IF(Portafolio_Proyectos!$AR427="","","CAP-"&amp;ROW()-1),"")</f>
        <v/>
      </c>
      <c r="B1282" s="5" t="str">
        <f>IFERROR(IF(Portafolio_Proyectos!$AR427="","",Portafolio_Proyectos!$AR427),"")</f>
        <v/>
      </c>
      <c r="C1282" s="5" t="str">
        <f>IFERROR(IF(Portafolio_Proyectos!$AR427="","","Distintiva"),"")</f>
        <v/>
      </c>
      <c r="D1282" s="5" t="str">
        <f>IFERROR(IF(Portafolio_Proyectos!$AR427="","",Portafolio_Proyectos!$C427),"")</f>
        <v/>
      </c>
      <c r="E1282" s="5" t="str">
        <f>IFERROR(IF(Portafolio_Proyectos!$AR427="","",Portafolio_Proyectos!$B427),"")</f>
        <v/>
      </c>
      <c r="F1282" s="5" t="str">
        <f>IFERROR(IF(Portafolio_Proyectos!$AR427="","",Portafolio_Proyectos!$D427),"")</f>
        <v/>
      </c>
      <c r="G1282" s="5" t="str">
        <f>IFERROR(IF(Portafolio_Proyectos!$AR427="","",Portafolio_Proyectos!$A427),"")</f>
        <v/>
      </c>
      <c r="H1282" s="5" t="str">
        <f>IFERROR(IF(Portafolio_Proyectos!$AR427="","",Portafolio_Proyectos!$E427),"")</f>
        <v/>
      </c>
    </row>
    <row r="1283" spans="1:8" x14ac:dyDescent="0.35">
      <c r="A1283" s="5" t="str">
        <f>IFERROR(IF(Portafolio_Proyectos!$AP428="","","CAP-"&amp;ROW()-1),"")</f>
        <v/>
      </c>
      <c r="B1283" s="5" t="str">
        <f>IFERROR(IF(Portafolio_Proyectos!$AP428="","",Portafolio_Proyectos!$AP428),"")</f>
        <v/>
      </c>
      <c r="C1283" s="5" t="str">
        <f>IFERROR(IF(Portafolio_Proyectos!$AP428="","","Emergente"),"")</f>
        <v/>
      </c>
      <c r="D1283" s="5" t="str">
        <f>IFERROR(IF(Portafolio_Proyectos!$AP428="","",Portafolio_Proyectos!$C428),"")</f>
        <v/>
      </c>
      <c r="E1283" s="5" t="str">
        <f>IFERROR(IF(Portafolio_Proyectos!$AP428="","",Portafolio_Proyectos!$B428),"")</f>
        <v/>
      </c>
      <c r="F1283" s="5" t="str">
        <f>IFERROR(IF(Portafolio_Proyectos!$AP428="","",Portafolio_Proyectos!$D428),"")</f>
        <v/>
      </c>
      <c r="G1283" s="5" t="str">
        <f>IFERROR(IF(Portafolio_Proyectos!$AP428="","",Portafolio_Proyectos!$A428),"")</f>
        <v/>
      </c>
      <c r="H1283" s="5" t="str">
        <f>IFERROR(IF(Portafolio_Proyectos!$AP428="","",Portafolio_Proyectos!$E428),"")</f>
        <v/>
      </c>
    </row>
    <row r="1284" spans="1:8" x14ac:dyDescent="0.35">
      <c r="A1284" s="5" t="str">
        <f>IFERROR(IF(Portafolio_Proyectos!$AQ428="","","CAP-"&amp;ROW()-1),"")</f>
        <v/>
      </c>
      <c r="B1284" s="5" t="str">
        <f>IFERROR(IF(Portafolio_Proyectos!$AQ428="","",Portafolio_Proyectos!$AQ428),"")</f>
        <v/>
      </c>
      <c r="C1284" s="5" t="str">
        <f>IFERROR(IF(Portafolio_Proyectos!$AQ428="","","Consolidada"),"")</f>
        <v/>
      </c>
      <c r="D1284" s="5" t="str">
        <f>IFERROR(IF(Portafolio_Proyectos!$AQ428="","",Portafolio_Proyectos!$C428),"")</f>
        <v/>
      </c>
      <c r="E1284" s="5" t="str">
        <f>IFERROR(IF(Portafolio_Proyectos!$AQ428="","",Portafolio_Proyectos!$B428),"")</f>
        <v/>
      </c>
      <c r="F1284" s="5" t="str">
        <f>IFERROR(IF(Portafolio_Proyectos!$AQ428="","",Portafolio_Proyectos!$D428),"")</f>
        <v/>
      </c>
      <c r="G1284" s="5" t="str">
        <f>IFERROR(IF(Portafolio_Proyectos!$AQ428="","",Portafolio_Proyectos!$A428),"")</f>
        <v/>
      </c>
      <c r="H1284" s="5" t="str">
        <f>IFERROR(IF(Portafolio_Proyectos!$AQ428="","",Portafolio_Proyectos!$E428),"")</f>
        <v/>
      </c>
    </row>
    <row r="1285" spans="1:8" x14ac:dyDescent="0.35">
      <c r="A1285" s="5" t="str">
        <f>IFERROR(IF(Portafolio_Proyectos!$AR428="","","CAP-"&amp;ROW()-1),"")</f>
        <v/>
      </c>
      <c r="B1285" s="5" t="str">
        <f>IFERROR(IF(Portafolio_Proyectos!$AR428="","",Portafolio_Proyectos!$AR428),"")</f>
        <v/>
      </c>
      <c r="C1285" s="5" t="str">
        <f>IFERROR(IF(Portafolio_Proyectos!$AR428="","","Distintiva"),"")</f>
        <v/>
      </c>
      <c r="D1285" s="5" t="str">
        <f>IFERROR(IF(Portafolio_Proyectos!$AR428="","",Portafolio_Proyectos!$C428),"")</f>
        <v/>
      </c>
      <c r="E1285" s="5" t="str">
        <f>IFERROR(IF(Portafolio_Proyectos!$AR428="","",Portafolio_Proyectos!$B428),"")</f>
        <v/>
      </c>
      <c r="F1285" s="5" t="str">
        <f>IFERROR(IF(Portafolio_Proyectos!$AR428="","",Portafolio_Proyectos!$D428),"")</f>
        <v/>
      </c>
      <c r="G1285" s="5" t="str">
        <f>IFERROR(IF(Portafolio_Proyectos!$AR428="","",Portafolio_Proyectos!$A428),"")</f>
        <v/>
      </c>
      <c r="H1285" s="5" t="str">
        <f>IFERROR(IF(Portafolio_Proyectos!$AR428="","",Portafolio_Proyectos!$E428),"")</f>
        <v/>
      </c>
    </row>
    <row r="1286" spans="1:8" x14ac:dyDescent="0.35">
      <c r="A1286" s="5" t="str">
        <f>IFERROR(IF(Portafolio_Proyectos!$AP429="","","CAP-"&amp;ROW()-1),"")</f>
        <v/>
      </c>
      <c r="B1286" s="5" t="str">
        <f>IFERROR(IF(Portafolio_Proyectos!$AP429="","",Portafolio_Proyectos!$AP429),"")</f>
        <v/>
      </c>
      <c r="C1286" s="5" t="str">
        <f>IFERROR(IF(Portafolio_Proyectos!$AP429="","","Emergente"),"")</f>
        <v/>
      </c>
      <c r="D1286" s="5" t="str">
        <f>IFERROR(IF(Portafolio_Proyectos!$AP429="","",Portafolio_Proyectos!$C429),"")</f>
        <v/>
      </c>
      <c r="E1286" s="5" t="str">
        <f>IFERROR(IF(Portafolio_Proyectos!$AP429="","",Portafolio_Proyectos!$B429),"")</f>
        <v/>
      </c>
      <c r="F1286" s="5" t="str">
        <f>IFERROR(IF(Portafolio_Proyectos!$AP429="","",Portafolio_Proyectos!$D429),"")</f>
        <v/>
      </c>
      <c r="G1286" s="5" t="str">
        <f>IFERROR(IF(Portafolio_Proyectos!$AP429="","",Portafolio_Proyectos!$A429),"")</f>
        <v/>
      </c>
      <c r="H1286" s="5" t="str">
        <f>IFERROR(IF(Portafolio_Proyectos!$AP429="","",Portafolio_Proyectos!$E429),"")</f>
        <v/>
      </c>
    </row>
    <row r="1287" spans="1:8" x14ac:dyDescent="0.35">
      <c r="A1287" s="5" t="str">
        <f>IFERROR(IF(Portafolio_Proyectos!$AQ429="","","CAP-"&amp;ROW()-1),"")</f>
        <v/>
      </c>
      <c r="B1287" s="5" t="str">
        <f>IFERROR(IF(Portafolio_Proyectos!$AQ429="","",Portafolio_Proyectos!$AQ429),"")</f>
        <v/>
      </c>
      <c r="C1287" s="5" t="str">
        <f>IFERROR(IF(Portafolio_Proyectos!$AQ429="","","Consolidada"),"")</f>
        <v/>
      </c>
      <c r="D1287" s="5" t="str">
        <f>IFERROR(IF(Portafolio_Proyectos!$AQ429="","",Portafolio_Proyectos!$C429),"")</f>
        <v/>
      </c>
      <c r="E1287" s="5" t="str">
        <f>IFERROR(IF(Portafolio_Proyectos!$AQ429="","",Portafolio_Proyectos!$B429),"")</f>
        <v/>
      </c>
      <c r="F1287" s="5" t="str">
        <f>IFERROR(IF(Portafolio_Proyectos!$AQ429="","",Portafolio_Proyectos!$D429),"")</f>
        <v/>
      </c>
      <c r="G1287" s="5" t="str">
        <f>IFERROR(IF(Portafolio_Proyectos!$AQ429="","",Portafolio_Proyectos!$A429),"")</f>
        <v/>
      </c>
      <c r="H1287" s="5" t="str">
        <f>IFERROR(IF(Portafolio_Proyectos!$AQ429="","",Portafolio_Proyectos!$E429),"")</f>
        <v/>
      </c>
    </row>
    <row r="1288" spans="1:8" x14ac:dyDescent="0.35">
      <c r="A1288" s="5" t="str">
        <f>IFERROR(IF(Portafolio_Proyectos!$AR429="","","CAP-"&amp;ROW()-1),"")</f>
        <v/>
      </c>
      <c r="B1288" s="5" t="str">
        <f>IFERROR(IF(Portafolio_Proyectos!$AR429="","",Portafolio_Proyectos!$AR429),"")</f>
        <v/>
      </c>
      <c r="C1288" s="5" t="str">
        <f>IFERROR(IF(Portafolio_Proyectos!$AR429="","","Distintiva"),"")</f>
        <v/>
      </c>
      <c r="D1288" s="5" t="str">
        <f>IFERROR(IF(Portafolio_Proyectos!$AR429="","",Portafolio_Proyectos!$C429),"")</f>
        <v/>
      </c>
      <c r="E1288" s="5" t="str">
        <f>IFERROR(IF(Portafolio_Proyectos!$AR429="","",Portafolio_Proyectos!$B429),"")</f>
        <v/>
      </c>
      <c r="F1288" s="5" t="str">
        <f>IFERROR(IF(Portafolio_Proyectos!$AR429="","",Portafolio_Proyectos!$D429),"")</f>
        <v/>
      </c>
      <c r="G1288" s="5" t="str">
        <f>IFERROR(IF(Portafolio_Proyectos!$AR429="","",Portafolio_Proyectos!$A429),"")</f>
        <v/>
      </c>
      <c r="H1288" s="5" t="str">
        <f>IFERROR(IF(Portafolio_Proyectos!$AR429="","",Portafolio_Proyectos!$E429),"")</f>
        <v/>
      </c>
    </row>
    <row r="1289" spans="1:8" x14ac:dyDescent="0.35">
      <c r="A1289" s="5" t="str">
        <f>IFERROR(IF(Portafolio_Proyectos!$AP430="","","CAP-"&amp;ROW()-1),"")</f>
        <v/>
      </c>
      <c r="B1289" s="5" t="str">
        <f>IFERROR(IF(Portafolio_Proyectos!$AP430="","",Portafolio_Proyectos!$AP430),"")</f>
        <v/>
      </c>
      <c r="C1289" s="5" t="str">
        <f>IFERROR(IF(Portafolio_Proyectos!$AP430="","","Emergente"),"")</f>
        <v/>
      </c>
      <c r="D1289" s="5" t="str">
        <f>IFERROR(IF(Portafolio_Proyectos!$AP430="","",Portafolio_Proyectos!$C430),"")</f>
        <v/>
      </c>
      <c r="E1289" s="5" t="str">
        <f>IFERROR(IF(Portafolio_Proyectos!$AP430="","",Portafolio_Proyectos!$B430),"")</f>
        <v/>
      </c>
      <c r="F1289" s="5" t="str">
        <f>IFERROR(IF(Portafolio_Proyectos!$AP430="","",Portafolio_Proyectos!$D430),"")</f>
        <v/>
      </c>
      <c r="G1289" s="5" t="str">
        <f>IFERROR(IF(Portafolio_Proyectos!$AP430="","",Portafolio_Proyectos!$A430),"")</f>
        <v/>
      </c>
      <c r="H1289" s="5" t="str">
        <f>IFERROR(IF(Portafolio_Proyectos!$AP430="","",Portafolio_Proyectos!$E430),"")</f>
        <v/>
      </c>
    </row>
    <row r="1290" spans="1:8" x14ac:dyDescent="0.35">
      <c r="A1290" s="5" t="str">
        <f>IFERROR(IF(Portafolio_Proyectos!$AQ430="","","CAP-"&amp;ROW()-1),"")</f>
        <v/>
      </c>
      <c r="B1290" s="5" t="str">
        <f>IFERROR(IF(Portafolio_Proyectos!$AQ430="","",Portafolio_Proyectos!$AQ430),"")</f>
        <v/>
      </c>
      <c r="C1290" s="5" t="str">
        <f>IFERROR(IF(Portafolio_Proyectos!$AQ430="","","Consolidada"),"")</f>
        <v/>
      </c>
      <c r="D1290" s="5" t="str">
        <f>IFERROR(IF(Portafolio_Proyectos!$AQ430="","",Portafolio_Proyectos!$C430),"")</f>
        <v/>
      </c>
      <c r="E1290" s="5" t="str">
        <f>IFERROR(IF(Portafolio_Proyectos!$AQ430="","",Portafolio_Proyectos!$B430),"")</f>
        <v/>
      </c>
      <c r="F1290" s="5" t="str">
        <f>IFERROR(IF(Portafolio_Proyectos!$AQ430="","",Portafolio_Proyectos!$D430),"")</f>
        <v/>
      </c>
      <c r="G1290" s="5" t="str">
        <f>IFERROR(IF(Portafolio_Proyectos!$AQ430="","",Portafolio_Proyectos!$A430),"")</f>
        <v/>
      </c>
      <c r="H1290" s="5" t="str">
        <f>IFERROR(IF(Portafolio_Proyectos!$AQ430="","",Portafolio_Proyectos!$E430),"")</f>
        <v/>
      </c>
    </row>
    <row r="1291" spans="1:8" x14ac:dyDescent="0.35">
      <c r="A1291" s="5" t="str">
        <f>IFERROR(IF(Portafolio_Proyectos!$AR430="","","CAP-"&amp;ROW()-1),"")</f>
        <v/>
      </c>
      <c r="B1291" s="5" t="str">
        <f>IFERROR(IF(Portafolio_Proyectos!$AR430="","",Portafolio_Proyectos!$AR430),"")</f>
        <v/>
      </c>
      <c r="C1291" s="5" t="str">
        <f>IFERROR(IF(Portafolio_Proyectos!$AR430="","","Distintiva"),"")</f>
        <v/>
      </c>
      <c r="D1291" s="5" t="str">
        <f>IFERROR(IF(Portafolio_Proyectos!$AR430="","",Portafolio_Proyectos!$C430),"")</f>
        <v/>
      </c>
      <c r="E1291" s="5" t="str">
        <f>IFERROR(IF(Portafolio_Proyectos!$AR430="","",Portafolio_Proyectos!$B430),"")</f>
        <v/>
      </c>
      <c r="F1291" s="5" t="str">
        <f>IFERROR(IF(Portafolio_Proyectos!$AR430="","",Portafolio_Proyectos!$D430),"")</f>
        <v/>
      </c>
      <c r="G1291" s="5" t="str">
        <f>IFERROR(IF(Portafolio_Proyectos!$AR430="","",Portafolio_Proyectos!$A430),"")</f>
        <v/>
      </c>
      <c r="H1291" s="5" t="str">
        <f>IFERROR(IF(Portafolio_Proyectos!$AR430="","",Portafolio_Proyectos!$E430),"")</f>
        <v/>
      </c>
    </row>
    <row r="1292" spans="1:8" x14ac:dyDescent="0.35">
      <c r="A1292" s="5" t="str">
        <f>IFERROR(IF(Portafolio_Proyectos!$AP431="","","CAP-"&amp;ROW()-1),"")</f>
        <v/>
      </c>
      <c r="B1292" s="5" t="str">
        <f>IFERROR(IF(Portafolio_Proyectos!$AP431="","",Portafolio_Proyectos!$AP431),"")</f>
        <v/>
      </c>
      <c r="C1292" s="5" t="str">
        <f>IFERROR(IF(Portafolio_Proyectos!$AP431="","","Emergente"),"")</f>
        <v/>
      </c>
      <c r="D1292" s="5" t="str">
        <f>IFERROR(IF(Portafolio_Proyectos!$AP431="","",Portafolio_Proyectos!$C431),"")</f>
        <v/>
      </c>
      <c r="E1292" s="5" t="str">
        <f>IFERROR(IF(Portafolio_Proyectos!$AP431="","",Portafolio_Proyectos!$B431),"")</f>
        <v/>
      </c>
      <c r="F1292" s="5" t="str">
        <f>IFERROR(IF(Portafolio_Proyectos!$AP431="","",Portafolio_Proyectos!$D431),"")</f>
        <v/>
      </c>
      <c r="G1292" s="5" t="str">
        <f>IFERROR(IF(Portafolio_Proyectos!$AP431="","",Portafolio_Proyectos!$A431),"")</f>
        <v/>
      </c>
      <c r="H1292" s="5" t="str">
        <f>IFERROR(IF(Portafolio_Proyectos!$AP431="","",Portafolio_Proyectos!$E431),"")</f>
        <v/>
      </c>
    </row>
    <row r="1293" spans="1:8" x14ac:dyDescent="0.35">
      <c r="A1293" s="5" t="str">
        <f>IFERROR(IF(Portafolio_Proyectos!$AQ431="","","CAP-"&amp;ROW()-1),"")</f>
        <v/>
      </c>
      <c r="B1293" s="5" t="str">
        <f>IFERROR(IF(Portafolio_Proyectos!$AQ431="","",Portafolio_Proyectos!$AQ431),"")</f>
        <v/>
      </c>
      <c r="C1293" s="5" t="str">
        <f>IFERROR(IF(Portafolio_Proyectos!$AQ431="","","Consolidada"),"")</f>
        <v/>
      </c>
      <c r="D1293" s="5" t="str">
        <f>IFERROR(IF(Portafolio_Proyectos!$AQ431="","",Portafolio_Proyectos!$C431),"")</f>
        <v/>
      </c>
      <c r="E1293" s="5" t="str">
        <f>IFERROR(IF(Portafolio_Proyectos!$AQ431="","",Portafolio_Proyectos!$B431),"")</f>
        <v/>
      </c>
      <c r="F1293" s="5" t="str">
        <f>IFERROR(IF(Portafolio_Proyectos!$AQ431="","",Portafolio_Proyectos!$D431),"")</f>
        <v/>
      </c>
      <c r="G1293" s="5" t="str">
        <f>IFERROR(IF(Portafolio_Proyectos!$AQ431="","",Portafolio_Proyectos!$A431),"")</f>
        <v/>
      </c>
      <c r="H1293" s="5" t="str">
        <f>IFERROR(IF(Portafolio_Proyectos!$AQ431="","",Portafolio_Proyectos!$E431),"")</f>
        <v/>
      </c>
    </row>
    <row r="1294" spans="1:8" x14ac:dyDescent="0.35">
      <c r="A1294" s="5" t="str">
        <f>IFERROR(IF(Portafolio_Proyectos!$AR431="","","CAP-"&amp;ROW()-1),"")</f>
        <v/>
      </c>
      <c r="B1294" s="5" t="str">
        <f>IFERROR(IF(Portafolio_Proyectos!$AR431="","",Portafolio_Proyectos!$AR431),"")</f>
        <v/>
      </c>
      <c r="C1294" s="5" t="str">
        <f>IFERROR(IF(Portafolio_Proyectos!$AR431="","","Distintiva"),"")</f>
        <v/>
      </c>
      <c r="D1294" s="5" t="str">
        <f>IFERROR(IF(Portafolio_Proyectos!$AR431="","",Portafolio_Proyectos!$C431),"")</f>
        <v/>
      </c>
      <c r="E1294" s="5" t="str">
        <f>IFERROR(IF(Portafolio_Proyectos!$AR431="","",Portafolio_Proyectos!$B431),"")</f>
        <v/>
      </c>
      <c r="F1294" s="5" t="str">
        <f>IFERROR(IF(Portafolio_Proyectos!$AR431="","",Portafolio_Proyectos!$D431),"")</f>
        <v/>
      </c>
      <c r="G1294" s="5" t="str">
        <f>IFERROR(IF(Portafolio_Proyectos!$AR431="","",Portafolio_Proyectos!$A431),"")</f>
        <v/>
      </c>
      <c r="H1294" s="5" t="str">
        <f>IFERROR(IF(Portafolio_Proyectos!$AR431="","",Portafolio_Proyectos!$E431),"")</f>
        <v/>
      </c>
    </row>
    <row r="1295" spans="1:8" x14ac:dyDescent="0.35">
      <c r="A1295" s="5" t="str">
        <f>IFERROR(IF(Portafolio_Proyectos!$AP432="","","CAP-"&amp;ROW()-1),"")</f>
        <v/>
      </c>
      <c r="B1295" s="5" t="str">
        <f>IFERROR(IF(Portafolio_Proyectos!$AP432="","",Portafolio_Proyectos!$AP432),"")</f>
        <v/>
      </c>
      <c r="C1295" s="5" t="str">
        <f>IFERROR(IF(Portafolio_Proyectos!$AP432="","","Emergente"),"")</f>
        <v/>
      </c>
      <c r="D1295" s="5" t="str">
        <f>IFERROR(IF(Portafolio_Proyectos!$AP432="","",Portafolio_Proyectos!$C432),"")</f>
        <v/>
      </c>
      <c r="E1295" s="5" t="str">
        <f>IFERROR(IF(Portafolio_Proyectos!$AP432="","",Portafolio_Proyectos!$B432),"")</f>
        <v/>
      </c>
      <c r="F1295" s="5" t="str">
        <f>IFERROR(IF(Portafolio_Proyectos!$AP432="","",Portafolio_Proyectos!$D432),"")</f>
        <v/>
      </c>
      <c r="G1295" s="5" t="str">
        <f>IFERROR(IF(Portafolio_Proyectos!$AP432="","",Portafolio_Proyectos!$A432),"")</f>
        <v/>
      </c>
      <c r="H1295" s="5" t="str">
        <f>IFERROR(IF(Portafolio_Proyectos!$AP432="","",Portafolio_Proyectos!$E432),"")</f>
        <v/>
      </c>
    </row>
    <row r="1296" spans="1:8" x14ac:dyDescent="0.35">
      <c r="A1296" s="5" t="str">
        <f>IFERROR(IF(Portafolio_Proyectos!$AQ432="","","CAP-"&amp;ROW()-1),"")</f>
        <v/>
      </c>
      <c r="B1296" s="5" t="str">
        <f>IFERROR(IF(Portafolio_Proyectos!$AQ432="","",Portafolio_Proyectos!$AQ432),"")</f>
        <v/>
      </c>
      <c r="C1296" s="5" t="str">
        <f>IFERROR(IF(Portafolio_Proyectos!$AQ432="","","Consolidada"),"")</f>
        <v/>
      </c>
      <c r="D1296" s="5" t="str">
        <f>IFERROR(IF(Portafolio_Proyectos!$AQ432="","",Portafolio_Proyectos!$C432),"")</f>
        <v/>
      </c>
      <c r="E1296" s="5" t="str">
        <f>IFERROR(IF(Portafolio_Proyectos!$AQ432="","",Portafolio_Proyectos!$B432),"")</f>
        <v/>
      </c>
      <c r="F1296" s="5" t="str">
        <f>IFERROR(IF(Portafolio_Proyectos!$AQ432="","",Portafolio_Proyectos!$D432),"")</f>
        <v/>
      </c>
      <c r="G1296" s="5" t="str">
        <f>IFERROR(IF(Portafolio_Proyectos!$AQ432="","",Portafolio_Proyectos!$A432),"")</f>
        <v/>
      </c>
      <c r="H1296" s="5" t="str">
        <f>IFERROR(IF(Portafolio_Proyectos!$AQ432="","",Portafolio_Proyectos!$E432),"")</f>
        <v/>
      </c>
    </row>
    <row r="1297" spans="1:8" x14ac:dyDescent="0.35">
      <c r="A1297" s="5" t="str">
        <f>IFERROR(IF(Portafolio_Proyectos!$AR432="","","CAP-"&amp;ROW()-1),"")</f>
        <v/>
      </c>
      <c r="B1297" s="5" t="str">
        <f>IFERROR(IF(Portafolio_Proyectos!$AR432="","",Portafolio_Proyectos!$AR432),"")</f>
        <v/>
      </c>
      <c r="C1297" s="5" t="str">
        <f>IFERROR(IF(Portafolio_Proyectos!$AR432="","","Distintiva"),"")</f>
        <v/>
      </c>
      <c r="D1297" s="5" t="str">
        <f>IFERROR(IF(Portafolio_Proyectos!$AR432="","",Portafolio_Proyectos!$C432),"")</f>
        <v/>
      </c>
      <c r="E1297" s="5" t="str">
        <f>IFERROR(IF(Portafolio_Proyectos!$AR432="","",Portafolio_Proyectos!$B432),"")</f>
        <v/>
      </c>
      <c r="F1297" s="5" t="str">
        <f>IFERROR(IF(Portafolio_Proyectos!$AR432="","",Portafolio_Proyectos!$D432),"")</f>
        <v/>
      </c>
      <c r="G1297" s="5" t="str">
        <f>IFERROR(IF(Portafolio_Proyectos!$AR432="","",Portafolio_Proyectos!$A432),"")</f>
        <v/>
      </c>
      <c r="H1297" s="5" t="str">
        <f>IFERROR(IF(Portafolio_Proyectos!$AR432="","",Portafolio_Proyectos!$E432),"")</f>
        <v/>
      </c>
    </row>
    <row r="1298" spans="1:8" x14ac:dyDescent="0.35">
      <c r="A1298" s="5" t="str">
        <f>IFERROR(IF(Portafolio_Proyectos!$AP433="","","CAP-"&amp;ROW()-1),"")</f>
        <v/>
      </c>
      <c r="B1298" s="5" t="str">
        <f>IFERROR(IF(Portafolio_Proyectos!$AP433="","",Portafolio_Proyectos!$AP433),"")</f>
        <v/>
      </c>
      <c r="C1298" s="5" t="str">
        <f>IFERROR(IF(Portafolio_Proyectos!$AP433="","","Emergente"),"")</f>
        <v/>
      </c>
      <c r="D1298" s="5" t="str">
        <f>IFERROR(IF(Portafolio_Proyectos!$AP433="","",Portafolio_Proyectos!$C433),"")</f>
        <v/>
      </c>
      <c r="E1298" s="5" t="str">
        <f>IFERROR(IF(Portafolio_Proyectos!$AP433="","",Portafolio_Proyectos!$B433),"")</f>
        <v/>
      </c>
      <c r="F1298" s="5" t="str">
        <f>IFERROR(IF(Portafolio_Proyectos!$AP433="","",Portafolio_Proyectos!$D433),"")</f>
        <v/>
      </c>
      <c r="G1298" s="5" t="str">
        <f>IFERROR(IF(Portafolio_Proyectos!$AP433="","",Portafolio_Proyectos!$A433),"")</f>
        <v/>
      </c>
      <c r="H1298" s="5" t="str">
        <f>IFERROR(IF(Portafolio_Proyectos!$AP433="","",Portafolio_Proyectos!$E433),"")</f>
        <v/>
      </c>
    </row>
    <row r="1299" spans="1:8" x14ac:dyDescent="0.35">
      <c r="A1299" s="5" t="str">
        <f>IFERROR(IF(Portafolio_Proyectos!$AQ433="","","CAP-"&amp;ROW()-1),"")</f>
        <v/>
      </c>
      <c r="B1299" s="5" t="str">
        <f>IFERROR(IF(Portafolio_Proyectos!$AQ433="","",Portafolio_Proyectos!$AQ433),"")</f>
        <v/>
      </c>
      <c r="C1299" s="5" t="str">
        <f>IFERROR(IF(Portafolio_Proyectos!$AQ433="","","Consolidada"),"")</f>
        <v/>
      </c>
      <c r="D1299" s="5" t="str">
        <f>IFERROR(IF(Portafolio_Proyectos!$AQ433="","",Portafolio_Proyectos!$C433),"")</f>
        <v/>
      </c>
      <c r="E1299" s="5" t="str">
        <f>IFERROR(IF(Portafolio_Proyectos!$AQ433="","",Portafolio_Proyectos!$B433),"")</f>
        <v/>
      </c>
      <c r="F1299" s="5" t="str">
        <f>IFERROR(IF(Portafolio_Proyectos!$AQ433="","",Portafolio_Proyectos!$D433),"")</f>
        <v/>
      </c>
      <c r="G1299" s="5" t="str">
        <f>IFERROR(IF(Portafolio_Proyectos!$AQ433="","",Portafolio_Proyectos!$A433),"")</f>
        <v/>
      </c>
      <c r="H1299" s="5" t="str">
        <f>IFERROR(IF(Portafolio_Proyectos!$AQ433="","",Portafolio_Proyectos!$E433),"")</f>
        <v/>
      </c>
    </row>
    <row r="1300" spans="1:8" x14ac:dyDescent="0.35">
      <c r="A1300" s="5" t="str">
        <f>IFERROR(IF(Portafolio_Proyectos!$AR433="","","CAP-"&amp;ROW()-1),"")</f>
        <v/>
      </c>
      <c r="B1300" s="5" t="str">
        <f>IFERROR(IF(Portafolio_Proyectos!$AR433="","",Portafolio_Proyectos!$AR433),"")</f>
        <v/>
      </c>
      <c r="C1300" s="5" t="str">
        <f>IFERROR(IF(Portafolio_Proyectos!$AR433="","","Distintiva"),"")</f>
        <v/>
      </c>
      <c r="D1300" s="5" t="str">
        <f>IFERROR(IF(Portafolio_Proyectos!$AR433="","",Portafolio_Proyectos!$C433),"")</f>
        <v/>
      </c>
      <c r="E1300" s="5" t="str">
        <f>IFERROR(IF(Portafolio_Proyectos!$AR433="","",Portafolio_Proyectos!$B433),"")</f>
        <v/>
      </c>
      <c r="F1300" s="5" t="str">
        <f>IFERROR(IF(Portafolio_Proyectos!$AR433="","",Portafolio_Proyectos!$D433),"")</f>
        <v/>
      </c>
      <c r="G1300" s="5" t="str">
        <f>IFERROR(IF(Portafolio_Proyectos!$AR433="","",Portafolio_Proyectos!$A433),"")</f>
        <v/>
      </c>
      <c r="H1300" s="5" t="str">
        <f>IFERROR(IF(Portafolio_Proyectos!$AR433="","",Portafolio_Proyectos!$E433),"")</f>
        <v/>
      </c>
    </row>
    <row r="1301" spans="1:8" x14ac:dyDescent="0.35">
      <c r="A1301" s="5" t="str">
        <f>IFERROR(IF(Portafolio_Proyectos!$AP434="","","CAP-"&amp;ROW()-1),"")</f>
        <v/>
      </c>
      <c r="B1301" s="5" t="str">
        <f>IFERROR(IF(Portafolio_Proyectos!$AP434="","",Portafolio_Proyectos!$AP434),"")</f>
        <v/>
      </c>
      <c r="C1301" s="5" t="str">
        <f>IFERROR(IF(Portafolio_Proyectos!$AP434="","","Emergente"),"")</f>
        <v/>
      </c>
      <c r="D1301" s="5" t="str">
        <f>IFERROR(IF(Portafolio_Proyectos!$AP434="","",Portafolio_Proyectos!$C434),"")</f>
        <v/>
      </c>
      <c r="E1301" s="5" t="str">
        <f>IFERROR(IF(Portafolio_Proyectos!$AP434="","",Portafolio_Proyectos!$B434),"")</f>
        <v/>
      </c>
      <c r="F1301" s="5" t="str">
        <f>IFERROR(IF(Portafolio_Proyectos!$AP434="","",Portafolio_Proyectos!$D434),"")</f>
        <v/>
      </c>
      <c r="G1301" s="5" t="str">
        <f>IFERROR(IF(Portafolio_Proyectos!$AP434="","",Portafolio_Proyectos!$A434),"")</f>
        <v/>
      </c>
      <c r="H1301" s="5" t="str">
        <f>IFERROR(IF(Portafolio_Proyectos!$AP434="","",Portafolio_Proyectos!$E434),"")</f>
        <v/>
      </c>
    </row>
    <row r="1302" spans="1:8" x14ac:dyDescent="0.35">
      <c r="A1302" s="5" t="str">
        <f>IFERROR(IF(Portafolio_Proyectos!$AQ434="","","CAP-"&amp;ROW()-1),"")</f>
        <v/>
      </c>
      <c r="B1302" s="5" t="str">
        <f>IFERROR(IF(Portafolio_Proyectos!$AQ434="","",Portafolio_Proyectos!$AQ434),"")</f>
        <v/>
      </c>
      <c r="C1302" s="5" t="str">
        <f>IFERROR(IF(Portafolio_Proyectos!$AQ434="","","Consolidada"),"")</f>
        <v/>
      </c>
      <c r="D1302" s="5" t="str">
        <f>IFERROR(IF(Portafolio_Proyectos!$AQ434="","",Portafolio_Proyectos!$C434),"")</f>
        <v/>
      </c>
      <c r="E1302" s="5" t="str">
        <f>IFERROR(IF(Portafolio_Proyectos!$AQ434="","",Portafolio_Proyectos!$B434),"")</f>
        <v/>
      </c>
      <c r="F1302" s="5" t="str">
        <f>IFERROR(IF(Portafolio_Proyectos!$AQ434="","",Portafolio_Proyectos!$D434),"")</f>
        <v/>
      </c>
      <c r="G1302" s="5" t="str">
        <f>IFERROR(IF(Portafolio_Proyectos!$AQ434="","",Portafolio_Proyectos!$A434),"")</f>
        <v/>
      </c>
      <c r="H1302" s="5" t="str">
        <f>IFERROR(IF(Portafolio_Proyectos!$AQ434="","",Portafolio_Proyectos!$E434),"")</f>
        <v/>
      </c>
    </row>
    <row r="1303" spans="1:8" x14ac:dyDescent="0.35">
      <c r="A1303" s="5" t="str">
        <f>IFERROR(IF(Portafolio_Proyectos!$AR434="","","CAP-"&amp;ROW()-1),"")</f>
        <v/>
      </c>
      <c r="B1303" s="5" t="str">
        <f>IFERROR(IF(Portafolio_Proyectos!$AR434="","",Portafolio_Proyectos!$AR434),"")</f>
        <v/>
      </c>
      <c r="C1303" s="5" t="str">
        <f>IFERROR(IF(Portafolio_Proyectos!$AR434="","","Distintiva"),"")</f>
        <v/>
      </c>
      <c r="D1303" s="5" t="str">
        <f>IFERROR(IF(Portafolio_Proyectos!$AR434="","",Portafolio_Proyectos!$C434),"")</f>
        <v/>
      </c>
      <c r="E1303" s="5" t="str">
        <f>IFERROR(IF(Portafolio_Proyectos!$AR434="","",Portafolio_Proyectos!$B434),"")</f>
        <v/>
      </c>
      <c r="F1303" s="5" t="str">
        <f>IFERROR(IF(Portafolio_Proyectos!$AR434="","",Portafolio_Proyectos!$D434),"")</f>
        <v/>
      </c>
      <c r="G1303" s="5" t="str">
        <f>IFERROR(IF(Portafolio_Proyectos!$AR434="","",Portafolio_Proyectos!$A434),"")</f>
        <v/>
      </c>
      <c r="H1303" s="5" t="str">
        <f>IFERROR(IF(Portafolio_Proyectos!$AR434="","",Portafolio_Proyectos!$E434),"")</f>
        <v/>
      </c>
    </row>
    <row r="1304" spans="1:8" x14ac:dyDescent="0.35">
      <c r="A1304" s="5" t="str">
        <f>IFERROR(IF(Portafolio_Proyectos!$AP435="","","CAP-"&amp;ROW()-1),"")</f>
        <v/>
      </c>
      <c r="B1304" s="5" t="str">
        <f>IFERROR(IF(Portafolio_Proyectos!$AP435="","",Portafolio_Proyectos!$AP435),"")</f>
        <v/>
      </c>
      <c r="C1304" s="5" t="str">
        <f>IFERROR(IF(Portafolio_Proyectos!$AP435="","","Emergente"),"")</f>
        <v/>
      </c>
      <c r="D1304" s="5" t="str">
        <f>IFERROR(IF(Portafolio_Proyectos!$AP435="","",Portafolio_Proyectos!$C435),"")</f>
        <v/>
      </c>
      <c r="E1304" s="5" t="str">
        <f>IFERROR(IF(Portafolio_Proyectos!$AP435="","",Portafolio_Proyectos!$B435),"")</f>
        <v/>
      </c>
      <c r="F1304" s="5" t="str">
        <f>IFERROR(IF(Portafolio_Proyectos!$AP435="","",Portafolio_Proyectos!$D435),"")</f>
        <v/>
      </c>
      <c r="G1304" s="5" t="str">
        <f>IFERROR(IF(Portafolio_Proyectos!$AP435="","",Portafolio_Proyectos!$A435),"")</f>
        <v/>
      </c>
      <c r="H1304" s="5" t="str">
        <f>IFERROR(IF(Portafolio_Proyectos!$AP435="","",Portafolio_Proyectos!$E435),"")</f>
        <v/>
      </c>
    </row>
    <row r="1305" spans="1:8" x14ac:dyDescent="0.35">
      <c r="A1305" s="5" t="str">
        <f>IFERROR(IF(Portafolio_Proyectos!$AQ435="","","CAP-"&amp;ROW()-1),"")</f>
        <v/>
      </c>
      <c r="B1305" s="5" t="str">
        <f>IFERROR(IF(Portafolio_Proyectos!$AQ435="","",Portafolio_Proyectos!$AQ435),"")</f>
        <v/>
      </c>
      <c r="C1305" s="5" t="str">
        <f>IFERROR(IF(Portafolio_Proyectos!$AQ435="","","Consolidada"),"")</f>
        <v/>
      </c>
      <c r="D1305" s="5" t="str">
        <f>IFERROR(IF(Portafolio_Proyectos!$AQ435="","",Portafolio_Proyectos!$C435),"")</f>
        <v/>
      </c>
      <c r="E1305" s="5" t="str">
        <f>IFERROR(IF(Portafolio_Proyectos!$AQ435="","",Portafolio_Proyectos!$B435),"")</f>
        <v/>
      </c>
      <c r="F1305" s="5" t="str">
        <f>IFERROR(IF(Portafolio_Proyectos!$AQ435="","",Portafolio_Proyectos!$D435),"")</f>
        <v/>
      </c>
      <c r="G1305" s="5" t="str">
        <f>IFERROR(IF(Portafolio_Proyectos!$AQ435="","",Portafolio_Proyectos!$A435),"")</f>
        <v/>
      </c>
      <c r="H1305" s="5" t="str">
        <f>IFERROR(IF(Portafolio_Proyectos!$AQ435="","",Portafolio_Proyectos!$E435),"")</f>
        <v/>
      </c>
    </row>
    <row r="1306" spans="1:8" x14ac:dyDescent="0.35">
      <c r="A1306" s="5" t="str">
        <f>IFERROR(IF(Portafolio_Proyectos!$AR435="","","CAP-"&amp;ROW()-1),"")</f>
        <v/>
      </c>
      <c r="B1306" s="5" t="str">
        <f>IFERROR(IF(Portafolio_Proyectos!$AR435="","",Portafolio_Proyectos!$AR435),"")</f>
        <v/>
      </c>
      <c r="C1306" s="5" t="str">
        <f>IFERROR(IF(Portafolio_Proyectos!$AR435="","","Distintiva"),"")</f>
        <v/>
      </c>
      <c r="D1306" s="5" t="str">
        <f>IFERROR(IF(Portafolio_Proyectos!$AR435="","",Portafolio_Proyectos!$C435),"")</f>
        <v/>
      </c>
      <c r="E1306" s="5" t="str">
        <f>IFERROR(IF(Portafolio_Proyectos!$AR435="","",Portafolio_Proyectos!$B435),"")</f>
        <v/>
      </c>
      <c r="F1306" s="5" t="str">
        <f>IFERROR(IF(Portafolio_Proyectos!$AR435="","",Portafolio_Proyectos!$D435),"")</f>
        <v/>
      </c>
      <c r="G1306" s="5" t="str">
        <f>IFERROR(IF(Portafolio_Proyectos!$AR435="","",Portafolio_Proyectos!$A435),"")</f>
        <v/>
      </c>
      <c r="H1306" s="5" t="str">
        <f>IFERROR(IF(Portafolio_Proyectos!$AR435="","",Portafolio_Proyectos!$E435),"")</f>
        <v/>
      </c>
    </row>
    <row r="1307" spans="1:8" x14ac:dyDescent="0.35">
      <c r="A1307" s="5" t="str">
        <f>IFERROR(IF(Portafolio_Proyectos!$AP436="","","CAP-"&amp;ROW()-1),"")</f>
        <v/>
      </c>
      <c r="B1307" s="5" t="str">
        <f>IFERROR(IF(Portafolio_Proyectos!$AP436="","",Portafolio_Proyectos!$AP436),"")</f>
        <v/>
      </c>
      <c r="C1307" s="5" t="str">
        <f>IFERROR(IF(Portafolio_Proyectos!$AP436="","","Emergente"),"")</f>
        <v/>
      </c>
      <c r="D1307" s="5" t="str">
        <f>IFERROR(IF(Portafolio_Proyectos!$AP436="","",Portafolio_Proyectos!$C436),"")</f>
        <v/>
      </c>
      <c r="E1307" s="5" t="str">
        <f>IFERROR(IF(Portafolio_Proyectos!$AP436="","",Portafolio_Proyectos!$B436),"")</f>
        <v/>
      </c>
      <c r="F1307" s="5" t="str">
        <f>IFERROR(IF(Portafolio_Proyectos!$AP436="","",Portafolio_Proyectos!$D436),"")</f>
        <v/>
      </c>
      <c r="G1307" s="5" t="str">
        <f>IFERROR(IF(Portafolio_Proyectos!$AP436="","",Portafolio_Proyectos!$A436),"")</f>
        <v/>
      </c>
      <c r="H1307" s="5" t="str">
        <f>IFERROR(IF(Portafolio_Proyectos!$AP436="","",Portafolio_Proyectos!$E436),"")</f>
        <v/>
      </c>
    </row>
    <row r="1308" spans="1:8" x14ac:dyDescent="0.35">
      <c r="A1308" s="5" t="str">
        <f>IFERROR(IF(Portafolio_Proyectos!$AQ436="","","CAP-"&amp;ROW()-1),"")</f>
        <v/>
      </c>
      <c r="B1308" s="5" t="str">
        <f>IFERROR(IF(Portafolio_Proyectos!$AQ436="","",Portafolio_Proyectos!$AQ436),"")</f>
        <v/>
      </c>
      <c r="C1308" s="5" t="str">
        <f>IFERROR(IF(Portafolio_Proyectos!$AQ436="","","Consolidada"),"")</f>
        <v/>
      </c>
      <c r="D1308" s="5" t="str">
        <f>IFERROR(IF(Portafolio_Proyectos!$AQ436="","",Portafolio_Proyectos!$C436),"")</f>
        <v/>
      </c>
      <c r="E1308" s="5" t="str">
        <f>IFERROR(IF(Portafolio_Proyectos!$AQ436="","",Portafolio_Proyectos!$B436),"")</f>
        <v/>
      </c>
      <c r="F1308" s="5" t="str">
        <f>IFERROR(IF(Portafolio_Proyectos!$AQ436="","",Portafolio_Proyectos!$D436),"")</f>
        <v/>
      </c>
      <c r="G1308" s="5" t="str">
        <f>IFERROR(IF(Portafolio_Proyectos!$AQ436="","",Portafolio_Proyectos!$A436),"")</f>
        <v/>
      </c>
      <c r="H1308" s="5" t="str">
        <f>IFERROR(IF(Portafolio_Proyectos!$AQ436="","",Portafolio_Proyectos!$E436),"")</f>
        <v/>
      </c>
    </row>
    <row r="1309" spans="1:8" x14ac:dyDescent="0.35">
      <c r="A1309" s="5" t="str">
        <f>IFERROR(IF(Portafolio_Proyectos!$AR436="","","CAP-"&amp;ROW()-1),"")</f>
        <v/>
      </c>
      <c r="B1309" s="5" t="str">
        <f>IFERROR(IF(Portafolio_Proyectos!$AR436="","",Portafolio_Proyectos!$AR436),"")</f>
        <v/>
      </c>
      <c r="C1309" s="5" t="str">
        <f>IFERROR(IF(Portafolio_Proyectos!$AR436="","","Distintiva"),"")</f>
        <v/>
      </c>
      <c r="D1309" s="5" t="str">
        <f>IFERROR(IF(Portafolio_Proyectos!$AR436="","",Portafolio_Proyectos!$C436),"")</f>
        <v/>
      </c>
      <c r="E1309" s="5" t="str">
        <f>IFERROR(IF(Portafolio_Proyectos!$AR436="","",Portafolio_Proyectos!$B436),"")</f>
        <v/>
      </c>
      <c r="F1309" s="5" t="str">
        <f>IFERROR(IF(Portafolio_Proyectos!$AR436="","",Portafolio_Proyectos!$D436),"")</f>
        <v/>
      </c>
      <c r="G1309" s="5" t="str">
        <f>IFERROR(IF(Portafolio_Proyectos!$AR436="","",Portafolio_Proyectos!$A436),"")</f>
        <v/>
      </c>
      <c r="H1309" s="5" t="str">
        <f>IFERROR(IF(Portafolio_Proyectos!$AR436="","",Portafolio_Proyectos!$E436),"")</f>
        <v/>
      </c>
    </row>
    <row r="1310" spans="1:8" x14ac:dyDescent="0.35">
      <c r="A1310" s="5" t="str">
        <f>IFERROR(IF(Portafolio_Proyectos!$AP437="","","CAP-"&amp;ROW()-1),"")</f>
        <v/>
      </c>
      <c r="B1310" s="5" t="str">
        <f>IFERROR(IF(Portafolio_Proyectos!$AP437="","",Portafolio_Proyectos!$AP437),"")</f>
        <v/>
      </c>
      <c r="C1310" s="5" t="str">
        <f>IFERROR(IF(Portafolio_Proyectos!$AP437="","","Emergente"),"")</f>
        <v/>
      </c>
      <c r="D1310" s="5" t="str">
        <f>IFERROR(IF(Portafolio_Proyectos!$AP437="","",Portafolio_Proyectos!$C437),"")</f>
        <v/>
      </c>
      <c r="E1310" s="5" t="str">
        <f>IFERROR(IF(Portafolio_Proyectos!$AP437="","",Portafolio_Proyectos!$B437),"")</f>
        <v/>
      </c>
      <c r="F1310" s="5" t="str">
        <f>IFERROR(IF(Portafolio_Proyectos!$AP437="","",Portafolio_Proyectos!$D437),"")</f>
        <v/>
      </c>
      <c r="G1310" s="5" t="str">
        <f>IFERROR(IF(Portafolio_Proyectos!$AP437="","",Portafolio_Proyectos!$A437),"")</f>
        <v/>
      </c>
      <c r="H1310" s="5" t="str">
        <f>IFERROR(IF(Portafolio_Proyectos!$AP437="","",Portafolio_Proyectos!$E437),"")</f>
        <v/>
      </c>
    </row>
    <row r="1311" spans="1:8" x14ac:dyDescent="0.35">
      <c r="A1311" s="5" t="str">
        <f>IFERROR(IF(Portafolio_Proyectos!$AQ437="","","CAP-"&amp;ROW()-1),"")</f>
        <v/>
      </c>
      <c r="B1311" s="5" t="str">
        <f>IFERROR(IF(Portafolio_Proyectos!$AQ437="","",Portafolio_Proyectos!$AQ437),"")</f>
        <v/>
      </c>
      <c r="C1311" s="5" t="str">
        <f>IFERROR(IF(Portafolio_Proyectos!$AQ437="","","Consolidada"),"")</f>
        <v/>
      </c>
      <c r="D1311" s="5" t="str">
        <f>IFERROR(IF(Portafolio_Proyectos!$AQ437="","",Portafolio_Proyectos!$C437),"")</f>
        <v/>
      </c>
      <c r="E1311" s="5" t="str">
        <f>IFERROR(IF(Portafolio_Proyectos!$AQ437="","",Portafolio_Proyectos!$B437),"")</f>
        <v/>
      </c>
      <c r="F1311" s="5" t="str">
        <f>IFERROR(IF(Portafolio_Proyectos!$AQ437="","",Portafolio_Proyectos!$D437),"")</f>
        <v/>
      </c>
      <c r="G1311" s="5" t="str">
        <f>IFERROR(IF(Portafolio_Proyectos!$AQ437="","",Portafolio_Proyectos!$A437),"")</f>
        <v/>
      </c>
      <c r="H1311" s="5" t="str">
        <f>IFERROR(IF(Portafolio_Proyectos!$AQ437="","",Portafolio_Proyectos!$E437),"")</f>
        <v/>
      </c>
    </row>
    <row r="1312" spans="1:8" x14ac:dyDescent="0.35">
      <c r="A1312" s="5" t="str">
        <f>IFERROR(IF(Portafolio_Proyectos!$AR437="","","CAP-"&amp;ROW()-1),"")</f>
        <v/>
      </c>
      <c r="B1312" s="5" t="str">
        <f>IFERROR(IF(Portafolio_Proyectos!$AR437="","",Portafolio_Proyectos!$AR437),"")</f>
        <v/>
      </c>
      <c r="C1312" s="5" t="str">
        <f>IFERROR(IF(Portafolio_Proyectos!$AR437="","","Distintiva"),"")</f>
        <v/>
      </c>
      <c r="D1312" s="5" t="str">
        <f>IFERROR(IF(Portafolio_Proyectos!$AR437="","",Portafolio_Proyectos!$C437),"")</f>
        <v/>
      </c>
      <c r="E1312" s="5" t="str">
        <f>IFERROR(IF(Portafolio_Proyectos!$AR437="","",Portafolio_Proyectos!$B437),"")</f>
        <v/>
      </c>
      <c r="F1312" s="5" t="str">
        <f>IFERROR(IF(Portafolio_Proyectos!$AR437="","",Portafolio_Proyectos!$D437),"")</f>
        <v/>
      </c>
      <c r="G1312" s="5" t="str">
        <f>IFERROR(IF(Portafolio_Proyectos!$AR437="","",Portafolio_Proyectos!$A437),"")</f>
        <v/>
      </c>
      <c r="H1312" s="5" t="str">
        <f>IFERROR(IF(Portafolio_Proyectos!$AR437="","",Portafolio_Proyectos!$E437),"")</f>
        <v/>
      </c>
    </row>
    <row r="1313" spans="1:8" x14ac:dyDescent="0.35">
      <c r="A1313" s="5" t="str">
        <f>IFERROR(IF(Portafolio_Proyectos!$AP438="","","CAP-"&amp;ROW()-1),"")</f>
        <v/>
      </c>
      <c r="B1313" s="5" t="str">
        <f>IFERROR(IF(Portafolio_Proyectos!$AP438="","",Portafolio_Proyectos!$AP438),"")</f>
        <v/>
      </c>
      <c r="C1313" s="5" t="str">
        <f>IFERROR(IF(Portafolio_Proyectos!$AP438="","","Emergente"),"")</f>
        <v/>
      </c>
      <c r="D1313" s="5" t="str">
        <f>IFERROR(IF(Portafolio_Proyectos!$AP438="","",Portafolio_Proyectos!$C438),"")</f>
        <v/>
      </c>
      <c r="E1313" s="5" t="str">
        <f>IFERROR(IF(Portafolio_Proyectos!$AP438="","",Portafolio_Proyectos!$B438),"")</f>
        <v/>
      </c>
      <c r="F1313" s="5" t="str">
        <f>IFERROR(IF(Portafolio_Proyectos!$AP438="","",Portafolio_Proyectos!$D438),"")</f>
        <v/>
      </c>
      <c r="G1313" s="5" t="str">
        <f>IFERROR(IF(Portafolio_Proyectos!$AP438="","",Portafolio_Proyectos!$A438),"")</f>
        <v/>
      </c>
      <c r="H1313" s="5" t="str">
        <f>IFERROR(IF(Portafolio_Proyectos!$AP438="","",Portafolio_Proyectos!$E438),"")</f>
        <v/>
      </c>
    </row>
    <row r="1314" spans="1:8" x14ac:dyDescent="0.35">
      <c r="A1314" s="5" t="str">
        <f>IFERROR(IF(Portafolio_Proyectos!$AQ438="","","CAP-"&amp;ROW()-1),"")</f>
        <v/>
      </c>
      <c r="B1314" s="5" t="str">
        <f>IFERROR(IF(Portafolio_Proyectos!$AQ438="","",Portafolio_Proyectos!$AQ438),"")</f>
        <v/>
      </c>
      <c r="C1314" s="5" t="str">
        <f>IFERROR(IF(Portafolio_Proyectos!$AQ438="","","Consolidada"),"")</f>
        <v/>
      </c>
      <c r="D1314" s="5" t="str">
        <f>IFERROR(IF(Portafolio_Proyectos!$AQ438="","",Portafolio_Proyectos!$C438),"")</f>
        <v/>
      </c>
      <c r="E1314" s="5" t="str">
        <f>IFERROR(IF(Portafolio_Proyectos!$AQ438="","",Portafolio_Proyectos!$B438),"")</f>
        <v/>
      </c>
      <c r="F1314" s="5" t="str">
        <f>IFERROR(IF(Portafolio_Proyectos!$AQ438="","",Portafolio_Proyectos!$D438),"")</f>
        <v/>
      </c>
      <c r="G1314" s="5" t="str">
        <f>IFERROR(IF(Portafolio_Proyectos!$AQ438="","",Portafolio_Proyectos!$A438),"")</f>
        <v/>
      </c>
      <c r="H1314" s="5" t="str">
        <f>IFERROR(IF(Portafolio_Proyectos!$AQ438="","",Portafolio_Proyectos!$E438),"")</f>
        <v/>
      </c>
    </row>
    <row r="1315" spans="1:8" x14ac:dyDescent="0.35">
      <c r="A1315" s="5" t="str">
        <f>IFERROR(IF(Portafolio_Proyectos!$AR438="","","CAP-"&amp;ROW()-1),"")</f>
        <v/>
      </c>
      <c r="B1315" s="5" t="str">
        <f>IFERROR(IF(Portafolio_Proyectos!$AR438="","",Portafolio_Proyectos!$AR438),"")</f>
        <v/>
      </c>
      <c r="C1315" s="5" t="str">
        <f>IFERROR(IF(Portafolio_Proyectos!$AR438="","","Distintiva"),"")</f>
        <v/>
      </c>
      <c r="D1315" s="5" t="str">
        <f>IFERROR(IF(Portafolio_Proyectos!$AR438="","",Portafolio_Proyectos!$C438),"")</f>
        <v/>
      </c>
      <c r="E1315" s="5" t="str">
        <f>IFERROR(IF(Portafolio_Proyectos!$AR438="","",Portafolio_Proyectos!$B438),"")</f>
        <v/>
      </c>
      <c r="F1315" s="5" t="str">
        <f>IFERROR(IF(Portafolio_Proyectos!$AR438="","",Portafolio_Proyectos!$D438),"")</f>
        <v/>
      </c>
      <c r="G1315" s="5" t="str">
        <f>IFERROR(IF(Portafolio_Proyectos!$AR438="","",Portafolio_Proyectos!$A438),"")</f>
        <v/>
      </c>
      <c r="H1315" s="5" t="str">
        <f>IFERROR(IF(Portafolio_Proyectos!$AR438="","",Portafolio_Proyectos!$E438),"")</f>
        <v/>
      </c>
    </row>
    <row r="1316" spans="1:8" x14ac:dyDescent="0.35">
      <c r="A1316" s="5" t="str">
        <f>IFERROR(IF(Portafolio_Proyectos!$AP439="","","CAP-"&amp;ROW()-1),"")</f>
        <v/>
      </c>
      <c r="B1316" s="5" t="str">
        <f>IFERROR(IF(Portafolio_Proyectos!$AP439="","",Portafolio_Proyectos!$AP439),"")</f>
        <v/>
      </c>
      <c r="C1316" s="5" t="str">
        <f>IFERROR(IF(Portafolio_Proyectos!$AP439="","","Emergente"),"")</f>
        <v/>
      </c>
      <c r="D1316" s="5" t="str">
        <f>IFERROR(IF(Portafolio_Proyectos!$AP439="","",Portafolio_Proyectos!$C439),"")</f>
        <v/>
      </c>
      <c r="E1316" s="5" t="str">
        <f>IFERROR(IF(Portafolio_Proyectos!$AP439="","",Portafolio_Proyectos!$B439),"")</f>
        <v/>
      </c>
      <c r="F1316" s="5" t="str">
        <f>IFERROR(IF(Portafolio_Proyectos!$AP439="","",Portafolio_Proyectos!$D439),"")</f>
        <v/>
      </c>
      <c r="G1316" s="5" t="str">
        <f>IFERROR(IF(Portafolio_Proyectos!$AP439="","",Portafolio_Proyectos!$A439),"")</f>
        <v/>
      </c>
      <c r="H1316" s="5" t="str">
        <f>IFERROR(IF(Portafolio_Proyectos!$AP439="","",Portafolio_Proyectos!$E439),"")</f>
        <v/>
      </c>
    </row>
    <row r="1317" spans="1:8" x14ac:dyDescent="0.35">
      <c r="A1317" s="5" t="str">
        <f>IFERROR(IF(Portafolio_Proyectos!$AQ439="","","CAP-"&amp;ROW()-1),"")</f>
        <v/>
      </c>
      <c r="B1317" s="5" t="str">
        <f>IFERROR(IF(Portafolio_Proyectos!$AQ439="","",Portafolio_Proyectos!$AQ439),"")</f>
        <v/>
      </c>
      <c r="C1317" s="5" t="str">
        <f>IFERROR(IF(Portafolio_Proyectos!$AQ439="","","Consolidada"),"")</f>
        <v/>
      </c>
      <c r="D1317" s="5" t="str">
        <f>IFERROR(IF(Portafolio_Proyectos!$AQ439="","",Portafolio_Proyectos!$C439),"")</f>
        <v/>
      </c>
      <c r="E1317" s="5" t="str">
        <f>IFERROR(IF(Portafolio_Proyectos!$AQ439="","",Portafolio_Proyectos!$B439),"")</f>
        <v/>
      </c>
      <c r="F1317" s="5" t="str">
        <f>IFERROR(IF(Portafolio_Proyectos!$AQ439="","",Portafolio_Proyectos!$D439),"")</f>
        <v/>
      </c>
      <c r="G1317" s="5" t="str">
        <f>IFERROR(IF(Portafolio_Proyectos!$AQ439="","",Portafolio_Proyectos!$A439),"")</f>
        <v/>
      </c>
      <c r="H1317" s="5" t="str">
        <f>IFERROR(IF(Portafolio_Proyectos!$AQ439="","",Portafolio_Proyectos!$E439),"")</f>
        <v/>
      </c>
    </row>
    <row r="1318" spans="1:8" x14ac:dyDescent="0.35">
      <c r="A1318" s="5" t="str">
        <f>IFERROR(IF(Portafolio_Proyectos!$AR439="","","CAP-"&amp;ROW()-1),"")</f>
        <v/>
      </c>
      <c r="B1318" s="5" t="str">
        <f>IFERROR(IF(Portafolio_Proyectos!$AR439="","",Portafolio_Proyectos!$AR439),"")</f>
        <v/>
      </c>
      <c r="C1318" s="5" t="str">
        <f>IFERROR(IF(Portafolio_Proyectos!$AR439="","","Distintiva"),"")</f>
        <v/>
      </c>
      <c r="D1318" s="5" t="str">
        <f>IFERROR(IF(Portafolio_Proyectos!$AR439="","",Portafolio_Proyectos!$C439),"")</f>
        <v/>
      </c>
      <c r="E1318" s="5" t="str">
        <f>IFERROR(IF(Portafolio_Proyectos!$AR439="","",Portafolio_Proyectos!$B439),"")</f>
        <v/>
      </c>
      <c r="F1318" s="5" t="str">
        <f>IFERROR(IF(Portafolio_Proyectos!$AR439="","",Portafolio_Proyectos!$D439),"")</f>
        <v/>
      </c>
      <c r="G1318" s="5" t="str">
        <f>IFERROR(IF(Portafolio_Proyectos!$AR439="","",Portafolio_Proyectos!$A439),"")</f>
        <v/>
      </c>
      <c r="H1318" s="5" t="str">
        <f>IFERROR(IF(Portafolio_Proyectos!$AR439="","",Portafolio_Proyectos!$E439),"")</f>
        <v/>
      </c>
    </row>
    <row r="1319" spans="1:8" x14ac:dyDescent="0.35">
      <c r="A1319" s="5" t="str">
        <f>IFERROR(IF(Portafolio_Proyectos!$AP440="","","CAP-"&amp;ROW()-1),"")</f>
        <v/>
      </c>
      <c r="B1319" s="5" t="str">
        <f>IFERROR(IF(Portafolio_Proyectos!$AP440="","",Portafolio_Proyectos!$AP440),"")</f>
        <v/>
      </c>
      <c r="C1319" s="5" t="str">
        <f>IFERROR(IF(Portafolio_Proyectos!$AP440="","","Emergente"),"")</f>
        <v/>
      </c>
      <c r="D1319" s="5" t="str">
        <f>IFERROR(IF(Portafolio_Proyectos!$AP440="","",Portafolio_Proyectos!$C440),"")</f>
        <v/>
      </c>
      <c r="E1319" s="5" t="str">
        <f>IFERROR(IF(Portafolio_Proyectos!$AP440="","",Portafolio_Proyectos!$B440),"")</f>
        <v/>
      </c>
      <c r="F1319" s="5" t="str">
        <f>IFERROR(IF(Portafolio_Proyectos!$AP440="","",Portafolio_Proyectos!$D440),"")</f>
        <v/>
      </c>
      <c r="G1319" s="5" t="str">
        <f>IFERROR(IF(Portafolio_Proyectos!$AP440="","",Portafolio_Proyectos!$A440),"")</f>
        <v/>
      </c>
      <c r="H1319" s="5" t="str">
        <f>IFERROR(IF(Portafolio_Proyectos!$AP440="","",Portafolio_Proyectos!$E440),"")</f>
        <v/>
      </c>
    </row>
    <row r="1320" spans="1:8" x14ac:dyDescent="0.35">
      <c r="A1320" s="5" t="str">
        <f>IFERROR(IF(Portafolio_Proyectos!$AQ440="","","CAP-"&amp;ROW()-1),"")</f>
        <v/>
      </c>
      <c r="B1320" s="5" t="str">
        <f>IFERROR(IF(Portafolio_Proyectos!$AQ440="","",Portafolio_Proyectos!$AQ440),"")</f>
        <v/>
      </c>
      <c r="C1320" s="5" t="str">
        <f>IFERROR(IF(Portafolio_Proyectos!$AQ440="","","Consolidada"),"")</f>
        <v/>
      </c>
      <c r="D1320" s="5" t="str">
        <f>IFERROR(IF(Portafolio_Proyectos!$AQ440="","",Portafolio_Proyectos!$C440),"")</f>
        <v/>
      </c>
      <c r="E1320" s="5" t="str">
        <f>IFERROR(IF(Portafolio_Proyectos!$AQ440="","",Portafolio_Proyectos!$B440),"")</f>
        <v/>
      </c>
      <c r="F1320" s="5" t="str">
        <f>IFERROR(IF(Portafolio_Proyectos!$AQ440="","",Portafolio_Proyectos!$D440),"")</f>
        <v/>
      </c>
      <c r="G1320" s="5" t="str">
        <f>IFERROR(IF(Portafolio_Proyectos!$AQ440="","",Portafolio_Proyectos!$A440),"")</f>
        <v/>
      </c>
      <c r="H1320" s="5" t="str">
        <f>IFERROR(IF(Portafolio_Proyectos!$AQ440="","",Portafolio_Proyectos!$E440),"")</f>
        <v/>
      </c>
    </row>
    <row r="1321" spans="1:8" x14ac:dyDescent="0.35">
      <c r="A1321" s="5" t="str">
        <f>IFERROR(IF(Portafolio_Proyectos!$AR440="","","CAP-"&amp;ROW()-1),"")</f>
        <v/>
      </c>
      <c r="B1321" s="5" t="str">
        <f>IFERROR(IF(Portafolio_Proyectos!$AR440="","",Portafolio_Proyectos!$AR440),"")</f>
        <v/>
      </c>
      <c r="C1321" s="5" t="str">
        <f>IFERROR(IF(Portafolio_Proyectos!$AR440="","","Distintiva"),"")</f>
        <v/>
      </c>
      <c r="D1321" s="5" t="str">
        <f>IFERROR(IF(Portafolio_Proyectos!$AR440="","",Portafolio_Proyectos!$C440),"")</f>
        <v/>
      </c>
      <c r="E1321" s="5" t="str">
        <f>IFERROR(IF(Portafolio_Proyectos!$AR440="","",Portafolio_Proyectos!$B440),"")</f>
        <v/>
      </c>
      <c r="F1321" s="5" t="str">
        <f>IFERROR(IF(Portafolio_Proyectos!$AR440="","",Portafolio_Proyectos!$D440),"")</f>
        <v/>
      </c>
      <c r="G1321" s="5" t="str">
        <f>IFERROR(IF(Portafolio_Proyectos!$AR440="","",Portafolio_Proyectos!$A440),"")</f>
        <v/>
      </c>
      <c r="H1321" s="5" t="str">
        <f>IFERROR(IF(Portafolio_Proyectos!$AR440="","",Portafolio_Proyectos!$E440),"")</f>
        <v/>
      </c>
    </row>
    <row r="1322" spans="1:8" x14ac:dyDescent="0.35">
      <c r="A1322" s="5" t="str">
        <f>IFERROR(IF(Portafolio_Proyectos!$AP441="","","CAP-"&amp;ROW()-1),"")</f>
        <v/>
      </c>
      <c r="B1322" s="5" t="str">
        <f>IFERROR(IF(Portafolio_Proyectos!$AP441="","",Portafolio_Proyectos!$AP441),"")</f>
        <v/>
      </c>
      <c r="C1322" s="5" t="str">
        <f>IFERROR(IF(Portafolio_Proyectos!$AP441="","","Emergente"),"")</f>
        <v/>
      </c>
      <c r="D1322" s="5" t="str">
        <f>IFERROR(IF(Portafolio_Proyectos!$AP441="","",Portafolio_Proyectos!$C441),"")</f>
        <v/>
      </c>
      <c r="E1322" s="5" t="str">
        <f>IFERROR(IF(Portafolio_Proyectos!$AP441="","",Portafolio_Proyectos!$B441),"")</f>
        <v/>
      </c>
      <c r="F1322" s="5" t="str">
        <f>IFERROR(IF(Portafolio_Proyectos!$AP441="","",Portafolio_Proyectos!$D441),"")</f>
        <v/>
      </c>
      <c r="G1322" s="5" t="str">
        <f>IFERROR(IF(Portafolio_Proyectos!$AP441="","",Portafolio_Proyectos!$A441),"")</f>
        <v/>
      </c>
      <c r="H1322" s="5" t="str">
        <f>IFERROR(IF(Portafolio_Proyectos!$AP441="","",Portafolio_Proyectos!$E441),"")</f>
        <v/>
      </c>
    </row>
    <row r="1323" spans="1:8" x14ac:dyDescent="0.35">
      <c r="A1323" s="5" t="str">
        <f>IFERROR(IF(Portafolio_Proyectos!$AQ441="","","CAP-"&amp;ROW()-1),"")</f>
        <v/>
      </c>
      <c r="B1323" s="5" t="str">
        <f>IFERROR(IF(Portafolio_Proyectos!$AQ441="","",Portafolio_Proyectos!$AQ441),"")</f>
        <v/>
      </c>
      <c r="C1323" s="5" t="str">
        <f>IFERROR(IF(Portafolio_Proyectos!$AQ441="","","Consolidada"),"")</f>
        <v/>
      </c>
      <c r="D1323" s="5" t="str">
        <f>IFERROR(IF(Portafolio_Proyectos!$AQ441="","",Portafolio_Proyectos!$C441),"")</f>
        <v/>
      </c>
      <c r="E1323" s="5" t="str">
        <f>IFERROR(IF(Portafolio_Proyectos!$AQ441="","",Portafolio_Proyectos!$B441),"")</f>
        <v/>
      </c>
      <c r="F1323" s="5" t="str">
        <f>IFERROR(IF(Portafolio_Proyectos!$AQ441="","",Portafolio_Proyectos!$D441),"")</f>
        <v/>
      </c>
      <c r="G1323" s="5" t="str">
        <f>IFERROR(IF(Portafolio_Proyectos!$AQ441="","",Portafolio_Proyectos!$A441),"")</f>
        <v/>
      </c>
      <c r="H1323" s="5" t="str">
        <f>IFERROR(IF(Portafolio_Proyectos!$AQ441="","",Portafolio_Proyectos!$E441),"")</f>
        <v/>
      </c>
    </row>
    <row r="1324" spans="1:8" x14ac:dyDescent="0.35">
      <c r="A1324" s="5" t="str">
        <f>IFERROR(IF(Portafolio_Proyectos!$AR441="","","CAP-"&amp;ROW()-1),"")</f>
        <v/>
      </c>
      <c r="B1324" s="5" t="str">
        <f>IFERROR(IF(Portafolio_Proyectos!$AR441="","",Portafolio_Proyectos!$AR441),"")</f>
        <v/>
      </c>
      <c r="C1324" s="5" t="str">
        <f>IFERROR(IF(Portafolio_Proyectos!$AR441="","","Distintiva"),"")</f>
        <v/>
      </c>
      <c r="D1324" s="5" t="str">
        <f>IFERROR(IF(Portafolio_Proyectos!$AR441="","",Portafolio_Proyectos!$C441),"")</f>
        <v/>
      </c>
      <c r="E1324" s="5" t="str">
        <f>IFERROR(IF(Portafolio_Proyectos!$AR441="","",Portafolio_Proyectos!$B441),"")</f>
        <v/>
      </c>
      <c r="F1324" s="5" t="str">
        <f>IFERROR(IF(Portafolio_Proyectos!$AR441="","",Portafolio_Proyectos!$D441),"")</f>
        <v/>
      </c>
      <c r="G1324" s="5" t="str">
        <f>IFERROR(IF(Portafolio_Proyectos!$AR441="","",Portafolio_Proyectos!$A441),"")</f>
        <v/>
      </c>
      <c r="H1324" s="5" t="str">
        <f>IFERROR(IF(Portafolio_Proyectos!$AR441="","",Portafolio_Proyectos!$E441),"")</f>
        <v/>
      </c>
    </row>
    <row r="1325" spans="1:8" x14ac:dyDescent="0.35">
      <c r="A1325" s="5" t="str">
        <f>IFERROR(IF(Portafolio_Proyectos!$AP442="","","CAP-"&amp;ROW()-1),"")</f>
        <v/>
      </c>
      <c r="B1325" s="5" t="str">
        <f>IFERROR(IF(Portafolio_Proyectos!$AP442="","",Portafolio_Proyectos!$AP442),"")</f>
        <v/>
      </c>
      <c r="C1325" s="5" t="str">
        <f>IFERROR(IF(Portafolio_Proyectos!$AP442="","","Emergente"),"")</f>
        <v/>
      </c>
      <c r="D1325" s="5" t="str">
        <f>IFERROR(IF(Portafolio_Proyectos!$AP442="","",Portafolio_Proyectos!$C442),"")</f>
        <v/>
      </c>
      <c r="E1325" s="5" t="str">
        <f>IFERROR(IF(Portafolio_Proyectos!$AP442="","",Portafolio_Proyectos!$B442),"")</f>
        <v/>
      </c>
      <c r="F1325" s="5" t="str">
        <f>IFERROR(IF(Portafolio_Proyectos!$AP442="","",Portafolio_Proyectos!$D442),"")</f>
        <v/>
      </c>
      <c r="G1325" s="5" t="str">
        <f>IFERROR(IF(Portafolio_Proyectos!$AP442="","",Portafolio_Proyectos!$A442),"")</f>
        <v/>
      </c>
      <c r="H1325" s="5" t="str">
        <f>IFERROR(IF(Portafolio_Proyectos!$AP442="","",Portafolio_Proyectos!$E442),"")</f>
        <v/>
      </c>
    </row>
    <row r="1326" spans="1:8" x14ac:dyDescent="0.35">
      <c r="A1326" s="5" t="str">
        <f>IFERROR(IF(Portafolio_Proyectos!$AQ442="","","CAP-"&amp;ROW()-1),"")</f>
        <v/>
      </c>
      <c r="B1326" s="5" t="str">
        <f>IFERROR(IF(Portafolio_Proyectos!$AQ442="","",Portafolio_Proyectos!$AQ442),"")</f>
        <v/>
      </c>
      <c r="C1326" s="5" t="str">
        <f>IFERROR(IF(Portafolio_Proyectos!$AQ442="","","Consolidada"),"")</f>
        <v/>
      </c>
      <c r="D1326" s="5" t="str">
        <f>IFERROR(IF(Portafolio_Proyectos!$AQ442="","",Portafolio_Proyectos!$C442),"")</f>
        <v/>
      </c>
      <c r="E1326" s="5" t="str">
        <f>IFERROR(IF(Portafolio_Proyectos!$AQ442="","",Portafolio_Proyectos!$B442),"")</f>
        <v/>
      </c>
      <c r="F1326" s="5" t="str">
        <f>IFERROR(IF(Portafolio_Proyectos!$AQ442="","",Portafolio_Proyectos!$D442),"")</f>
        <v/>
      </c>
      <c r="G1326" s="5" t="str">
        <f>IFERROR(IF(Portafolio_Proyectos!$AQ442="","",Portafolio_Proyectos!$A442),"")</f>
        <v/>
      </c>
      <c r="H1326" s="5" t="str">
        <f>IFERROR(IF(Portafolio_Proyectos!$AQ442="","",Portafolio_Proyectos!$E442),"")</f>
        <v/>
      </c>
    </row>
    <row r="1327" spans="1:8" x14ac:dyDescent="0.35">
      <c r="A1327" s="5" t="str">
        <f>IFERROR(IF(Portafolio_Proyectos!$AR442="","","CAP-"&amp;ROW()-1),"")</f>
        <v/>
      </c>
      <c r="B1327" s="5" t="str">
        <f>IFERROR(IF(Portafolio_Proyectos!$AR442="","",Portafolio_Proyectos!$AR442),"")</f>
        <v/>
      </c>
      <c r="C1327" s="5" t="str">
        <f>IFERROR(IF(Portafolio_Proyectos!$AR442="","","Distintiva"),"")</f>
        <v/>
      </c>
      <c r="D1327" s="5" t="str">
        <f>IFERROR(IF(Portafolio_Proyectos!$AR442="","",Portafolio_Proyectos!$C442),"")</f>
        <v/>
      </c>
      <c r="E1327" s="5" t="str">
        <f>IFERROR(IF(Portafolio_Proyectos!$AR442="","",Portafolio_Proyectos!$B442),"")</f>
        <v/>
      </c>
      <c r="F1327" s="5" t="str">
        <f>IFERROR(IF(Portafolio_Proyectos!$AR442="","",Portafolio_Proyectos!$D442),"")</f>
        <v/>
      </c>
      <c r="G1327" s="5" t="str">
        <f>IFERROR(IF(Portafolio_Proyectos!$AR442="","",Portafolio_Proyectos!$A442),"")</f>
        <v/>
      </c>
      <c r="H1327" s="5" t="str">
        <f>IFERROR(IF(Portafolio_Proyectos!$AR442="","",Portafolio_Proyectos!$E442),"")</f>
        <v/>
      </c>
    </row>
    <row r="1328" spans="1:8" x14ac:dyDescent="0.35">
      <c r="A1328" s="5" t="str">
        <f>IFERROR(IF(Portafolio_Proyectos!$AP443="","","CAP-"&amp;ROW()-1),"")</f>
        <v/>
      </c>
      <c r="B1328" s="5" t="str">
        <f>IFERROR(IF(Portafolio_Proyectos!$AP443="","",Portafolio_Proyectos!$AP443),"")</f>
        <v/>
      </c>
      <c r="C1328" s="5" t="str">
        <f>IFERROR(IF(Portafolio_Proyectos!$AP443="","","Emergente"),"")</f>
        <v/>
      </c>
      <c r="D1328" s="5" t="str">
        <f>IFERROR(IF(Portafolio_Proyectos!$AP443="","",Portafolio_Proyectos!$C443),"")</f>
        <v/>
      </c>
      <c r="E1328" s="5" t="str">
        <f>IFERROR(IF(Portafolio_Proyectos!$AP443="","",Portafolio_Proyectos!$B443),"")</f>
        <v/>
      </c>
      <c r="F1328" s="5" t="str">
        <f>IFERROR(IF(Portafolio_Proyectos!$AP443="","",Portafolio_Proyectos!$D443),"")</f>
        <v/>
      </c>
      <c r="G1328" s="5" t="str">
        <f>IFERROR(IF(Portafolio_Proyectos!$AP443="","",Portafolio_Proyectos!$A443),"")</f>
        <v/>
      </c>
      <c r="H1328" s="5" t="str">
        <f>IFERROR(IF(Portafolio_Proyectos!$AP443="","",Portafolio_Proyectos!$E443),"")</f>
        <v/>
      </c>
    </row>
    <row r="1329" spans="1:8" x14ac:dyDescent="0.35">
      <c r="A1329" s="5" t="str">
        <f>IFERROR(IF(Portafolio_Proyectos!$AQ443="","","CAP-"&amp;ROW()-1),"")</f>
        <v/>
      </c>
      <c r="B1329" s="5" t="str">
        <f>IFERROR(IF(Portafolio_Proyectos!$AQ443="","",Portafolio_Proyectos!$AQ443),"")</f>
        <v/>
      </c>
      <c r="C1329" s="5" t="str">
        <f>IFERROR(IF(Portafolio_Proyectos!$AQ443="","","Consolidada"),"")</f>
        <v/>
      </c>
      <c r="D1329" s="5" t="str">
        <f>IFERROR(IF(Portafolio_Proyectos!$AQ443="","",Portafolio_Proyectos!$C443),"")</f>
        <v/>
      </c>
      <c r="E1329" s="5" t="str">
        <f>IFERROR(IF(Portafolio_Proyectos!$AQ443="","",Portafolio_Proyectos!$B443),"")</f>
        <v/>
      </c>
      <c r="F1329" s="5" t="str">
        <f>IFERROR(IF(Portafolio_Proyectos!$AQ443="","",Portafolio_Proyectos!$D443),"")</f>
        <v/>
      </c>
      <c r="G1329" s="5" t="str">
        <f>IFERROR(IF(Portafolio_Proyectos!$AQ443="","",Portafolio_Proyectos!$A443),"")</f>
        <v/>
      </c>
      <c r="H1329" s="5" t="str">
        <f>IFERROR(IF(Portafolio_Proyectos!$AQ443="","",Portafolio_Proyectos!$E443),"")</f>
        <v/>
      </c>
    </row>
    <row r="1330" spans="1:8" x14ac:dyDescent="0.35">
      <c r="A1330" s="5" t="str">
        <f>IFERROR(IF(Portafolio_Proyectos!$AR443="","","CAP-"&amp;ROW()-1),"")</f>
        <v/>
      </c>
      <c r="B1330" s="5" t="str">
        <f>IFERROR(IF(Portafolio_Proyectos!$AR443="","",Portafolio_Proyectos!$AR443),"")</f>
        <v/>
      </c>
      <c r="C1330" s="5" t="str">
        <f>IFERROR(IF(Portafolio_Proyectos!$AR443="","","Distintiva"),"")</f>
        <v/>
      </c>
      <c r="D1330" s="5" t="str">
        <f>IFERROR(IF(Portafolio_Proyectos!$AR443="","",Portafolio_Proyectos!$C443),"")</f>
        <v/>
      </c>
      <c r="E1330" s="5" t="str">
        <f>IFERROR(IF(Portafolio_Proyectos!$AR443="","",Portafolio_Proyectos!$B443),"")</f>
        <v/>
      </c>
      <c r="F1330" s="5" t="str">
        <f>IFERROR(IF(Portafolio_Proyectos!$AR443="","",Portafolio_Proyectos!$D443),"")</f>
        <v/>
      </c>
      <c r="G1330" s="5" t="str">
        <f>IFERROR(IF(Portafolio_Proyectos!$AR443="","",Portafolio_Proyectos!$A443),"")</f>
        <v/>
      </c>
      <c r="H1330" s="5" t="str">
        <f>IFERROR(IF(Portafolio_Proyectos!$AR443="","",Portafolio_Proyectos!$E443),"")</f>
        <v/>
      </c>
    </row>
    <row r="1331" spans="1:8" x14ac:dyDescent="0.35">
      <c r="A1331" s="5" t="str">
        <f>IFERROR(IF(Portafolio_Proyectos!$AP444="","","CAP-"&amp;ROW()-1),"")</f>
        <v/>
      </c>
      <c r="B1331" s="5" t="str">
        <f>IFERROR(IF(Portafolio_Proyectos!$AP444="","",Portafolio_Proyectos!$AP444),"")</f>
        <v/>
      </c>
      <c r="C1331" s="5" t="str">
        <f>IFERROR(IF(Portafolio_Proyectos!$AP444="","","Emergente"),"")</f>
        <v/>
      </c>
      <c r="D1331" s="5" t="str">
        <f>IFERROR(IF(Portafolio_Proyectos!$AP444="","",Portafolio_Proyectos!$C444),"")</f>
        <v/>
      </c>
      <c r="E1331" s="5" t="str">
        <f>IFERROR(IF(Portafolio_Proyectos!$AP444="","",Portafolio_Proyectos!$B444),"")</f>
        <v/>
      </c>
      <c r="F1331" s="5" t="str">
        <f>IFERROR(IF(Portafolio_Proyectos!$AP444="","",Portafolio_Proyectos!$D444),"")</f>
        <v/>
      </c>
      <c r="G1331" s="5" t="str">
        <f>IFERROR(IF(Portafolio_Proyectos!$AP444="","",Portafolio_Proyectos!$A444),"")</f>
        <v/>
      </c>
      <c r="H1331" s="5" t="str">
        <f>IFERROR(IF(Portafolio_Proyectos!$AP444="","",Portafolio_Proyectos!$E444),"")</f>
        <v/>
      </c>
    </row>
    <row r="1332" spans="1:8" x14ac:dyDescent="0.35">
      <c r="A1332" s="5" t="str">
        <f>IFERROR(IF(Portafolio_Proyectos!$AQ444="","","CAP-"&amp;ROW()-1),"")</f>
        <v/>
      </c>
      <c r="B1332" s="5" t="str">
        <f>IFERROR(IF(Portafolio_Proyectos!$AQ444="","",Portafolio_Proyectos!$AQ444),"")</f>
        <v/>
      </c>
      <c r="C1332" s="5" t="str">
        <f>IFERROR(IF(Portafolio_Proyectos!$AQ444="","","Consolidada"),"")</f>
        <v/>
      </c>
      <c r="D1332" s="5" t="str">
        <f>IFERROR(IF(Portafolio_Proyectos!$AQ444="","",Portafolio_Proyectos!$C444),"")</f>
        <v/>
      </c>
      <c r="E1332" s="5" t="str">
        <f>IFERROR(IF(Portafolio_Proyectos!$AQ444="","",Portafolio_Proyectos!$B444),"")</f>
        <v/>
      </c>
      <c r="F1332" s="5" t="str">
        <f>IFERROR(IF(Portafolio_Proyectos!$AQ444="","",Portafolio_Proyectos!$D444),"")</f>
        <v/>
      </c>
      <c r="G1332" s="5" t="str">
        <f>IFERROR(IF(Portafolio_Proyectos!$AQ444="","",Portafolio_Proyectos!$A444),"")</f>
        <v/>
      </c>
      <c r="H1332" s="5" t="str">
        <f>IFERROR(IF(Portafolio_Proyectos!$AQ444="","",Portafolio_Proyectos!$E444),"")</f>
        <v/>
      </c>
    </row>
    <row r="1333" spans="1:8" x14ac:dyDescent="0.35">
      <c r="A1333" s="5" t="str">
        <f>IFERROR(IF(Portafolio_Proyectos!$AR444="","","CAP-"&amp;ROW()-1),"")</f>
        <v/>
      </c>
      <c r="B1333" s="5" t="str">
        <f>IFERROR(IF(Portafolio_Proyectos!$AR444="","",Portafolio_Proyectos!$AR444),"")</f>
        <v/>
      </c>
      <c r="C1333" s="5" t="str">
        <f>IFERROR(IF(Portafolio_Proyectos!$AR444="","","Distintiva"),"")</f>
        <v/>
      </c>
      <c r="D1333" s="5" t="str">
        <f>IFERROR(IF(Portafolio_Proyectos!$AR444="","",Portafolio_Proyectos!$C444),"")</f>
        <v/>
      </c>
      <c r="E1333" s="5" t="str">
        <f>IFERROR(IF(Portafolio_Proyectos!$AR444="","",Portafolio_Proyectos!$B444),"")</f>
        <v/>
      </c>
      <c r="F1333" s="5" t="str">
        <f>IFERROR(IF(Portafolio_Proyectos!$AR444="","",Portafolio_Proyectos!$D444),"")</f>
        <v/>
      </c>
      <c r="G1333" s="5" t="str">
        <f>IFERROR(IF(Portafolio_Proyectos!$AR444="","",Portafolio_Proyectos!$A444),"")</f>
        <v/>
      </c>
      <c r="H1333" s="5" t="str">
        <f>IFERROR(IF(Portafolio_Proyectos!$AR444="","",Portafolio_Proyectos!$E444),"")</f>
        <v/>
      </c>
    </row>
    <row r="1334" spans="1:8" x14ac:dyDescent="0.35">
      <c r="A1334" s="5" t="str">
        <f>IFERROR(IF(Portafolio_Proyectos!$AP445="","","CAP-"&amp;ROW()-1),"")</f>
        <v/>
      </c>
      <c r="B1334" s="5" t="str">
        <f>IFERROR(IF(Portafolio_Proyectos!$AP445="","",Portafolio_Proyectos!$AP445),"")</f>
        <v/>
      </c>
      <c r="C1334" s="5" t="str">
        <f>IFERROR(IF(Portafolio_Proyectos!$AP445="","","Emergente"),"")</f>
        <v/>
      </c>
      <c r="D1334" s="5" t="str">
        <f>IFERROR(IF(Portafolio_Proyectos!$AP445="","",Portafolio_Proyectos!$C445),"")</f>
        <v/>
      </c>
      <c r="E1334" s="5" t="str">
        <f>IFERROR(IF(Portafolio_Proyectos!$AP445="","",Portafolio_Proyectos!$B445),"")</f>
        <v/>
      </c>
      <c r="F1334" s="5" t="str">
        <f>IFERROR(IF(Portafolio_Proyectos!$AP445="","",Portafolio_Proyectos!$D445),"")</f>
        <v/>
      </c>
      <c r="G1334" s="5" t="str">
        <f>IFERROR(IF(Portafolio_Proyectos!$AP445="","",Portafolio_Proyectos!$A445),"")</f>
        <v/>
      </c>
      <c r="H1334" s="5" t="str">
        <f>IFERROR(IF(Portafolio_Proyectos!$AP445="","",Portafolio_Proyectos!$E445),"")</f>
        <v/>
      </c>
    </row>
    <row r="1335" spans="1:8" x14ac:dyDescent="0.35">
      <c r="A1335" s="5" t="str">
        <f>IFERROR(IF(Portafolio_Proyectos!$AQ445="","","CAP-"&amp;ROW()-1),"")</f>
        <v/>
      </c>
      <c r="B1335" s="5" t="str">
        <f>IFERROR(IF(Portafolio_Proyectos!$AQ445="","",Portafolio_Proyectos!$AQ445),"")</f>
        <v/>
      </c>
      <c r="C1335" s="5" t="str">
        <f>IFERROR(IF(Portafolio_Proyectos!$AQ445="","","Consolidada"),"")</f>
        <v/>
      </c>
      <c r="D1335" s="5" t="str">
        <f>IFERROR(IF(Portafolio_Proyectos!$AQ445="","",Portafolio_Proyectos!$C445),"")</f>
        <v/>
      </c>
      <c r="E1335" s="5" t="str">
        <f>IFERROR(IF(Portafolio_Proyectos!$AQ445="","",Portafolio_Proyectos!$B445),"")</f>
        <v/>
      </c>
      <c r="F1335" s="5" t="str">
        <f>IFERROR(IF(Portafolio_Proyectos!$AQ445="","",Portafolio_Proyectos!$D445),"")</f>
        <v/>
      </c>
      <c r="G1335" s="5" t="str">
        <f>IFERROR(IF(Portafolio_Proyectos!$AQ445="","",Portafolio_Proyectos!$A445),"")</f>
        <v/>
      </c>
      <c r="H1335" s="5" t="str">
        <f>IFERROR(IF(Portafolio_Proyectos!$AQ445="","",Portafolio_Proyectos!$E445),"")</f>
        <v/>
      </c>
    </row>
    <row r="1336" spans="1:8" x14ac:dyDescent="0.35">
      <c r="A1336" s="5" t="str">
        <f>IFERROR(IF(Portafolio_Proyectos!$AR445="","","CAP-"&amp;ROW()-1),"")</f>
        <v/>
      </c>
      <c r="B1336" s="5" t="str">
        <f>IFERROR(IF(Portafolio_Proyectos!$AR445="","",Portafolio_Proyectos!$AR445),"")</f>
        <v/>
      </c>
      <c r="C1336" s="5" t="str">
        <f>IFERROR(IF(Portafolio_Proyectos!$AR445="","","Distintiva"),"")</f>
        <v/>
      </c>
      <c r="D1336" s="5" t="str">
        <f>IFERROR(IF(Portafolio_Proyectos!$AR445="","",Portafolio_Proyectos!$C445),"")</f>
        <v/>
      </c>
      <c r="E1336" s="5" t="str">
        <f>IFERROR(IF(Portafolio_Proyectos!$AR445="","",Portafolio_Proyectos!$B445),"")</f>
        <v/>
      </c>
      <c r="F1336" s="5" t="str">
        <f>IFERROR(IF(Portafolio_Proyectos!$AR445="","",Portafolio_Proyectos!$D445),"")</f>
        <v/>
      </c>
      <c r="G1336" s="5" t="str">
        <f>IFERROR(IF(Portafolio_Proyectos!$AR445="","",Portafolio_Proyectos!$A445),"")</f>
        <v/>
      </c>
      <c r="H1336" s="5" t="str">
        <f>IFERROR(IF(Portafolio_Proyectos!$AR445="","",Portafolio_Proyectos!$E445),"")</f>
        <v/>
      </c>
    </row>
    <row r="1337" spans="1:8" x14ac:dyDescent="0.35">
      <c r="A1337" s="5" t="str">
        <f>IFERROR(IF(Portafolio_Proyectos!$AP446="","","CAP-"&amp;ROW()-1),"")</f>
        <v/>
      </c>
      <c r="B1337" s="5" t="str">
        <f>IFERROR(IF(Portafolio_Proyectos!$AP446="","",Portafolio_Proyectos!$AP446),"")</f>
        <v/>
      </c>
      <c r="C1337" s="5" t="str">
        <f>IFERROR(IF(Portafolio_Proyectos!$AP446="","","Emergente"),"")</f>
        <v/>
      </c>
      <c r="D1337" s="5" t="str">
        <f>IFERROR(IF(Portafolio_Proyectos!$AP446="","",Portafolio_Proyectos!$C446),"")</f>
        <v/>
      </c>
      <c r="E1337" s="5" t="str">
        <f>IFERROR(IF(Portafolio_Proyectos!$AP446="","",Portafolio_Proyectos!$B446),"")</f>
        <v/>
      </c>
      <c r="F1337" s="5" t="str">
        <f>IFERROR(IF(Portafolio_Proyectos!$AP446="","",Portafolio_Proyectos!$D446),"")</f>
        <v/>
      </c>
      <c r="G1337" s="5" t="str">
        <f>IFERROR(IF(Portafolio_Proyectos!$AP446="","",Portafolio_Proyectos!$A446),"")</f>
        <v/>
      </c>
      <c r="H1337" s="5" t="str">
        <f>IFERROR(IF(Portafolio_Proyectos!$AP446="","",Portafolio_Proyectos!$E446),"")</f>
        <v/>
      </c>
    </row>
    <row r="1338" spans="1:8" x14ac:dyDescent="0.35">
      <c r="A1338" s="5" t="str">
        <f>IFERROR(IF(Portafolio_Proyectos!$AQ446="","","CAP-"&amp;ROW()-1),"")</f>
        <v/>
      </c>
      <c r="B1338" s="5" t="str">
        <f>IFERROR(IF(Portafolio_Proyectos!$AQ446="","",Portafolio_Proyectos!$AQ446),"")</f>
        <v/>
      </c>
      <c r="C1338" s="5" t="str">
        <f>IFERROR(IF(Portafolio_Proyectos!$AQ446="","","Consolidada"),"")</f>
        <v/>
      </c>
      <c r="D1338" s="5" t="str">
        <f>IFERROR(IF(Portafolio_Proyectos!$AQ446="","",Portafolio_Proyectos!$C446),"")</f>
        <v/>
      </c>
      <c r="E1338" s="5" t="str">
        <f>IFERROR(IF(Portafolio_Proyectos!$AQ446="","",Portafolio_Proyectos!$B446),"")</f>
        <v/>
      </c>
      <c r="F1338" s="5" t="str">
        <f>IFERROR(IF(Portafolio_Proyectos!$AQ446="","",Portafolio_Proyectos!$D446),"")</f>
        <v/>
      </c>
      <c r="G1338" s="5" t="str">
        <f>IFERROR(IF(Portafolio_Proyectos!$AQ446="","",Portafolio_Proyectos!$A446),"")</f>
        <v/>
      </c>
      <c r="H1338" s="5" t="str">
        <f>IFERROR(IF(Portafolio_Proyectos!$AQ446="","",Portafolio_Proyectos!$E446),"")</f>
        <v/>
      </c>
    </row>
    <row r="1339" spans="1:8" x14ac:dyDescent="0.35">
      <c r="A1339" s="5" t="str">
        <f>IFERROR(IF(Portafolio_Proyectos!$AR446="","","CAP-"&amp;ROW()-1),"")</f>
        <v/>
      </c>
      <c r="B1339" s="5" t="str">
        <f>IFERROR(IF(Portafolio_Proyectos!$AR446="","",Portafolio_Proyectos!$AR446),"")</f>
        <v/>
      </c>
      <c r="C1339" s="5" t="str">
        <f>IFERROR(IF(Portafolio_Proyectos!$AR446="","","Distintiva"),"")</f>
        <v/>
      </c>
      <c r="D1339" s="5" t="str">
        <f>IFERROR(IF(Portafolio_Proyectos!$AR446="","",Portafolio_Proyectos!$C446),"")</f>
        <v/>
      </c>
      <c r="E1339" s="5" t="str">
        <f>IFERROR(IF(Portafolio_Proyectos!$AR446="","",Portafolio_Proyectos!$B446),"")</f>
        <v/>
      </c>
      <c r="F1339" s="5" t="str">
        <f>IFERROR(IF(Portafolio_Proyectos!$AR446="","",Portafolio_Proyectos!$D446),"")</f>
        <v/>
      </c>
      <c r="G1339" s="5" t="str">
        <f>IFERROR(IF(Portafolio_Proyectos!$AR446="","",Portafolio_Proyectos!$A446),"")</f>
        <v/>
      </c>
      <c r="H1339" s="5" t="str">
        <f>IFERROR(IF(Portafolio_Proyectos!$AR446="","",Portafolio_Proyectos!$E446),"")</f>
        <v/>
      </c>
    </row>
    <row r="1340" spans="1:8" x14ac:dyDescent="0.35">
      <c r="A1340" s="5" t="str">
        <f>IFERROR(IF(Portafolio_Proyectos!$AP447="","","CAP-"&amp;ROW()-1),"")</f>
        <v/>
      </c>
      <c r="B1340" s="5" t="str">
        <f>IFERROR(IF(Portafolio_Proyectos!$AP447="","",Portafolio_Proyectos!$AP447),"")</f>
        <v/>
      </c>
      <c r="C1340" s="5" t="str">
        <f>IFERROR(IF(Portafolio_Proyectos!$AP447="","","Emergente"),"")</f>
        <v/>
      </c>
      <c r="D1340" s="5" t="str">
        <f>IFERROR(IF(Portafolio_Proyectos!$AP447="","",Portafolio_Proyectos!$C447),"")</f>
        <v/>
      </c>
      <c r="E1340" s="5" t="str">
        <f>IFERROR(IF(Portafolio_Proyectos!$AP447="","",Portafolio_Proyectos!$B447),"")</f>
        <v/>
      </c>
      <c r="F1340" s="5" t="str">
        <f>IFERROR(IF(Portafolio_Proyectos!$AP447="","",Portafolio_Proyectos!$D447),"")</f>
        <v/>
      </c>
      <c r="G1340" s="5" t="str">
        <f>IFERROR(IF(Portafolio_Proyectos!$AP447="","",Portafolio_Proyectos!$A447),"")</f>
        <v/>
      </c>
      <c r="H1340" s="5" t="str">
        <f>IFERROR(IF(Portafolio_Proyectos!$AP447="","",Portafolio_Proyectos!$E447),"")</f>
        <v/>
      </c>
    </row>
    <row r="1341" spans="1:8" x14ac:dyDescent="0.35">
      <c r="A1341" s="5" t="str">
        <f>IFERROR(IF(Portafolio_Proyectos!$AQ447="","","CAP-"&amp;ROW()-1),"")</f>
        <v/>
      </c>
      <c r="B1341" s="5" t="str">
        <f>IFERROR(IF(Portafolio_Proyectos!$AQ447="","",Portafolio_Proyectos!$AQ447),"")</f>
        <v/>
      </c>
      <c r="C1341" s="5" t="str">
        <f>IFERROR(IF(Portafolio_Proyectos!$AQ447="","","Consolidada"),"")</f>
        <v/>
      </c>
      <c r="D1341" s="5" t="str">
        <f>IFERROR(IF(Portafolio_Proyectos!$AQ447="","",Portafolio_Proyectos!$C447),"")</f>
        <v/>
      </c>
      <c r="E1341" s="5" t="str">
        <f>IFERROR(IF(Portafolio_Proyectos!$AQ447="","",Portafolio_Proyectos!$B447),"")</f>
        <v/>
      </c>
      <c r="F1341" s="5" t="str">
        <f>IFERROR(IF(Portafolio_Proyectos!$AQ447="","",Portafolio_Proyectos!$D447),"")</f>
        <v/>
      </c>
      <c r="G1341" s="5" t="str">
        <f>IFERROR(IF(Portafolio_Proyectos!$AQ447="","",Portafolio_Proyectos!$A447),"")</f>
        <v/>
      </c>
      <c r="H1341" s="5" t="str">
        <f>IFERROR(IF(Portafolio_Proyectos!$AQ447="","",Portafolio_Proyectos!$E447),"")</f>
        <v/>
      </c>
    </row>
    <row r="1342" spans="1:8" x14ac:dyDescent="0.35">
      <c r="A1342" s="5" t="str">
        <f>IFERROR(IF(Portafolio_Proyectos!$AR447="","","CAP-"&amp;ROW()-1),"")</f>
        <v/>
      </c>
      <c r="B1342" s="5" t="str">
        <f>IFERROR(IF(Portafolio_Proyectos!$AR447="","",Portafolio_Proyectos!$AR447),"")</f>
        <v/>
      </c>
      <c r="C1342" s="5" t="str">
        <f>IFERROR(IF(Portafolio_Proyectos!$AR447="","","Distintiva"),"")</f>
        <v/>
      </c>
      <c r="D1342" s="5" t="str">
        <f>IFERROR(IF(Portafolio_Proyectos!$AR447="","",Portafolio_Proyectos!$C447),"")</f>
        <v/>
      </c>
      <c r="E1342" s="5" t="str">
        <f>IFERROR(IF(Portafolio_Proyectos!$AR447="","",Portafolio_Proyectos!$B447),"")</f>
        <v/>
      </c>
      <c r="F1342" s="5" t="str">
        <f>IFERROR(IF(Portafolio_Proyectos!$AR447="","",Portafolio_Proyectos!$D447),"")</f>
        <v/>
      </c>
      <c r="G1342" s="5" t="str">
        <f>IFERROR(IF(Portafolio_Proyectos!$AR447="","",Portafolio_Proyectos!$A447),"")</f>
        <v/>
      </c>
      <c r="H1342" s="5" t="str">
        <f>IFERROR(IF(Portafolio_Proyectos!$AR447="","",Portafolio_Proyectos!$E447),"")</f>
        <v/>
      </c>
    </row>
    <row r="1343" spans="1:8" x14ac:dyDescent="0.35">
      <c r="A1343" s="5" t="str">
        <f>IFERROR(IF(Portafolio_Proyectos!$AP448="","","CAP-"&amp;ROW()-1),"")</f>
        <v/>
      </c>
      <c r="B1343" s="5" t="str">
        <f>IFERROR(IF(Portafolio_Proyectos!$AP448="","",Portafolio_Proyectos!$AP448),"")</f>
        <v/>
      </c>
      <c r="C1343" s="5" t="str">
        <f>IFERROR(IF(Portafolio_Proyectos!$AP448="","","Emergente"),"")</f>
        <v/>
      </c>
      <c r="D1343" s="5" t="str">
        <f>IFERROR(IF(Portafolio_Proyectos!$AP448="","",Portafolio_Proyectos!$C448),"")</f>
        <v/>
      </c>
      <c r="E1343" s="5" t="str">
        <f>IFERROR(IF(Portafolio_Proyectos!$AP448="","",Portafolio_Proyectos!$B448),"")</f>
        <v/>
      </c>
      <c r="F1343" s="5" t="str">
        <f>IFERROR(IF(Portafolio_Proyectos!$AP448="","",Portafolio_Proyectos!$D448),"")</f>
        <v/>
      </c>
      <c r="G1343" s="5" t="str">
        <f>IFERROR(IF(Portafolio_Proyectos!$AP448="","",Portafolio_Proyectos!$A448),"")</f>
        <v/>
      </c>
      <c r="H1343" s="5" t="str">
        <f>IFERROR(IF(Portafolio_Proyectos!$AP448="","",Portafolio_Proyectos!$E448),"")</f>
        <v/>
      </c>
    </row>
    <row r="1344" spans="1:8" x14ac:dyDescent="0.35">
      <c r="A1344" s="5" t="str">
        <f>IFERROR(IF(Portafolio_Proyectos!$AQ448="","","CAP-"&amp;ROW()-1),"")</f>
        <v/>
      </c>
      <c r="B1344" s="5" t="str">
        <f>IFERROR(IF(Portafolio_Proyectos!$AQ448="","",Portafolio_Proyectos!$AQ448),"")</f>
        <v/>
      </c>
      <c r="C1344" s="5" t="str">
        <f>IFERROR(IF(Portafolio_Proyectos!$AQ448="","","Consolidada"),"")</f>
        <v/>
      </c>
      <c r="D1344" s="5" t="str">
        <f>IFERROR(IF(Portafolio_Proyectos!$AQ448="","",Portafolio_Proyectos!$C448),"")</f>
        <v/>
      </c>
      <c r="E1344" s="5" t="str">
        <f>IFERROR(IF(Portafolio_Proyectos!$AQ448="","",Portafolio_Proyectos!$B448),"")</f>
        <v/>
      </c>
      <c r="F1344" s="5" t="str">
        <f>IFERROR(IF(Portafolio_Proyectos!$AQ448="","",Portafolio_Proyectos!$D448),"")</f>
        <v/>
      </c>
      <c r="G1344" s="5" t="str">
        <f>IFERROR(IF(Portafolio_Proyectos!$AQ448="","",Portafolio_Proyectos!$A448),"")</f>
        <v/>
      </c>
      <c r="H1344" s="5" t="str">
        <f>IFERROR(IF(Portafolio_Proyectos!$AQ448="","",Portafolio_Proyectos!$E448),"")</f>
        <v/>
      </c>
    </row>
    <row r="1345" spans="1:8" x14ac:dyDescent="0.35">
      <c r="A1345" s="5" t="str">
        <f>IFERROR(IF(Portafolio_Proyectos!$AR448="","","CAP-"&amp;ROW()-1),"")</f>
        <v/>
      </c>
      <c r="B1345" s="5" t="str">
        <f>IFERROR(IF(Portafolio_Proyectos!$AR448="","",Portafolio_Proyectos!$AR448),"")</f>
        <v/>
      </c>
      <c r="C1345" s="5" t="str">
        <f>IFERROR(IF(Portafolio_Proyectos!$AR448="","","Distintiva"),"")</f>
        <v/>
      </c>
      <c r="D1345" s="5" t="str">
        <f>IFERROR(IF(Portafolio_Proyectos!$AR448="","",Portafolio_Proyectos!$C448),"")</f>
        <v/>
      </c>
      <c r="E1345" s="5" t="str">
        <f>IFERROR(IF(Portafolio_Proyectos!$AR448="","",Portafolio_Proyectos!$B448),"")</f>
        <v/>
      </c>
      <c r="F1345" s="5" t="str">
        <f>IFERROR(IF(Portafolio_Proyectos!$AR448="","",Portafolio_Proyectos!$D448),"")</f>
        <v/>
      </c>
      <c r="G1345" s="5" t="str">
        <f>IFERROR(IF(Portafolio_Proyectos!$AR448="","",Portafolio_Proyectos!$A448),"")</f>
        <v/>
      </c>
      <c r="H1345" s="5" t="str">
        <f>IFERROR(IF(Portafolio_Proyectos!$AR448="","",Portafolio_Proyectos!$E448),"")</f>
        <v/>
      </c>
    </row>
    <row r="1346" spans="1:8" x14ac:dyDescent="0.35">
      <c r="A1346" s="5" t="str">
        <f>IFERROR(IF(Portafolio_Proyectos!$AP449="","","CAP-"&amp;ROW()-1),"")</f>
        <v/>
      </c>
      <c r="B1346" s="5" t="str">
        <f>IFERROR(IF(Portafolio_Proyectos!$AP449="","",Portafolio_Proyectos!$AP449),"")</f>
        <v/>
      </c>
      <c r="C1346" s="5" t="str">
        <f>IFERROR(IF(Portafolio_Proyectos!$AP449="","","Emergente"),"")</f>
        <v/>
      </c>
      <c r="D1346" s="5" t="str">
        <f>IFERROR(IF(Portafolio_Proyectos!$AP449="","",Portafolio_Proyectos!$C449),"")</f>
        <v/>
      </c>
      <c r="E1346" s="5" t="str">
        <f>IFERROR(IF(Portafolio_Proyectos!$AP449="","",Portafolio_Proyectos!$B449),"")</f>
        <v/>
      </c>
      <c r="F1346" s="5" t="str">
        <f>IFERROR(IF(Portafolio_Proyectos!$AP449="","",Portafolio_Proyectos!$D449),"")</f>
        <v/>
      </c>
      <c r="G1346" s="5" t="str">
        <f>IFERROR(IF(Portafolio_Proyectos!$AP449="","",Portafolio_Proyectos!$A449),"")</f>
        <v/>
      </c>
      <c r="H1346" s="5" t="str">
        <f>IFERROR(IF(Portafolio_Proyectos!$AP449="","",Portafolio_Proyectos!$E449),"")</f>
        <v/>
      </c>
    </row>
    <row r="1347" spans="1:8" x14ac:dyDescent="0.35">
      <c r="A1347" s="5" t="str">
        <f>IFERROR(IF(Portafolio_Proyectos!$AQ449="","","CAP-"&amp;ROW()-1),"")</f>
        <v/>
      </c>
      <c r="B1347" s="5" t="str">
        <f>IFERROR(IF(Portafolio_Proyectos!$AQ449="","",Portafolio_Proyectos!$AQ449),"")</f>
        <v/>
      </c>
      <c r="C1347" s="5" t="str">
        <f>IFERROR(IF(Portafolio_Proyectos!$AQ449="","","Consolidada"),"")</f>
        <v/>
      </c>
      <c r="D1347" s="5" t="str">
        <f>IFERROR(IF(Portafolio_Proyectos!$AQ449="","",Portafolio_Proyectos!$C449),"")</f>
        <v/>
      </c>
      <c r="E1347" s="5" t="str">
        <f>IFERROR(IF(Portafolio_Proyectos!$AQ449="","",Portafolio_Proyectos!$B449),"")</f>
        <v/>
      </c>
      <c r="F1347" s="5" t="str">
        <f>IFERROR(IF(Portafolio_Proyectos!$AQ449="","",Portafolio_Proyectos!$D449),"")</f>
        <v/>
      </c>
      <c r="G1347" s="5" t="str">
        <f>IFERROR(IF(Portafolio_Proyectos!$AQ449="","",Portafolio_Proyectos!$A449),"")</f>
        <v/>
      </c>
      <c r="H1347" s="5" t="str">
        <f>IFERROR(IF(Portafolio_Proyectos!$AQ449="","",Portafolio_Proyectos!$E449),"")</f>
        <v/>
      </c>
    </row>
    <row r="1348" spans="1:8" x14ac:dyDescent="0.35">
      <c r="A1348" s="5" t="str">
        <f>IFERROR(IF(Portafolio_Proyectos!$AR449="","","CAP-"&amp;ROW()-1),"")</f>
        <v/>
      </c>
      <c r="B1348" s="5" t="str">
        <f>IFERROR(IF(Portafolio_Proyectos!$AR449="","",Portafolio_Proyectos!$AR449),"")</f>
        <v/>
      </c>
      <c r="C1348" s="5" t="str">
        <f>IFERROR(IF(Portafolio_Proyectos!$AR449="","","Distintiva"),"")</f>
        <v/>
      </c>
      <c r="D1348" s="5" t="str">
        <f>IFERROR(IF(Portafolio_Proyectos!$AR449="","",Portafolio_Proyectos!$C449),"")</f>
        <v/>
      </c>
      <c r="E1348" s="5" t="str">
        <f>IFERROR(IF(Portafolio_Proyectos!$AR449="","",Portafolio_Proyectos!$B449),"")</f>
        <v/>
      </c>
      <c r="F1348" s="5" t="str">
        <f>IFERROR(IF(Portafolio_Proyectos!$AR449="","",Portafolio_Proyectos!$D449),"")</f>
        <v/>
      </c>
      <c r="G1348" s="5" t="str">
        <f>IFERROR(IF(Portafolio_Proyectos!$AR449="","",Portafolio_Proyectos!$A449),"")</f>
        <v/>
      </c>
      <c r="H1348" s="5" t="str">
        <f>IFERROR(IF(Portafolio_Proyectos!$AR449="","",Portafolio_Proyectos!$E449),"")</f>
        <v/>
      </c>
    </row>
    <row r="1349" spans="1:8" x14ac:dyDescent="0.35">
      <c r="A1349" s="5" t="str">
        <f>IFERROR(IF(Portafolio_Proyectos!$AP450="","","CAP-"&amp;ROW()-1),"")</f>
        <v/>
      </c>
      <c r="B1349" s="5" t="str">
        <f>IFERROR(IF(Portafolio_Proyectos!$AP450="","",Portafolio_Proyectos!$AP450),"")</f>
        <v/>
      </c>
      <c r="C1349" s="5" t="str">
        <f>IFERROR(IF(Portafolio_Proyectos!$AP450="","","Emergente"),"")</f>
        <v/>
      </c>
      <c r="D1349" s="5" t="str">
        <f>IFERROR(IF(Portafolio_Proyectos!$AP450="","",Portafolio_Proyectos!$C450),"")</f>
        <v/>
      </c>
      <c r="E1349" s="5" t="str">
        <f>IFERROR(IF(Portafolio_Proyectos!$AP450="","",Portafolio_Proyectos!$B450),"")</f>
        <v/>
      </c>
      <c r="F1349" s="5" t="str">
        <f>IFERROR(IF(Portafolio_Proyectos!$AP450="","",Portafolio_Proyectos!$D450),"")</f>
        <v/>
      </c>
      <c r="G1349" s="5" t="str">
        <f>IFERROR(IF(Portafolio_Proyectos!$AP450="","",Portafolio_Proyectos!$A450),"")</f>
        <v/>
      </c>
      <c r="H1349" s="5" t="str">
        <f>IFERROR(IF(Portafolio_Proyectos!$AP450="","",Portafolio_Proyectos!$E450),"")</f>
        <v/>
      </c>
    </row>
    <row r="1350" spans="1:8" x14ac:dyDescent="0.35">
      <c r="A1350" s="5" t="str">
        <f>IFERROR(IF(Portafolio_Proyectos!$AQ450="","","CAP-"&amp;ROW()-1),"")</f>
        <v/>
      </c>
      <c r="B1350" s="5" t="str">
        <f>IFERROR(IF(Portafolio_Proyectos!$AQ450="","",Portafolio_Proyectos!$AQ450),"")</f>
        <v/>
      </c>
      <c r="C1350" s="5" t="str">
        <f>IFERROR(IF(Portafolio_Proyectos!$AQ450="","","Consolidada"),"")</f>
        <v/>
      </c>
      <c r="D1350" s="5" t="str">
        <f>IFERROR(IF(Portafolio_Proyectos!$AQ450="","",Portafolio_Proyectos!$C450),"")</f>
        <v/>
      </c>
      <c r="E1350" s="5" t="str">
        <f>IFERROR(IF(Portafolio_Proyectos!$AQ450="","",Portafolio_Proyectos!$B450),"")</f>
        <v/>
      </c>
      <c r="F1350" s="5" t="str">
        <f>IFERROR(IF(Portafolio_Proyectos!$AQ450="","",Portafolio_Proyectos!$D450),"")</f>
        <v/>
      </c>
      <c r="G1350" s="5" t="str">
        <f>IFERROR(IF(Portafolio_Proyectos!$AQ450="","",Portafolio_Proyectos!$A450),"")</f>
        <v/>
      </c>
      <c r="H1350" s="5" t="str">
        <f>IFERROR(IF(Portafolio_Proyectos!$AQ450="","",Portafolio_Proyectos!$E450),"")</f>
        <v/>
      </c>
    </row>
    <row r="1351" spans="1:8" x14ac:dyDescent="0.35">
      <c r="A1351" s="5" t="str">
        <f>IFERROR(IF(Portafolio_Proyectos!$AR450="","","CAP-"&amp;ROW()-1),"")</f>
        <v/>
      </c>
      <c r="B1351" s="5" t="str">
        <f>IFERROR(IF(Portafolio_Proyectos!$AR450="","",Portafolio_Proyectos!$AR450),"")</f>
        <v/>
      </c>
      <c r="C1351" s="5" t="str">
        <f>IFERROR(IF(Portafolio_Proyectos!$AR450="","","Distintiva"),"")</f>
        <v/>
      </c>
      <c r="D1351" s="5" t="str">
        <f>IFERROR(IF(Portafolio_Proyectos!$AR450="","",Portafolio_Proyectos!$C450),"")</f>
        <v/>
      </c>
      <c r="E1351" s="5" t="str">
        <f>IFERROR(IF(Portafolio_Proyectos!$AR450="","",Portafolio_Proyectos!$B450),"")</f>
        <v/>
      </c>
      <c r="F1351" s="5" t="str">
        <f>IFERROR(IF(Portafolio_Proyectos!$AR450="","",Portafolio_Proyectos!$D450),"")</f>
        <v/>
      </c>
      <c r="G1351" s="5" t="str">
        <f>IFERROR(IF(Portafolio_Proyectos!$AR450="","",Portafolio_Proyectos!$A450),"")</f>
        <v/>
      </c>
      <c r="H1351" s="5" t="str">
        <f>IFERROR(IF(Portafolio_Proyectos!$AR450="","",Portafolio_Proyectos!$E450),"")</f>
        <v/>
      </c>
    </row>
    <row r="1352" spans="1:8" x14ac:dyDescent="0.35">
      <c r="A1352" s="5" t="str">
        <f>IFERROR(IF(Portafolio_Proyectos!$AP451="","","CAP-"&amp;ROW()-1),"")</f>
        <v/>
      </c>
      <c r="B1352" s="5" t="str">
        <f>IFERROR(IF(Portafolio_Proyectos!$AP451="","",Portafolio_Proyectos!$AP451),"")</f>
        <v/>
      </c>
      <c r="C1352" s="5" t="str">
        <f>IFERROR(IF(Portafolio_Proyectos!$AP451="","","Emergente"),"")</f>
        <v/>
      </c>
      <c r="D1352" s="5" t="str">
        <f>IFERROR(IF(Portafolio_Proyectos!$AP451="","",Portafolio_Proyectos!$C451),"")</f>
        <v/>
      </c>
      <c r="E1352" s="5" t="str">
        <f>IFERROR(IF(Portafolio_Proyectos!$AP451="","",Portafolio_Proyectos!$B451),"")</f>
        <v/>
      </c>
      <c r="F1352" s="5" t="str">
        <f>IFERROR(IF(Portafolio_Proyectos!$AP451="","",Portafolio_Proyectos!$D451),"")</f>
        <v/>
      </c>
      <c r="G1352" s="5" t="str">
        <f>IFERROR(IF(Portafolio_Proyectos!$AP451="","",Portafolio_Proyectos!$A451),"")</f>
        <v/>
      </c>
      <c r="H1352" s="5" t="str">
        <f>IFERROR(IF(Portafolio_Proyectos!$AP451="","",Portafolio_Proyectos!$E451),"")</f>
        <v/>
      </c>
    </row>
    <row r="1353" spans="1:8" x14ac:dyDescent="0.35">
      <c r="A1353" s="5" t="str">
        <f>IFERROR(IF(Portafolio_Proyectos!$AQ451="","","CAP-"&amp;ROW()-1),"")</f>
        <v/>
      </c>
      <c r="B1353" s="5" t="str">
        <f>IFERROR(IF(Portafolio_Proyectos!$AQ451="","",Portafolio_Proyectos!$AQ451),"")</f>
        <v/>
      </c>
      <c r="C1353" s="5" t="str">
        <f>IFERROR(IF(Portafolio_Proyectos!$AQ451="","","Consolidada"),"")</f>
        <v/>
      </c>
      <c r="D1353" s="5" t="str">
        <f>IFERROR(IF(Portafolio_Proyectos!$AQ451="","",Portafolio_Proyectos!$C451),"")</f>
        <v/>
      </c>
      <c r="E1353" s="5" t="str">
        <f>IFERROR(IF(Portafolio_Proyectos!$AQ451="","",Portafolio_Proyectos!$B451),"")</f>
        <v/>
      </c>
      <c r="F1353" s="5" t="str">
        <f>IFERROR(IF(Portafolio_Proyectos!$AQ451="","",Portafolio_Proyectos!$D451),"")</f>
        <v/>
      </c>
      <c r="G1353" s="5" t="str">
        <f>IFERROR(IF(Portafolio_Proyectos!$AQ451="","",Portafolio_Proyectos!$A451),"")</f>
        <v/>
      </c>
      <c r="H1353" s="5" t="str">
        <f>IFERROR(IF(Portafolio_Proyectos!$AQ451="","",Portafolio_Proyectos!$E451),"")</f>
        <v/>
      </c>
    </row>
    <row r="1354" spans="1:8" x14ac:dyDescent="0.35">
      <c r="A1354" s="5" t="str">
        <f>IFERROR(IF(Portafolio_Proyectos!$AR451="","","CAP-"&amp;ROW()-1),"")</f>
        <v/>
      </c>
      <c r="B1354" s="5" t="str">
        <f>IFERROR(IF(Portafolio_Proyectos!$AR451="","",Portafolio_Proyectos!$AR451),"")</f>
        <v/>
      </c>
      <c r="C1354" s="5" t="str">
        <f>IFERROR(IF(Portafolio_Proyectos!$AR451="","","Distintiva"),"")</f>
        <v/>
      </c>
      <c r="D1354" s="5" t="str">
        <f>IFERROR(IF(Portafolio_Proyectos!$AR451="","",Portafolio_Proyectos!$C451),"")</f>
        <v/>
      </c>
      <c r="E1354" s="5" t="str">
        <f>IFERROR(IF(Portafolio_Proyectos!$AR451="","",Portafolio_Proyectos!$B451),"")</f>
        <v/>
      </c>
      <c r="F1354" s="5" t="str">
        <f>IFERROR(IF(Portafolio_Proyectos!$AR451="","",Portafolio_Proyectos!$D451),"")</f>
        <v/>
      </c>
      <c r="G1354" s="5" t="str">
        <f>IFERROR(IF(Portafolio_Proyectos!$AR451="","",Portafolio_Proyectos!$A451),"")</f>
        <v/>
      </c>
      <c r="H1354" s="5" t="str">
        <f>IFERROR(IF(Portafolio_Proyectos!$AR451="","",Portafolio_Proyectos!$E451),"")</f>
        <v/>
      </c>
    </row>
    <row r="1355" spans="1:8" x14ac:dyDescent="0.35">
      <c r="A1355" s="5" t="str">
        <f>IFERROR(IF(Portafolio_Proyectos!$AP452="","","CAP-"&amp;ROW()-1),"")</f>
        <v/>
      </c>
      <c r="B1355" s="5" t="str">
        <f>IFERROR(IF(Portafolio_Proyectos!$AP452="","",Portafolio_Proyectos!$AP452),"")</f>
        <v/>
      </c>
      <c r="C1355" s="5" t="str">
        <f>IFERROR(IF(Portafolio_Proyectos!$AP452="","","Emergente"),"")</f>
        <v/>
      </c>
      <c r="D1355" s="5" t="str">
        <f>IFERROR(IF(Portafolio_Proyectos!$AP452="","",Portafolio_Proyectos!$C452),"")</f>
        <v/>
      </c>
      <c r="E1355" s="5" t="str">
        <f>IFERROR(IF(Portafolio_Proyectos!$AP452="","",Portafolio_Proyectos!$B452),"")</f>
        <v/>
      </c>
      <c r="F1355" s="5" t="str">
        <f>IFERROR(IF(Portafolio_Proyectos!$AP452="","",Portafolio_Proyectos!$D452),"")</f>
        <v/>
      </c>
      <c r="G1355" s="5" t="str">
        <f>IFERROR(IF(Portafolio_Proyectos!$AP452="","",Portafolio_Proyectos!$A452),"")</f>
        <v/>
      </c>
      <c r="H1355" s="5" t="str">
        <f>IFERROR(IF(Portafolio_Proyectos!$AP452="","",Portafolio_Proyectos!$E452),"")</f>
        <v/>
      </c>
    </row>
    <row r="1356" spans="1:8" x14ac:dyDescent="0.35">
      <c r="A1356" s="5" t="str">
        <f>IFERROR(IF(Portafolio_Proyectos!$AQ452="","","CAP-"&amp;ROW()-1),"")</f>
        <v/>
      </c>
      <c r="B1356" s="5" t="str">
        <f>IFERROR(IF(Portafolio_Proyectos!$AQ452="","",Portafolio_Proyectos!$AQ452),"")</f>
        <v/>
      </c>
      <c r="C1356" s="5" t="str">
        <f>IFERROR(IF(Portafolio_Proyectos!$AQ452="","","Consolidada"),"")</f>
        <v/>
      </c>
      <c r="D1356" s="5" t="str">
        <f>IFERROR(IF(Portafolio_Proyectos!$AQ452="","",Portafolio_Proyectos!$C452),"")</f>
        <v/>
      </c>
      <c r="E1356" s="5" t="str">
        <f>IFERROR(IF(Portafolio_Proyectos!$AQ452="","",Portafolio_Proyectos!$B452),"")</f>
        <v/>
      </c>
      <c r="F1356" s="5" t="str">
        <f>IFERROR(IF(Portafolio_Proyectos!$AQ452="","",Portafolio_Proyectos!$D452),"")</f>
        <v/>
      </c>
      <c r="G1356" s="5" t="str">
        <f>IFERROR(IF(Portafolio_Proyectos!$AQ452="","",Portafolio_Proyectos!$A452),"")</f>
        <v/>
      </c>
      <c r="H1356" s="5" t="str">
        <f>IFERROR(IF(Portafolio_Proyectos!$AQ452="","",Portafolio_Proyectos!$E452),"")</f>
        <v/>
      </c>
    </row>
    <row r="1357" spans="1:8" x14ac:dyDescent="0.35">
      <c r="A1357" s="5" t="str">
        <f>IFERROR(IF(Portafolio_Proyectos!$AR452="","","CAP-"&amp;ROW()-1),"")</f>
        <v/>
      </c>
      <c r="B1357" s="5" t="str">
        <f>IFERROR(IF(Portafolio_Proyectos!$AR452="","",Portafolio_Proyectos!$AR452),"")</f>
        <v/>
      </c>
      <c r="C1357" s="5" t="str">
        <f>IFERROR(IF(Portafolio_Proyectos!$AR452="","","Distintiva"),"")</f>
        <v/>
      </c>
      <c r="D1357" s="5" t="str">
        <f>IFERROR(IF(Portafolio_Proyectos!$AR452="","",Portafolio_Proyectos!$C452),"")</f>
        <v/>
      </c>
      <c r="E1357" s="5" t="str">
        <f>IFERROR(IF(Portafolio_Proyectos!$AR452="","",Portafolio_Proyectos!$B452),"")</f>
        <v/>
      </c>
      <c r="F1357" s="5" t="str">
        <f>IFERROR(IF(Portafolio_Proyectos!$AR452="","",Portafolio_Proyectos!$D452),"")</f>
        <v/>
      </c>
      <c r="G1357" s="5" t="str">
        <f>IFERROR(IF(Portafolio_Proyectos!$AR452="","",Portafolio_Proyectos!$A452),"")</f>
        <v/>
      </c>
      <c r="H1357" s="5" t="str">
        <f>IFERROR(IF(Portafolio_Proyectos!$AR452="","",Portafolio_Proyectos!$E452),"")</f>
        <v/>
      </c>
    </row>
    <row r="1358" spans="1:8" x14ac:dyDescent="0.35">
      <c r="A1358" s="5" t="str">
        <f>IFERROR(IF(Portafolio_Proyectos!$AP453="","","CAP-"&amp;ROW()-1),"")</f>
        <v/>
      </c>
      <c r="B1358" s="5" t="str">
        <f>IFERROR(IF(Portafolio_Proyectos!$AP453="","",Portafolio_Proyectos!$AP453),"")</f>
        <v/>
      </c>
      <c r="C1358" s="5" t="str">
        <f>IFERROR(IF(Portafolio_Proyectos!$AP453="","","Emergente"),"")</f>
        <v/>
      </c>
      <c r="D1358" s="5" t="str">
        <f>IFERROR(IF(Portafolio_Proyectos!$AP453="","",Portafolio_Proyectos!$C453),"")</f>
        <v/>
      </c>
      <c r="E1358" s="5" t="str">
        <f>IFERROR(IF(Portafolio_Proyectos!$AP453="","",Portafolio_Proyectos!$B453),"")</f>
        <v/>
      </c>
      <c r="F1358" s="5" t="str">
        <f>IFERROR(IF(Portafolio_Proyectos!$AP453="","",Portafolio_Proyectos!$D453),"")</f>
        <v/>
      </c>
      <c r="G1358" s="5" t="str">
        <f>IFERROR(IF(Portafolio_Proyectos!$AP453="","",Portafolio_Proyectos!$A453),"")</f>
        <v/>
      </c>
      <c r="H1358" s="5" t="str">
        <f>IFERROR(IF(Portafolio_Proyectos!$AP453="","",Portafolio_Proyectos!$E453),"")</f>
        <v/>
      </c>
    </row>
    <row r="1359" spans="1:8" x14ac:dyDescent="0.35">
      <c r="A1359" s="5" t="str">
        <f>IFERROR(IF(Portafolio_Proyectos!$AQ453="","","CAP-"&amp;ROW()-1),"")</f>
        <v/>
      </c>
      <c r="B1359" s="5" t="str">
        <f>IFERROR(IF(Portafolio_Proyectos!$AQ453="","",Portafolio_Proyectos!$AQ453),"")</f>
        <v/>
      </c>
      <c r="C1359" s="5" t="str">
        <f>IFERROR(IF(Portafolio_Proyectos!$AQ453="","","Consolidada"),"")</f>
        <v/>
      </c>
      <c r="D1359" s="5" t="str">
        <f>IFERROR(IF(Portafolio_Proyectos!$AQ453="","",Portafolio_Proyectos!$C453),"")</f>
        <v/>
      </c>
      <c r="E1359" s="5" t="str">
        <f>IFERROR(IF(Portafolio_Proyectos!$AQ453="","",Portafolio_Proyectos!$B453),"")</f>
        <v/>
      </c>
      <c r="F1359" s="5" t="str">
        <f>IFERROR(IF(Portafolio_Proyectos!$AQ453="","",Portafolio_Proyectos!$D453),"")</f>
        <v/>
      </c>
      <c r="G1359" s="5" t="str">
        <f>IFERROR(IF(Portafolio_Proyectos!$AQ453="","",Portafolio_Proyectos!$A453),"")</f>
        <v/>
      </c>
      <c r="H1359" s="5" t="str">
        <f>IFERROR(IF(Portafolio_Proyectos!$AQ453="","",Portafolio_Proyectos!$E453),"")</f>
        <v/>
      </c>
    </row>
    <row r="1360" spans="1:8" x14ac:dyDescent="0.35">
      <c r="A1360" s="5" t="str">
        <f>IFERROR(IF(Portafolio_Proyectos!$AR453="","","CAP-"&amp;ROW()-1),"")</f>
        <v/>
      </c>
      <c r="B1360" s="5" t="str">
        <f>IFERROR(IF(Portafolio_Proyectos!$AR453="","",Portafolio_Proyectos!$AR453),"")</f>
        <v/>
      </c>
      <c r="C1360" s="5" t="str">
        <f>IFERROR(IF(Portafolio_Proyectos!$AR453="","","Distintiva"),"")</f>
        <v/>
      </c>
      <c r="D1360" s="5" t="str">
        <f>IFERROR(IF(Portafolio_Proyectos!$AR453="","",Portafolio_Proyectos!$C453),"")</f>
        <v/>
      </c>
      <c r="E1360" s="5" t="str">
        <f>IFERROR(IF(Portafolio_Proyectos!$AR453="","",Portafolio_Proyectos!$B453),"")</f>
        <v/>
      </c>
      <c r="F1360" s="5" t="str">
        <f>IFERROR(IF(Portafolio_Proyectos!$AR453="","",Portafolio_Proyectos!$D453),"")</f>
        <v/>
      </c>
      <c r="G1360" s="5" t="str">
        <f>IFERROR(IF(Portafolio_Proyectos!$AR453="","",Portafolio_Proyectos!$A453),"")</f>
        <v/>
      </c>
      <c r="H1360" s="5" t="str">
        <f>IFERROR(IF(Portafolio_Proyectos!$AR453="","",Portafolio_Proyectos!$E453),"")</f>
        <v/>
      </c>
    </row>
    <row r="1361" spans="1:8" x14ac:dyDescent="0.35">
      <c r="A1361" s="5" t="str">
        <f>IFERROR(IF(Portafolio_Proyectos!$AP454="","","CAP-"&amp;ROW()-1),"")</f>
        <v/>
      </c>
      <c r="B1361" s="5" t="str">
        <f>IFERROR(IF(Portafolio_Proyectos!$AP454="","",Portafolio_Proyectos!$AP454),"")</f>
        <v/>
      </c>
      <c r="C1361" s="5" t="str">
        <f>IFERROR(IF(Portafolio_Proyectos!$AP454="","","Emergente"),"")</f>
        <v/>
      </c>
      <c r="D1361" s="5" t="str">
        <f>IFERROR(IF(Portafolio_Proyectos!$AP454="","",Portafolio_Proyectos!$C454),"")</f>
        <v/>
      </c>
      <c r="E1361" s="5" t="str">
        <f>IFERROR(IF(Portafolio_Proyectos!$AP454="","",Portafolio_Proyectos!$B454),"")</f>
        <v/>
      </c>
      <c r="F1361" s="5" t="str">
        <f>IFERROR(IF(Portafolio_Proyectos!$AP454="","",Portafolio_Proyectos!$D454),"")</f>
        <v/>
      </c>
      <c r="G1361" s="5" t="str">
        <f>IFERROR(IF(Portafolio_Proyectos!$AP454="","",Portafolio_Proyectos!$A454),"")</f>
        <v/>
      </c>
      <c r="H1361" s="5" t="str">
        <f>IFERROR(IF(Portafolio_Proyectos!$AP454="","",Portafolio_Proyectos!$E454),"")</f>
        <v/>
      </c>
    </row>
    <row r="1362" spans="1:8" x14ac:dyDescent="0.35">
      <c r="A1362" s="5" t="str">
        <f>IFERROR(IF(Portafolio_Proyectos!$AQ454="","","CAP-"&amp;ROW()-1),"")</f>
        <v/>
      </c>
      <c r="B1362" s="5" t="str">
        <f>IFERROR(IF(Portafolio_Proyectos!$AQ454="","",Portafolio_Proyectos!$AQ454),"")</f>
        <v/>
      </c>
      <c r="C1362" s="5" t="str">
        <f>IFERROR(IF(Portafolio_Proyectos!$AQ454="","","Consolidada"),"")</f>
        <v/>
      </c>
      <c r="D1362" s="5" t="str">
        <f>IFERROR(IF(Portafolio_Proyectos!$AQ454="","",Portafolio_Proyectos!$C454),"")</f>
        <v/>
      </c>
      <c r="E1362" s="5" t="str">
        <f>IFERROR(IF(Portafolio_Proyectos!$AQ454="","",Portafolio_Proyectos!$B454),"")</f>
        <v/>
      </c>
      <c r="F1362" s="5" t="str">
        <f>IFERROR(IF(Portafolio_Proyectos!$AQ454="","",Portafolio_Proyectos!$D454),"")</f>
        <v/>
      </c>
      <c r="G1362" s="5" t="str">
        <f>IFERROR(IF(Portafolio_Proyectos!$AQ454="","",Portafolio_Proyectos!$A454),"")</f>
        <v/>
      </c>
      <c r="H1362" s="5" t="str">
        <f>IFERROR(IF(Portafolio_Proyectos!$AQ454="","",Portafolio_Proyectos!$E454),"")</f>
        <v/>
      </c>
    </row>
    <row r="1363" spans="1:8" x14ac:dyDescent="0.35">
      <c r="A1363" s="5" t="str">
        <f>IFERROR(IF(Portafolio_Proyectos!$AR454="","","CAP-"&amp;ROW()-1),"")</f>
        <v/>
      </c>
      <c r="B1363" s="5" t="str">
        <f>IFERROR(IF(Portafolio_Proyectos!$AR454="","",Portafolio_Proyectos!$AR454),"")</f>
        <v/>
      </c>
      <c r="C1363" s="5" t="str">
        <f>IFERROR(IF(Portafolio_Proyectos!$AR454="","","Distintiva"),"")</f>
        <v/>
      </c>
      <c r="D1363" s="5" t="str">
        <f>IFERROR(IF(Portafolio_Proyectos!$AR454="","",Portafolio_Proyectos!$C454),"")</f>
        <v/>
      </c>
      <c r="E1363" s="5" t="str">
        <f>IFERROR(IF(Portafolio_Proyectos!$AR454="","",Portafolio_Proyectos!$B454),"")</f>
        <v/>
      </c>
      <c r="F1363" s="5" t="str">
        <f>IFERROR(IF(Portafolio_Proyectos!$AR454="","",Portafolio_Proyectos!$D454),"")</f>
        <v/>
      </c>
      <c r="G1363" s="5" t="str">
        <f>IFERROR(IF(Portafolio_Proyectos!$AR454="","",Portafolio_Proyectos!$A454),"")</f>
        <v/>
      </c>
      <c r="H1363" s="5" t="str">
        <f>IFERROR(IF(Portafolio_Proyectos!$AR454="","",Portafolio_Proyectos!$E454),"")</f>
        <v/>
      </c>
    </row>
    <row r="1364" spans="1:8" x14ac:dyDescent="0.35">
      <c r="A1364" s="5" t="str">
        <f>IFERROR(IF(Portafolio_Proyectos!$AP455="","","CAP-"&amp;ROW()-1),"")</f>
        <v/>
      </c>
      <c r="B1364" s="5" t="str">
        <f>IFERROR(IF(Portafolio_Proyectos!$AP455="","",Portafolio_Proyectos!$AP455),"")</f>
        <v/>
      </c>
      <c r="C1364" s="5" t="str">
        <f>IFERROR(IF(Portafolio_Proyectos!$AP455="","","Emergente"),"")</f>
        <v/>
      </c>
      <c r="D1364" s="5" t="str">
        <f>IFERROR(IF(Portafolio_Proyectos!$AP455="","",Portafolio_Proyectos!$C455),"")</f>
        <v/>
      </c>
      <c r="E1364" s="5" t="str">
        <f>IFERROR(IF(Portafolio_Proyectos!$AP455="","",Portafolio_Proyectos!$B455),"")</f>
        <v/>
      </c>
      <c r="F1364" s="5" t="str">
        <f>IFERROR(IF(Portafolio_Proyectos!$AP455="","",Portafolio_Proyectos!$D455),"")</f>
        <v/>
      </c>
      <c r="G1364" s="5" t="str">
        <f>IFERROR(IF(Portafolio_Proyectos!$AP455="","",Portafolio_Proyectos!$A455),"")</f>
        <v/>
      </c>
      <c r="H1364" s="5" t="str">
        <f>IFERROR(IF(Portafolio_Proyectos!$AP455="","",Portafolio_Proyectos!$E455),"")</f>
        <v/>
      </c>
    </row>
    <row r="1365" spans="1:8" x14ac:dyDescent="0.35">
      <c r="A1365" s="5" t="str">
        <f>IFERROR(IF(Portafolio_Proyectos!$AQ455="","","CAP-"&amp;ROW()-1),"")</f>
        <v/>
      </c>
      <c r="B1365" s="5" t="str">
        <f>IFERROR(IF(Portafolio_Proyectos!$AQ455="","",Portafolio_Proyectos!$AQ455),"")</f>
        <v/>
      </c>
      <c r="C1365" s="5" t="str">
        <f>IFERROR(IF(Portafolio_Proyectos!$AQ455="","","Consolidada"),"")</f>
        <v/>
      </c>
      <c r="D1365" s="5" t="str">
        <f>IFERROR(IF(Portafolio_Proyectos!$AQ455="","",Portafolio_Proyectos!$C455),"")</f>
        <v/>
      </c>
      <c r="E1365" s="5" t="str">
        <f>IFERROR(IF(Portafolio_Proyectos!$AQ455="","",Portafolio_Proyectos!$B455),"")</f>
        <v/>
      </c>
      <c r="F1365" s="5" t="str">
        <f>IFERROR(IF(Portafolio_Proyectos!$AQ455="","",Portafolio_Proyectos!$D455),"")</f>
        <v/>
      </c>
      <c r="G1365" s="5" t="str">
        <f>IFERROR(IF(Portafolio_Proyectos!$AQ455="","",Portafolio_Proyectos!$A455),"")</f>
        <v/>
      </c>
      <c r="H1365" s="5" t="str">
        <f>IFERROR(IF(Portafolio_Proyectos!$AQ455="","",Portafolio_Proyectos!$E455),"")</f>
        <v/>
      </c>
    </row>
    <row r="1366" spans="1:8" x14ac:dyDescent="0.35">
      <c r="A1366" s="5" t="str">
        <f>IFERROR(IF(Portafolio_Proyectos!$AR455="","","CAP-"&amp;ROW()-1),"")</f>
        <v/>
      </c>
      <c r="B1366" s="5" t="str">
        <f>IFERROR(IF(Portafolio_Proyectos!$AR455="","",Portafolio_Proyectos!$AR455),"")</f>
        <v/>
      </c>
      <c r="C1366" s="5" t="str">
        <f>IFERROR(IF(Portafolio_Proyectos!$AR455="","","Distintiva"),"")</f>
        <v/>
      </c>
      <c r="D1366" s="5" t="str">
        <f>IFERROR(IF(Portafolio_Proyectos!$AR455="","",Portafolio_Proyectos!$C455),"")</f>
        <v/>
      </c>
      <c r="E1366" s="5" t="str">
        <f>IFERROR(IF(Portafolio_Proyectos!$AR455="","",Portafolio_Proyectos!$B455),"")</f>
        <v/>
      </c>
      <c r="F1366" s="5" t="str">
        <f>IFERROR(IF(Portafolio_Proyectos!$AR455="","",Portafolio_Proyectos!$D455),"")</f>
        <v/>
      </c>
      <c r="G1366" s="5" t="str">
        <f>IFERROR(IF(Portafolio_Proyectos!$AR455="","",Portafolio_Proyectos!$A455),"")</f>
        <v/>
      </c>
      <c r="H1366" s="5" t="str">
        <f>IFERROR(IF(Portafolio_Proyectos!$AR455="","",Portafolio_Proyectos!$E455),"")</f>
        <v/>
      </c>
    </row>
    <row r="1367" spans="1:8" x14ac:dyDescent="0.35">
      <c r="A1367" s="5" t="str">
        <f>IFERROR(IF(Portafolio_Proyectos!$AP456="","","CAP-"&amp;ROW()-1),"")</f>
        <v/>
      </c>
      <c r="B1367" s="5" t="str">
        <f>IFERROR(IF(Portafolio_Proyectos!$AP456="","",Portafolio_Proyectos!$AP456),"")</f>
        <v/>
      </c>
      <c r="C1367" s="5" t="str">
        <f>IFERROR(IF(Portafolio_Proyectos!$AP456="","","Emergente"),"")</f>
        <v/>
      </c>
      <c r="D1367" s="5" t="str">
        <f>IFERROR(IF(Portafolio_Proyectos!$AP456="","",Portafolio_Proyectos!$C456),"")</f>
        <v/>
      </c>
      <c r="E1367" s="5" t="str">
        <f>IFERROR(IF(Portafolio_Proyectos!$AP456="","",Portafolio_Proyectos!$B456),"")</f>
        <v/>
      </c>
      <c r="F1367" s="5" t="str">
        <f>IFERROR(IF(Portafolio_Proyectos!$AP456="","",Portafolio_Proyectos!$D456),"")</f>
        <v/>
      </c>
      <c r="G1367" s="5" t="str">
        <f>IFERROR(IF(Portafolio_Proyectos!$AP456="","",Portafolio_Proyectos!$A456),"")</f>
        <v/>
      </c>
      <c r="H1367" s="5" t="str">
        <f>IFERROR(IF(Portafolio_Proyectos!$AP456="","",Portafolio_Proyectos!$E456),"")</f>
        <v/>
      </c>
    </row>
    <row r="1368" spans="1:8" x14ac:dyDescent="0.35">
      <c r="A1368" s="5" t="str">
        <f>IFERROR(IF(Portafolio_Proyectos!$AQ456="","","CAP-"&amp;ROW()-1),"")</f>
        <v/>
      </c>
      <c r="B1368" s="5" t="str">
        <f>IFERROR(IF(Portafolio_Proyectos!$AQ456="","",Portafolio_Proyectos!$AQ456),"")</f>
        <v/>
      </c>
      <c r="C1368" s="5" t="str">
        <f>IFERROR(IF(Portafolio_Proyectos!$AQ456="","","Consolidada"),"")</f>
        <v/>
      </c>
      <c r="D1368" s="5" t="str">
        <f>IFERROR(IF(Portafolio_Proyectos!$AQ456="","",Portafolio_Proyectos!$C456),"")</f>
        <v/>
      </c>
      <c r="E1368" s="5" t="str">
        <f>IFERROR(IF(Portafolio_Proyectos!$AQ456="","",Portafolio_Proyectos!$B456),"")</f>
        <v/>
      </c>
      <c r="F1368" s="5" t="str">
        <f>IFERROR(IF(Portafolio_Proyectos!$AQ456="","",Portafolio_Proyectos!$D456),"")</f>
        <v/>
      </c>
      <c r="G1368" s="5" t="str">
        <f>IFERROR(IF(Portafolio_Proyectos!$AQ456="","",Portafolio_Proyectos!$A456),"")</f>
        <v/>
      </c>
      <c r="H1368" s="5" t="str">
        <f>IFERROR(IF(Portafolio_Proyectos!$AQ456="","",Portafolio_Proyectos!$E456),"")</f>
        <v/>
      </c>
    </row>
    <row r="1369" spans="1:8" x14ac:dyDescent="0.35">
      <c r="A1369" s="5" t="str">
        <f>IFERROR(IF(Portafolio_Proyectos!$AR456="","","CAP-"&amp;ROW()-1),"")</f>
        <v/>
      </c>
      <c r="B1369" s="5" t="str">
        <f>IFERROR(IF(Portafolio_Proyectos!$AR456="","",Portafolio_Proyectos!$AR456),"")</f>
        <v/>
      </c>
      <c r="C1369" s="5" t="str">
        <f>IFERROR(IF(Portafolio_Proyectos!$AR456="","","Distintiva"),"")</f>
        <v/>
      </c>
      <c r="D1369" s="5" t="str">
        <f>IFERROR(IF(Portafolio_Proyectos!$AR456="","",Portafolio_Proyectos!$C456),"")</f>
        <v/>
      </c>
      <c r="E1369" s="5" t="str">
        <f>IFERROR(IF(Portafolio_Proyectos!$AR456="","",Portafolio_Proyectos!$B456),"")</f>
        <v/>
      </c>
      <c r="F1369" s="5" t="str">
        <f>IFERROR(IF(Portafolio_Proyectos!$AR456="","",Portafolio_Proyectos!$D456),"")</f>
        <v/>
      </c>
      <c r="G1369" s="5" t="str">
        <f>IFERROR(IF(Portafolio_Proyectos!$AR456="","",Portafolio_Proyectos!$A456),"")</f>
        <v/>
      </c>
      <c r="H1369" s="5" t="str">
        <f>IFERROR(IF(Portafolio_Proyectos!$AR456="","",Portafolio_Proyectos!$E456),"")</f>
        <v/>
      </c>
    </row>
    <row r="1370" spans="1:8" x14ac:dyDescent="0.35">
      <c r="A1370" s="5" t="str">
        <f>IFERROR(IF(Portafolio_Proyectos!$AP457="","","CAP-"&amp;ROW()-1),"")</f>
        <v/>
      </c>
      <c r="B1370" s="5" t="str">
        <f>IFERROR(IF(Portafolio_Proyectos!$AP457="","",Portafolio_Proyectos!$AP457),"")</f>
        <v/>
      </c>
      <c r="C1370" s="5" t="str">
        <f>IFERROR(IF(Portafolio_Proyectos!$AP457="","","Emergente"),"")</f>
        <v/>
      </c>
      <c r="D1370" s="5" t="str">
        <f>IFERROR(IF(Portafolio_Proyectos!$AP457="","",Portafolio_Proyectos!$C457),"")</f>
        <v/>
      </c>
      <c r="E1370" s="5" t="str">
        <f>IFERROR(IF(Portafolio_Proyectos!$AP457="","",Portafolio_Proyectos!$B457),"")</f>
        <v/>
      </c>
      <c r="F1370" s="5" t="str">
        <f>IFERROR(IF(Portafolio_Proyectos!$AP457="","",Portafolio_Proyectos!$D457),"")</f>
        <v/>
      </c>
      <c r="G1370" s="5" t="str">
        <f>IFERROR(IF(Portafolio_Proyectos!$AP457="","",Portafolio_Proyectos!$A457),"")</f>
        <v/>
      </c>
      <c r="H1370" s="5" t="str">
        <f>IFERROR(IF(Portafolio_Proyectos!$AP457="","",Portafolio_Proyectos!$E457),"")</f>
        <v/>
      </c>
    </row>
    <row r="1371" spans="1:8" x14ac:dyDescent="0.35">
      <c r="A1371" s="5" t="str">
        <f>IFERROR(IF(Portafolio_Proyectos!$AQ457="","","CAP-"&amp;ROW()-1),"")</f>
        <v/>
      </c>
      <c r="B1371" s="5" t="str">
        <f>IFERROR(IF(Portafolio_Proyectos!$AQ457="","",Portafolio_Proyectos!$AQ457),"")</f>
        <v/>
      </c>
      <c r="C1371" s="5" t="str">
        <f>IFERROR(IF(Portafolio_Proyectos!$AQ457="","","Consolidada"),"")</f>
        <v/>
      </c>
      <c r="D1371" s="5" t="str">
        <f>IFERROR(IF(Portafolio_Proyectos!$AQ457="","",Portafolio_Proyectos!$C457),"")</f>
        <v/>
      </c>
      <c r="E1371" s="5" t="str">
        <f>IFERROR(IF(Portafolio_Proyectos!$AQ457="","",Portafolio_Proyectos!$B457),"")</f>
        <v/>
      </c>
      <c r="F1371" s="5" t="str">
        <f>IFERROR(IF(Portafolio_Proyectos!$AQ457="","",Portafolio_Proyectos!$D457),"")</f>
        <v/>
      </c>
      <c r="G1371" s="5" t="str">
        <f>IFERROR(IF(Portafolio_Proyectos!$AQ457="","",Portafolio_Proyectos!$A457),"")</f>
        <v/>
      </c>
      <c r="H1371" s="5" t="str">
        <f>IFERROR(IF(Portafolio_Proyectos!$AQ457="","",Portafolio_Proyectos!$E457),"")</f>
        <v/>
      </c>
    </row>
    <row r="1372" spans="1:8" x14ac:dyDescent="0.35">
      <c r="A1372" s="5" t="str">
        <f>IFERROR(IF(Portafolio_Proyectos!$AR457="","","CAP-"&amp;ROW()-1),"")</f>
        <v/>
      </c>
      <c r="B1372" s="5" t="str">
        <f>IFERROR(IF(Portafolio_Proyectos!$AR457="","",Portafolio_Proyectos!$AR457),"")</f>
        <v/>
      </c>
      <c r="C1372" s="5" t="str">
        <f>IFERROR(IF(Portafolio_Proyectos!$AR457="","","Distintiva"),"")</f>
        <v/>
      </c>
      <c r="D1372" s="5" t="str">
        <f>IFERROR(IF(Portafolio_Proyectos!$AR457="","",Portafolio_Proyectos!$C457),"")</f>
        <v/>
      </c>
      <c r="E1372" s="5" t="str">
        <f>IFERROR(IF(Portafolio_Proyectos!$AR457="","",Portafolio_Proyectos!$B457),"")</f>
        <v/>
      </c>
      <c r="F1372" s="5" t="str">
        <f>IFERROR(IF(Portafolio_Proyectos!$AR457="","",Portafolio_Proyectos!$D457),"")</f>
        <v/>
      </c>
      <c r="G1372" s="5" t="str">
        <f>IFERROR(IF(Portafolio_Proyectos!$AR457="","",Portafolio_Proyectos!$A457),"")</f>
        <v/>
      </c>
      <c r="H1372" s="5" t="str">
        <f>IFERROR(IF(Portafolio_Proyectos!$AR457="","",Portafolio_Proyectos!$E457),"")</f>
        <v/>
      </c>
    </row>
    <row r="1373" spans="1:8" x14ac:dyDescent="0.35">
      <c r="A1373" s="5" t="str">
        <f>IFERROR(IF(Portafolio_Proyectos!$AP458="","","CAP-"&amp;ROW()-1),"")</f>
        <v/>
      </c>
      <c r="B1373" s="5" t="str">
        <f>IFERROR(IF(Portafolio_Proyectos!$AP458="","",Portafolio_Proyectos!$AP458),"")</f>
        <v/>
      </c>
      <c r="C1373" s="5" t="str">
        <f>IFERROR(IF(Portafolio_Proyectos!$AP458="","","Emergente"),"")</f>
        <v/>
      </c>
      <c r="D1373" s="5" t="str">
        <f>IFERROR(IF(Portafolio_Proyectos!$AP458="","",Portafolio_Proyectos!$C458),"")</f>
        <v/>
      </c>
      <c r="E1373" s="5" t="str">
        <f>IFERROR(IF(Portafolio_Proyectos!$AP458="","",Portafolio_Proyectos!$B458),"")</f>
        <v/>
      </c>
      <c r="F1373" s="5" t="str">
        <f>IFERROR(IF(Portafolio_Proyectos!$AP458="","",Portafolio_Proyectos!$D458),"")</f>
        <v/>
      </c>
      <c r="G1373" s="5" t="str">
        <f>IFERROR(IF(Portafolio_Proyectos!$AP458="","",Portafolio_Proyectos!$A458),"")</f>
        <v/>
      </c>
      <c r="H1373" s="5" t="str">
        <f>IFERROR(IF(Portafolio_Proyectos!$AP458="","",Portafolio_Proyectos!$E458),"")</f>
        <v/>
      </c>
    </row>
    <row r="1374" spans="1:8" x14ac:dyDescent="0.35">
      <c r="A1374" s="5" t="str">
        <f>IFERROR(IF(Portafolio_Proyectos!$AQ458="","","CAP-"&amp;ROW()-1),"")</f>
        <v/>
      </c>
      <c r="B1374" s="5" t="str">
        <f>IFERROR(IF(Portafolio_Proyectos!$AQ458="","",Portafolio_Proyectos!$AQ458),"")</f>
        <v/>
      </c>
      <c r="C1374" s="5" t="str">
        <f>IFERROR(IF(Portafolio_Proyectos!$AQ458="","","Consolidada"),"")</f>
        <v/>
      </c>
      <c r="D1374" s="5" t="str">
        <f>IFERROR(IF(Portafolio_Proyectos!$AQ458="","",Portafolio_Proyectos!$C458),"")</f>
        <v/>
      </c>
      <c r="E1374" s="5" t="str">
        <f>IFERROR(IF(Portafolio_Proyectos!$AQ458="","",Portafolio_Proyectos!$B458),"")</f>
        <v/>
      </c>
      <c r="F1374" s="5" t="str">
        <f>IFERROR(IF(Portafolio_Proyectos!$AQ458="","",Portafolio_Proyectos!$D458),"")</f>
        <v/>
      </c>
      <c r="G1374" s="5" t="str">
        <f>IFERROR(IF(Portafolio_Proyectos!$AQ458="","",Portafolio_Proyectos!$A458),"")</f>
        <v/>
      </c>
      <c r="H1374" s="5" t="str">
        <f>IFERROR(IF(Portafolio_Proyectos!$AQ458="","",Portafolio_Proyectos!$E458),"")</f>
        <v/>
      </c>
    </row>
    <row r="1375" spans="1:8" x14ac:dyDescent="0.35">
      <c r="A1375" s="5" t="str">
        <f>IFERROR(IF(Portafolio_Proyectos!$AR458="","","CAP-"&amp;ROW()-1),"")</f>
        <v/>
      </c>
      <c r="B1375" s="5" t="str">
        <f>IFERROR(IF(Portafolio_Proyectos!$AR458="","",Portafolio_Proyectos!$AR458),"")</f>
        <v/>
      </c>
      <c r="C1375" s="5" t="str">
        <f>IFERROR(IF(Portafolio_Proyectos!$AR458="","","Distintiva"),"")</f>
        <v/>
      </c>
      <c r="D1375" s="5" t="str">
        <f>IFERROR(IF(Portafolio_Proyectos!$AR458="","",Portafolio_Proyectos!$C458),"")</f>
        <v/>
      </c>
      <c r="E1375" s="5" t="str">
        <f>IFERROR(IF(Portafolio_Proyectos!$AR458="","",Portafolio_Proyectos!$B458),"")</f>
        <v/>
      </c>
      <c r="F1375" s="5" t="str">
        <f>IFERROR(IF(Portafolio_Proyectos!$AR458="","",Portafolio_Proyectos!$D458),"")</f>
        <v/>
      </c>
      <c r="G1375" s="5" t="str">
        <f>IFERROR(IF(Portafolio_Proyectos!$AR458="","",Portafolio_Proyectos!$A458),"")</f>
        <v/>
      </c>
      <c r="H1375" s="5" t="str">
        <f>IFERROR(IF(Portafolio_Proyectos!$AR458="","",Portafolio_Proyectos!$E458),"")</f>
        <v/>
      </c>
    </row>
    <row r="1376" spans="1:8" x14ac:dyDescent="0.35">
      <c r="A1376" s="5" t="str">
        <f>IFERROR(IF(Portafolio_Proyectos!$AP459="","","CAP-"&amp;ROW()-1),"")</f>
        <v/>
      </c>
      <c r="B1376" s="5" t="str">
        <f>IFERROR(IF(Portafolio_Proyectos!$AP459="","",Portafolio_Proyectos!$AP459),"")</f>
        <v/>
      </c>
      <c r="C1376" s="5" t="str">
        <f>IFERROR(IF(Portafolio_Proyectos!$AP459="","","Emergente"),"")</f>
        <v/>
      </c>
      <c r="D1376" s="5" t="str">
        <f>IFERROR(IF(Portafolio_Proyectos!$AP459="","",Portafolio_Proyectos!$C459),"")</f>
        <v/>
      </c>
      <c r="E1376" s="5" t="str">
        <f>IFERROR(IF(Portafolio_Proyectos!$AP459="","",Portafolio_Proyectos!$B459),"")</f>
        <v/>
      </c>
      <c r="F1376" s="5" t="str">
        <f>IFERROR(IF(Portafolio_Proyectos!$AP459="","",Portafolio_Proyectos!$D459),"")</f>
        <v/>
      </c>
      <c r="G1376" s="5" t="str">
        <f>IFERROR(IF(Portafolio_Proyectos!$AP459="","",Portafolio_Proyectos!$A459),"")</f>
        <v/>
      </c>
      <c r="H1376" s="5" t="str">
        <f>IFERROR(IF(Portafolio_Proyectos!$AP459="","",Portafolio_Proyectos!$E459),"")</f>
        <v/>
      </c>
    </row>
    <row r="1377" spans="1:8" x14ac:dyDescent="0.35">
      <c r="A1377" s="5" t="str">
        <f>IFERROR(IF(Portafolio_Proyectos!$AQ459="","","CAP-"&amp;ROW()-1),"")</f>
        <v/>
      </c>
      <c r="B1377" s="5" t="str">
        <f>IFERROR(IF(Portafolio_Proyectos!$AQ459="","",Portafolio_Proyectos!$AQ459),"")</f>
        <v/>
      </c>
      <c r="C1377" s="5" t="str">
        <f>IFERROR(IF(Portafolio_Proyectos!$AQ459="","","Consolidada"),"")</f>
        <v/>
      </c>
      <c r="D1377" s="5" t="str">
        <f>IFERROR(IF(Portafolio_Proyectos!$AQ459="","",Portafolio_Proyectos!$C459),"")</f>
        <v/>
      </c>
      <c r="E1377" s="5" t="str">
        <f>IFERROR(IF(Portafolio_Proyectos!$AQ459="","",Portafolio_Proyectos!$B459),"")</f>
        <v/>
      </c>
      <c r="F1377" s="5" t="str">
        <f>IFERROR(IF(Portafolio_Proyectos!$AQ459="","",Portafolio_Proyectos!$D459),"")</f>
        <v/>
      </c>
      <c r="G1377" s="5" t="str">
        <f>IFERROR(IF(Portafolio_Proyectos!$AQ459="","",Portafolio_Proyectos!$A459),"")</f>
        <v/>
      </c>
      <c r="H1377" s="5" t="str">
        <f>IFERROR(IF(Portafolio_Proyectos!$AQ459="","",Portafolio_Proyectos!$E459),"")</f>
        <v/>
      </c>
    </row>
    <row r="1378" spans="1:8" x14ac:dyDescent="0.35">
      <c r="A1378" s="5" t="str">
        <f>IFERROR(IF(Portafolio_Proyectos!$AR459="","","CAP-"&amp;ROW()-1),"")</f>
        <v/>
      </c>
      <c r="B1378" s="5" t="str">
        <f>IFERROR(IF(Portafolio_Proyectos!$AR459="","",Portafolio_Proyectos!$AR459),"")</f>
        <v/>
      </c>
      <c r="C1378" s="5" t="str">
        <f>IFERROR(IF(Portafolio_Proyectos!$AR459="","","Distintiva"),"")</f>
        <v/>
      </c>
      <c r="D1378" s="5" t="str">
        <f>IFERROR(IF(Portafolio_Proyectos!$AR459="","",Portafolio_Proyectos!$C459),"")</f>
        <v/>
      </c>
      <c r="E1378" s="5" t="str">
        <f>IFERROR(IF(Portafolio_Proyectos!$AR459="","",Portafolio_Proyectos!$B459),"")</f>
        <v/>
      </c>
      <c r="F1378" s="5" t="str">
        <f>IFERROR(IF(Portafolio_Proyectos!$AR459="","",Portafolio_Proyectos!$D459),"")</f>
        <v/>
      </c>
      <c r="G1378" s="5" t="str">
        <f>IFERROR(IF(Portafolio_Proyectos!$AR459="","",Portafolio_Proyectos!$A459),"")</f>
        <v/>
      </c>
      <c r="H1378" s="5" t="str">
        <f>IFERROR(IF(Portafolio_Proyectos!$AR459="","",Portafolio_Proyectos!$E459),"")</f>
        <v/>
      </c>
    </row>
    <row r="1379" spans="1:8" x14ac:dyDescent="0.35">
      <c r="A1379" s="5" t="str">
        <f>IFERROR(IF(Portafolio_Proyectos!$AP460="","","CAP-"&amp;ROW()-1),"")</f>
        <v/>
      </c>
      <c r="B1379" s="5" t="str">
        <f>IFERROR(IF(Portafolio_Proyectos!$AP460="","",Portafolio_Proyectos!$AP460),"")</f>
        <v/>
      </c>
      <c r="C1379" s="5" t="str">
        <f>IFERROR(IF(Portafolio_Proyectos!$AP460="","","Emergente"),"")</f>
        <v/>
      </c>
      <c r="D1379" s="5" t="str">
        <f>IFERROR(IF(Portafolio_Proyectos!$AP460="","",Portafolio_Proyectos!$C460),"")</f>
        <v/>
      </c>
      <c r="E1379" s="5" t="str">
        <f>IFERROR(IF(Portafolio_Proyectos!$AP460="","",Portafolio_Proyectos!$B460),"")</f>
        <v/>
      </c>
      <c r="F1379" s="5" t="str">
        <f>IFERROR(IF(Portafolio_Proyectos!$AP460="","",Portafolio_Proyectos!$D460),"")</f>
        <v/>
      </c>
      <c r="G1379" s="5" t="str">
        <f>IFERROR(IF(Portafolio_Proyectos!$AP460="","",Portafolio_Proyectos!$A460),"")</f>
        <v/>
      </c>
      <c r="H1379" s="5" t="str">
        <f>IFERROR(IF(Portafolio_Proyectos!$AP460="","",Portafolio_Proyectos!$E460),"")</f>
        <v/>
      </c>
    </row>
    <row r="1380" spans="1:8" x14ac:dyDescent="0.35">
      <c r="A1380" s="5" t="str">
        <f>IFERROR(IF(Portafolio_Proyectos!$AQ460="","","CAP-"&amp;ROW()-1),"")</f>
        <v/>
      </c>
      <c r="B1380" s="5" t="str">
        <f>IFERROR(IF(Portafolio_Proyectos!$AQ460="","",Portafolio_Proyectos!$AQ460),"")</f>
        <v/>
      </c>
      <c r="C1380" s="5" t="str">
        <f>IFERROR(IF(Portafolio_Proyectos!$AQ460="","","Consolidada"),"")</f>
        <v/>
      </c>
      <c r="D1380" s="5" t="str">
        <f>IFERROR(IF(Portafolio_Proyectos!$AQ460="","",Portafolio_Proyectos!$C460),"")</f>
        <v/>
      </c>
      <c r="E1380" s="5" t="str">
        <f>IFERROR(IF(Portafolio_Proyectos!$AQ460="","",Portafolio_Proyectos!$B460),"")</f>
        <v/>
      </c>
      <c r="F1380" s="5" t="str">
        <f>IFERROR(IF(Portafolio_Proyectos!$AQ460="","",Portafolio_Proyectos!$D460),"")</f>
        <v/>
      </c>
      <c r="G1380" s="5" t="str">
        <f>IFERROR(IF(Portafolio_Proyectos!$AQ460="","",Portafolio_Proyectos!$A460),"")</f>
        <v/>
      </c>
      <c r="H1380" s="5" t="str">
        <f>IFERROR(IF(Portafolio_Proyectos!$AQ460="","",Portafolio_Proyectos!$E460),"")</f>
        <v/>
      </c>
    </row>
    <row r="1381" spans="1:8" x14ac:dyDescent="0.35">
      <c r="A1381" s="5" t="str">
        <f>IFERROR(IF(Portafolio_Proyectos!$AR460="","","CAP-"&amp;ROW()-1),"")</f>
        <v/>
      </c>
      <c r="B1381" s="5" t="str">
        <f>IFERROR(IF(Portafolio_Proyectos!$AR460="","",Portafolio_Proyectos!$AR460),"")</f>
        <v/>
      </c>
      <c r="C1381" s="5" t="str">
        <f>IFERROR(IF(Portafolio_Proyectos!$AR460="","","Distintiva"),"")</f>
        <v/>
      </c>
      <c r="D1381" s="5" t="str">
        <f>IFERROR(IF(Portafolio_Proyectos!$AR460="","",Portafolio_Proyectos!$C460),"")</f>
        <v/>
      </c>
      <c r="E1381" s="5" t="str">
        <f>IFERROR(IF(Portafolio_Proyectos!$AR460="","",Portafolio_Proyectos!$B460),"")</f>
        <v/>
      </c>
      <c r="F1381" s="5" t="str">
        <f>IFERROR(IF(Portafolio_Proyectos!$AR460="","",Portafolio_Proyectos!$D460),"")</f>
        <v/>
      </c>
      <c r="G1381" s="5" t="str">
        <f>IFERROR(IF(Portafolio_Proyectos!$AR460="","",Portafolio_Proyectos!$A460),"")</f>
        <v/>
      </c>
      <c r="H1381" s="5" t="str">
        <f>IFERROR(IF(Portafolio_Proyectos!$AR460="","",Portafolio_Proyectos!$E460),"")</f>
        <v/>
      </c>
    </row>
    <row r="1382" spans="1:8" x14ac:dyDescent="0.35">
      <c r="A1382" s="5" t="str">
        <f>IFERROR(IF(Portafolio_Proyectos!$AP461="","","CAP-"&amp;ROW()-1),"")</f>
        <v/>
      </c>
      <c r="B1382" s="5" t="str">
        <f>IFERROR(IF(Portafolio_Proyectos!$AP461="","",Portafolio_Proyectos!$AP461),"")</f>
        <v/>
      </c>
      <c r="C1382" s="5" t="str">
        <f>IFERROR(IF(Portafolio_Proyectos!$AP461="","","Emergente"),"")</f>
        <v/>
      </c>
      <c r="D1382" s="5" t="str">
        <f>IFERROR(IF(Portafolio_Proyectos!$AP461="","",Portafolio_Proyectos!$C461),"")</f>
        <v/>
      </c>
      <c r="E1382" s="5" t="str">
        <f>IFERROR(IF(Portafolio_Proyectos!$AP461="","",Portafolio_Proyectos!$B461),"")</f>
        <v/>
      </c>
      <c r="F1382" s="5" t="str">
        <f>IFERROR(IF(Portafolio_Proyectos!$AP461="","",Portafolio_Proyectos!$D461),"")</f>
        <v/>
      </c>
      <c r="G1382" s="5" t="str">
        <f>IFERROR(IF(Portafolio_Proyectos!$AP461="","",Portafolio_Proyectos!$A461),"")</f>
        <v/>
      </c>
      <c r="H1382" s="5" t="str">
        <f>IFERROR(IF(Portafolio_Proyectos!$AP461="","",Portafolio_Proyectos!$E461),"")</f>
        <v/>
      </c>
    </row>
    <row r="1383" spans="1:8" x14ac:dyDescent="0.35">
      <c r="A1383" s="5" t="str">
        <f>IFERROR(IF(Portafolio_Proyectos!$AQ461="","","CAP-"&amp;ROW()-1),"")</f>
        <v/>
      </c>
      <c r="B1383" s="5" t="str">
        <f>IFERROR(IF(Portafolio_Proyectos!$AQ461="","",Portafolio_Proyectos!$AQ461),"")</f>
        <v/>
      </c>
      <c r="C1383" s="5" t="str">
        <f>IFERROR(IF(Portafolio_Proyectos!$AQ461="","","Consolidada"),"")</f>
        <v/>
      </c>
      <c r="D1383" s="5" t="str">
        <f>IFERROR(IF(Portafolio_Proyectos!$AQ461="","",Portafolio_Proyectos!$C461),"")</f>
        <v/>
      </c>
      <c r="E1383" s="5" t="str">
        <f>IFERROR(IF(Portafolio_Proyectos!$AQ461="","",Portafolio_Proyectos!$B461),"")</f>
        <v/>
      </c>
      <c r="F1383" s="5" t="str">
        <f>IFERROR(IF(Portafolio_Proyectos!$AQ461="","",Portafolio_Proyectos!$D461),"")</f>
        <v/>
      </c>
      <c r="G1383" s="5" t="str">
        <f>IFERROR(IF(Portafolio_Proyectos!$AQ461="","",Portafolio_Proyectos!$A461),"")</f>
        <v/>
      </c>
      <c r="H1383" s="5" t="str">
        <f>IFERROR(IF(Portafolio_Proyectos!$AQ461="","",Portafolio_Proyectos!$E461),"")</f>
        <v/>
      </c>
    </row>
    <row r="1384" spans="1:8" x14ac:dyDescent="0.35">
      <c r="A1384" s="5" t="str">
        <f>IFERROR(IF(Portafolio_Proyectos!$AR461="","","CAP-"&amp;ROW()-1),"")</f>
        <v/>
      </c>
      <c r="B1384" s="5" t="str">
        <f>IFERROR(IF(Portafolio_Proyectos!$AR461="","",Portafolio_Proyectos!$AR461),"")</f>
        <v/>
      </c>
      <c r="C1384" s="5" t="str">
        <f>IFERROR(IF(Portafolio_Proyectos!$AR461="","","Distintiva"),"")</f>
        <v/>
      </c>
      <c r="D1384" s="5" t="str">
        <f>IFERROR(IF(Portafolio_Proyectos!$AR461="","",Portafolio_Proyectos!$C461),"")</f>
        <v/>
      </c>
      <c r="E1384" s="5" t="str">
        <f>IFERROR(IF(Portafolio_Proyectos!$AR461="","",Portafolio_Proyectos!$B461),"")</f>
        <v/>
      </c>
      <c r="F1384" s="5" t="str">
        <f>IFERROR(IF(Portafolio_Proyectos!$AR461="","",Portafolio_Proyectos!$D461),"")</f>
        <v/>
      </c>
      <c r="G1384" s="5" t="str">
        <f>IFERROR(IF(Portafolio_Proyectos!$AR461="","",Portafolio_Proyectos!$A461),"")</f>
        <v/>
      </c>
      <c r="H1384" s="5" t="str">
        <f>IFERROR(IF(Portafolio_Proyectos!$AR461="","",Portafolio_Proyectos!$E461),"")</f>
        <v/>
      </c>
    </row>
    <row r="1385" spans="1:8" x14ac:dyDescent="0.35">
      <c r="A1385" s="5" t="str">
        <f>IFERROR(IF(Portafolio_Proyectos!$AP462="","","CAP-"&amp;ROW()-1),"")</f>
        <v/>
      </c>
      <c r="B1385" s="5" t="str">
        <f>IFERROR(IF(Portafolio_Proyectos!$AP462="","",Portafolio_Proyectos!$AP462),"")</f>
        <v/>
      </c>
      <c r="C1385" s="5" t="str">
        <f>IFERROR(IF(Portafolio_Proyectos!$AP462="","","Emergente"),"")</f>
        <v/>
      </c>
      <c r="D1385" s="5" t="str">
        <f>IFERROR(IF(Portafolio_Proyectos!$AP462="","",Portafolio_Proyectos!$C462),"")</f>
        <v/>
      </c>
      <c r="E1385" s="5" t="str">
        <f>IFERROR(IF(Portafolio_Proyectos!$AP462="","",Portafolio_Proyectos!$B462),"")</f>
        <v/>
      </c>
      <c r="F1385" s="5" t="str">
        <f>IFERROR(IF(Portafolio_Proyectos!$AP462="","",Portafolio_Proyectos!$D462),"")</f>
        <v/>
      </c>
      <c r="G1385" s="5" t="str">
        <f>IFERROR(IF(Portafolio_Proyectos!$AP462="","",Portafolio_Proyectos!$A462),"")</f>
        <v/>
      </c>
      <c r="H1385" s="5" t="str">
        <f>IFERROR(IF(Portafolio_Proyectos!$AP462="","",Portafolio_Proyectos!$E462),"")</f>
        <v/>
      </c>
    </row>
    <row r="1386" spans="1:8" x14ac:dyDescent="0.35">
      <c r="A1386" s="5" t="str">
        <f>IFERROR(IF(Portafolio_Proyectos!$AQ462="","","CAP-"&amp;ROW()-1),"")</f>
        <v/>
      </c>
      <c r="B1386" s="5" t="str">
        <f>IFERROR(IF(Portafolio_Proyectos!$AQ462="","",Portafolio_Proyectos!$AQ462),"")</f>
        <v/>
      </c>
      <c r="C1386" s="5" t="str">
        <f>IFERROR(IF(Portafolio_Proyectos!$AQ462="","","Consolidada"),"")</f>
        <v/>
      </c>
      <c r="D1386" s="5" t="str">
        <f>IFERROR(IF(Portafolio_Proyectos!$AQ462="","",Portafolio_Proyectos!$C462),"")</f>
        <v/>
      </c>
      <c r="E1386" s="5" t="str">
        <f>IFERROR(IF(Portafolio_Proyectos!$AQ462="","",Portafolio_Proyectos!$B462),"")</f>
        <v/>
      </c>
      <c r="F1386" s="5" t="str">
        <f>IFERROR(IF(Portafolio_Proyectos!$AQ462="","",Portafolio_Proyectos!$D462),"")</f>
        <v/>
      </c>
      <c r="G1386" s="5" t="str">
        <f>IFERROR(IF(Portafolio_Proyectos!$AQ462="","",Portafolio_Proyectos!$A462),"")</f>
        <v/>
      </c>
      <c r="H1386" s="5" t="str">
        <f>IFERROR(IF(Portafolio_Proyectos!$AQ462="","",Portafolio_Proyectos!$E462),"")</f>
        <v/>
      </c>
    </row>
    <row r="1387" spans="1:8" x14ac:dyDescent="0.35">
      <c r="A1387" s="5" t="str">
        <f>IFERROR(IF(Portafolio_Proyectos!$AR462="","","CAP-"&amp;ROW()-1),"")</f>
        <v/>
      </c>
      <c r="B1387" s="5" t="str">
        <f>IFERROR(IF(Portafolio_Proyectos!$AR462="","",Portafolio_Proyectos!$AR462),"")</f>
        <v/>
      </c>
      <c r="C1387" s="5" t="str">
        <f>IFERROR(IF(Portafolio_Proyectos!$AR462="","","Distintiva"),"")</f>
        <v/>
      </c>
      <c r="D1387" s="5" t="str">
        <f>IFERROR(IF(Portafolio_Proyectos!$AR462="","",Portafolio_Proyectos!$C462),"")</f>
        <v/>
      </c>
      <c r="E1387" s="5" t="str">
        <f>IFERROR(IF(Portafolio_Proyectos!$AR462="","",Portafolio_Proyectos!$B462),"")</f>
        <v/>
      </c>
      <c r="F1387" s="5" t="str">
        <f>IFERROR(IF(Portafolio_Proyectos!$AR462="","",Portafolio_Proyectos!$D462),"")</f>
        <v/>
      </c>
      <c r="G1387" s="5" t="str">
        <f>IFERROR(IF(Portafolio_Proyectos!$AR462="","",Portafolio_Proyectos!$A462),"")</f>
        <v/>
      </c>
      <c r="H1387" s="5" t="str">
        <f>IFERROR(IF(Portafolio_Proyectos!$AR462="","",Portafolio_Proyectos!$E462),"")</f>
        <v/>
      </c>
    </row>
    <row r="1388" spans="1:8" x14ac:dyDescent="0.35">
      <c r="A1388" s="5" t="str">
        <f>IFERROR(IF(Portafolio_Proyectos!$AP463="","","CAP-"&amp;ROW()-1),"")</f>
        <v/>
      </c>
      <c r="B1388" s="5" t="str">
        <f>IFERROR(IF(Portafolio_Proyectos!$AP463="","",Portafolio_Proyectos!$AP463),"")</f>
        <v/>
      </c>
      <c r="C1388" s="5" t="str">
        <f>IFERROR(IF(Portafolio_Proyectos!$AP463="","","Emergente"),"")</f>
        <v/>
      </c>
      <c r="D1388" s="5" t="str">
        <f>IFERROR(IF(Portafolio_Proyectos!$AP463="","",Portafolio_Proyectos!$C463),"")</f>
        <v/>
      </c>
      <c r="E1388" s="5" t="str">
        <f>IFERROR(IF(Portafolio_Proyectos!$AP463="","",Portafolio_Proyectos!$B463),"")</f>
        <v/>
      </c>
      <c r="F1388" s="5" t="str">
        <f>IFERROR(IF(Portafolio_Proyectos!$AP463="","",Portafolio_Proyectos!$D463),"")</f>
        <v/>
      </c>
      <c r="G1388" s="5" t="str">
        <f>IFERROR(IF(Portafolio_Proyectos!$AP463="","",Portafolio_Proyectos!$A463),"")</f>
        <v/>
      </c>
      <c r="H1388" s="5" t="str">
        <f>IFERROR(IF(Portafolio_Proyectos!$AP463="","",Portafolio_Proyectos!$E463),"")</f>
        <v/>
      </c>
    </row>
    <row r="1389" spans="1:8" x14ac:dyDescent="0.35">
      <c r="A1389" s="5" t="str">
        <f>IFERROR(IF(Portafolio_Proyectos!$AQ463="","","CAP-"&amp;ROW()-1),"")</f>
        <v/>
      </c>
      <c r="B1389" s="5" t="str">
        <f>IFERROR(IF(Portafolio_Proyectos!$AQ463="","",Portafolio_Proyectos!$AQ463),"")</f>
        <v/>
      </c>
      <c r="C1389" s="5" t="str">
        <f>IFERROR(IF(Portafolio_Proyectos!$AQ463="","","Consolidada"),"")</f>
        <v/>
      </c>
      <c r="D1389" s="5" t="str">
        <f>IFERROR(IF(Portafolio_Proyectos!$AQ463="","",Portafolio_Proyectos!$C463),"")</f>
        <v/>
      </c>
      <c r="E1389" s="5" t="str">
        <f>IFERROR(IF(Portafolio_Proyectos!$AQ463="","",Portafolio_Proyectos!$B463),"")</f>
        <v/>
      </c>
      <c r="F1389" s="5" t="str">
        <f>IFERROR(IF(Portafolio_Proyectos!$AQ463="","",Portafolio_Proyectos!$D463),"")</f>
        <v/>
      </c>
      <c r="G1389" s="5" t="str">
        <f>IFERROR(IF(Portafolio_Proyectos!$AQ463="","",Portafolio_Proyectos!$A463),"")</f>
        <v/>
      </c>
      <c r="H1389" s="5" t="str">
        <f>IFERROR(IF(Portafolio_Proyectos!$AQ463="","",Portafolio_Proyectos!$E463),"")</f>
        <v/>
      </c>
    </row>
    <row r="1390" spans="1:8" x14ac:dyDescent="0.35">
      <c r="A1390" s="5" t="str">
        <f>IFERROR(IF(Portafolio_Proyectos!$AR463="","","CAP-"&amp;ROW()-1),"")</f>
        <v/>
      </c>
      <c r="B1390" s="5" t="str">
        <f>IFERROR(IF(Portafolio_Proyectos!$AR463="","",Portafolio_Proyectos!$AR463),"")</f>
        <v/>
      </c>
      <c r="C1390" s="5" t="str">
        <f>IFERROR(IF(Portafolio_Proyectos!$AR463="","","Distintiva"),"")</f>
        <v/>
      </c>
      <c r="D1390" s="5" t="str">
        <f>IFERROR(IF(Portafolio_Proyectos!$AR463="","",Portafolio_Proyectos!$C463),"")</f>
        <v/>
      </c>
      <c r="E1390" s="5" t="str">
        <f>IFERROR(IF(Portafolio_Proyectos!$AR463="","",Portafolio_Proyectos!$B463),"")</f>
        <v/>
      </c>
      <c r="F1390" s="5" t="str">
        <f>IFERROR(IF(Portafolio_Proyectos!$AR463="","",Portafolio_Proyectos!$D463),"")</f>
        <v/>
      </c>
      <c r="G1390" s="5" t="str">
        <f>IFERROR(IF(Portafolio_Proyectos!$AR463="","",Portafolio_Proyectos!$A463),"")</f>
        <v/>
      </c>
      <c r="H1390" s="5" t="str">
        <f>IFERROR(IF(Portafolio_Proyectos!$AR463="","",Portafolio_Proyectos!$E463),"")</f>
        <v/>
      </c>
    </row>
    <row r="1391" spans="1:8" x14ac:dyDescent="0.35">
      <c r="A1391" s="5" t="str">
        <f>IFERROR(IF(Portafolio_Proyectos!$AP464="","","CAP-"&amp;ROW()-1),"")</f>
        <v/>
      </c>
      <c r="B1391" s="5" t="str">
        <f>IFERROR(IF(Portafolio_Proyectos!$AP464="","",Portafolio_Proyectos!$AP464),"")</f>
        <v/>
      </c>
      <c r="C1391" s="5" t="str">
        <f>IFERROR(IF(Portafolio_Proyectos!$AP464="","","Emergente"),"")</f>
        <v/>
      </c>
      <c r="D1391" s="5" t="str">
        <f>IFERROR(IF(Portafolio_Proyectos!$AP464="","",Portafolio_Proyectos!$C464),"")</f>
        <v/>
      </c>
      <c r="E1391" s="5" t="str">
        <f>IFERROR(IF(Portafolio_Proyectos!$AP464="","",Portafolio_Proyectos!$B464),"")</f>
        <v/>
      </c>
      <c r="F1391" s="5" t="str">
        <f>IFERROR(IF(Portafolio_Proyectos!$AP464="","",Portafolio_Proyectos!$D464),"")</f>
        <v/>
      </c>
      <c r="G1391" s="5" t="str">
        <f>IFERROR(IF(Portafolio_Proyectos!$AP464="","",Portafolio_Proyectos!$A464),"")</f>
        <v/>
      </c>
      <c r="H1391" s="5" t="str">
        <f>IFERROR(IF(Portafolio_Proyectos!$AP464="","",Portafolio_Proyectos!$E464),"")</f>
        <v/>
      </c>
    </row>
    <row r="1392" spans="1:8" x14ac:dyDescent="0.35">
      <c r="A1392" s="5" t="str">
        <f>IFERROR(IF(Portafolio_Proyectos!$AQ464="","","CAP-"&amp;ROW()-1),"")</f>
        <v/>
      </c>
      <c r="B1392" s="5" t="str">
        <f>IFERROR(IF(Portafolio_Proyectos!$AQ464="","",Portafolio_Proyectos!$AQ464),"")</f>
        <v/>
      </c>
      <c r="C1392" s="5" t="str">
        <f>IFERROR(IF(Portafolio_Proyectos!$AQ464="","","Consolidada"),"")</f>
        <v/>
      </c>
      <c r="D1392" s="5" t="str">
        <f>IFERROR(IF(Portafolio_Proyectos!$AQ464="","",Portafolio_Proyectos!$C464),"")</f>
        <v/>
      </c>
      <c r="E1392" s="5" t="str">
        <f>IFERROR(IF(Portafolio_Proyectos!$AQ464="","",Portafolio_Proyectos!$B464),"")</f>
        <v/>
      </c>
      <c r="F1392" s="5" t="str">
        <f>IFERROR(IF(Portafolio_Proyectos!$AQ464="","",Portafolio_Proyectos!$D464),"")</f>
        <v/>
      </c>
      <c r="G1392" s="5" t="str">
        <f>IFERROR(IF(Portafolio_Proyectos!$AQ464="","",Portafolio_Proyectos!$A464),"")</f>
        <v/>
      </c>
      <c r="H1392" s="5" t="str">
        <f>IFERROR(IF(Portafolio_Proyectos!$AQ464="","",Portafolio_Proyectos!$E464),"")</f>
        <v/>
      </c>
    </row>
    <row r="1393" spans="1:8" x14ac:dyDescent="0.35">
      <c r="A1393" s="5" t="str">
        <f>IFERROR(IF(Portafolio_Proyectos!$AR464="","","CAP-"&amp;ROW()-1),"")</f>
        <v/>
      </c>
      <c r="B1393" s="5" t="str">
        <f>IFERROR(IF(Portafolio_Proyectos!$AR464="","",Portafolio_Proyectos!$AR464),"")</f>
        <v/>
      </c>
      <c r="C1393" s="5" t="str">
        <f>IFERROR(IF(Portafolio_Proyectos!$AR464="","","Distintiva"),"")</f>
        <v/>
      </c>
      <c r="D1393" s="5" t="str">
        <f>IFERROR(IF(Portafolio_Proyectos!$AR464="","",Portafolio_Proyectos!$C464),"")</f>
        <v/>
      </c>
      <c r="E1393" s="5" t="str">
        <f>IFERROR(IF(Portafolio_Proyectos!$AR464="","",Portafolio_Proyectos!$B464),"")</f>
        <v/>
      </c>
      <c r="F1393" s="5" t="str">
        <f>IFERROR(IF(Portafolio_Proyectos!$AR464="","",Portafolio_Proyectos!$D464),"")</f>
        <v/>
      </c>
      <c r="G1393" s="5" t="str">
        <f>IFERROR(IF(Portafolio_Proyectos!$AR464="","",Portafolio_Proyectos!$A464),"")</f>
        <v/>
      </c>
      <c r="H1393" s="5" t="str">
        <f>IFERROR(IF(Portafolio_Proyectos!$AR464="","",Portafolio_Proyectos!$E464),"")</f>
        <v/>
      </c>
    </row>
    <row r="1394" spans="1:8" x14ac:dyDescent="0.35">
      <c r="A1394" s="5" t="str">
        <f>IFERROR(IF(Portafolio_Proyectos!$AP465="","","CAP-"&amp;ROW()-1),"")</f>
        <v/>
      </c>
      <c r="B1394" s="5" t="str">
        <f>IFERROR(IF(Portafolio_Proyectos!$AP465="","",Portafolio_Proyectos!$AP465),"")</f>
        <v/>
      </c>
      <c r="C1394" s="5" t="str">
        <f>IFERROR(IF(Portafolio_Proyectos!$AP465="","","Emergente"),"")</f>
        <v/>
      </c>
      <c r="D1394" s="5" t="str">
        <f>IFERROR(IF(Portafolio_Proyectos!$AP465="","",Portafolio_Proyectos!$C465),"")</f>
        <v/>
      </c>
      <c r="E1394" s="5" t="str">
        <f>IFERROR(IF(Portafolio_Proyectos!$AP465="","",Portafolio_Proyectos!$B465),"")</f>
        <v/>
      </c>
      <c r="F1394" s="5" t="str">
        <f>IFERROR(IF(Portafolio_Proyectos!$AP465="","",Portafolio_Proyectos!$D465),"")</f>
        <v/>
      </c>
      <c r="G1394" s="5" t="str">
        <f>IFERROR(IF(Portafolio_Proyectos!$AP465="","",Portafolio_Proyectos!$A465),"")</f>
        <v/>
      </c>
      <c r="H1394" s="5" t="str">
        <f>IFERROR(IF(Portafolio_Proyectos!$AP465="","",Portafolio_Proyectos!$E465),"")</f>
        <v/>
      </c>
    </row>
    <row r="1395" spans="1:8" x14ac:dyDescent="0.35">
      <c r="A1395" s="5" t="str">
        <f>IFERROR(IF(Portafolio_Proyectos!$AQ465="","","CAP-"&amp;ROW()-1),"")</f>
        <v/>
      </c>
      <c r="B1395" s="5" t="str">
        <f>IFERROR(IF(Portafolio_Proyectos!$AQ465="","",Portafolio_Proyectos!$AQ465),"")</f>
        <v/>
      </c>
      <c r="C1395" s="5" t="str">
        <f>IFERROR(IF(Portafolio_Proyectos!$AQ465="","","Consolidada"),"")</f>
        <v/>
      </c>
      <c r="D1395" s="5" t="str">
        <f>IFERROR(IF(Portafolio_Proyectos!$AQ465="","",Portafolio_Proyectos!$C465),"")</f>
        <v/>
      </c>
      <c r="E1395" s="5" t="str">
        <f>IFERROR(IF(Portafolio_Proyectos!$AQ465="","",Portafolio_Proyectos!$B465),"")</f>
        <v/>
      </c>
      <c r="F1395" s="5" t="str">
        <f>IFERROR(IF(Portafolio_Proyectos!$AQ465="","",Portafolio_Proyectos!$D465),"")</f>
        <v/>
      </c>
      <c r="G1395" s="5" t="str">
        <f>IFERROR(IF(Portafolio_Proyectos!$AQ465="","",Portafolio_Proyectos!$A465),"")</f>
        <v/>
      </c>
      <c r="H1395" s="5" t="str">
        <f>IFERROR(IF(Portafolio_Proyectos!$AQ465="","",Portafolio_Proyectos!$E465),"")</f>
        <v/>
      </c>
    </row>
    <row r="1396" spans="1:8" x14ac:dyDescent="0.35">
      <c r="A1396" s="5" t="str">
        <f>IFERROR(IF(Portafolio_Proyectos!$AR465="","","CAP-"&amp;ROW()-1),"")</f>
        <v/>
      </c>
      <c r="B1396" s="5" t="str">
        <f>IFERROR(IF(Portafolio_Proyectos!$AR465="","",Portafolio_Proyectos!$AR465),"")</f>
        <v/>
      </c>
      <c r="C1396" s="5" t="str">
        <f>IFERROR(IF(Portafolio_Proyectos!$AR465="","","Distintiva"),"")</f>
        <v/>
      </c>
      <c r="D1396" s="5" t="str">
        <f>IFERROR(IF(Portafolio_Proyectos!$AR465="","",Portafolio_Proyectos!$C465),"")</f>
        <v/>
      </c>
      <c r="E1396" s="5" t="str">
        <f>IFERROR(IF(Portafolio_Proyectos!$AR465="","",Portafolio_Proyectos!$B465),"")</f>
        <v/>
      </c>
      <c r="F1396" s="5" t="str">
        <f>IFERROR(IF(Portafolio_Proyectos!$AR465="","",Portafolio_Proyectos!$D465),"")</f>
        <v/>
      </c>
      <c r="G1396" s="5" t="str">
        <f>IFERROR(IF(Portafolio_Proyectos!$AR465="","",Portafolio_Proyectos!$A465),"")</f>
        <v/>
      </c>
      <c r="H1396" s="5" t="str">
        <f>IFERROR(IF(Portafolio_Proyectos!$AR465="","",Portafolio_Proyectos!$E465),"")</f>
        <v/>
      </c>
    </row>
    <row r="1397" spans="1:8" x14ac:dyDescent="0.35">
      <c r="A1397" s="5" t="str">
        <f>IFERROR(IF(Portafolio_Proyectos!$AP466="","","CAP-"&amp;ROW()-1),"")</f>
        <v/>
      </c>
      <c r="B1397" s="5" t="str">
        <f>IFERROR(IF(Portafolio_Proyectos!$AP466="","",Portafolio_Proyectos!$AP466),"")</f>
        <v/>
      </c>
      <c r="C1397" s="5" t="str">
        <f>IFERROR(IF(Portafolio_Proyectos!$AP466="","","Emergente"),"")</f>
        <v/>
      </c>
      <c r="D1397" s="5" t="str">
        <f>IFERROR(IF(Portafolio_Proyectos!$AP466="","",Portafolio_Proyectos!$C466),"")</f>
        <v/>
      </c>
      <c r="E1397" s="5" t="str">
        <f>IFERROR(IF(Portafolio_Proyectos!$AP466="","",Portafolio_Proyectos!$B466),"")</f>
        <v/>
      </c>
      <c r="F1397" s="5" t="str">
        <f>IFERROR(IF(Portafolio_Proyectos!$AP466="","",Portafolio_Proyectos!$D466),"")</f>
        <v/>
      </c>
      <c r="G1397" s="5" t="str">
        <f>IFERROR(IF(Portafolio_Proyectos!$AP466="","",Portafolio_Proyectos!$A466),"")</f>
        <v/>
      </c>
      <c r="H1397" s="5" t="str">
        <f>IFERROR(IF(Portafolio_Proyectos!$AP466="","",Portafolio_Proyectos!$E466),"")</f>
        <v/>
      </c>
    </row>
    <row r="1398" spans="1:8" x14ac:dyDescent="0.35">
      <c r="A1398" s="5" t="str">
        <f>IFERROR(IF(Portafolio_Proyectos!$AQ466="","","CAP-"&amp;ROW()-1),"")</f>
        <v/>
      </c>
      <c r="B1398" s="5" t="str">
        <f>IFERROR(IF(Portafolio_Proyectos!$AQ466="","",Portafolio_Proyectos!$AQ466),"")</f>
        <v/>
      </c>
      <c r="C1398" s="5" t="str">
        <f>IFERROR(IF(Portafolio_Proyectos!$AQ466="","","Consolidada"),"")</f>
        <v/>
      </c>
      <c r="D1398" s="5" t="str">
        <f>IFERROR(IF(Portafolio_Proyectos!$AQ466="","",Portafolio_Proyectos!$C466),"")</f>
        <v/>
      </c>
      <c r="E1398" s="5" t="str">
        <f>IFERROR(IF(Portafolio_Proyectos!$AQ466="","",Portafolio_Proyectos!$B466),"")</f>
        <v/>
      </c>
      <c r="F1398" s="5" t="str">
        <f>IFERROR(IF(Portafolio_Proyectos!$AQ466="","",Portafolio_Proyectos!$D466),"")</f>
        <v/>
      </c>
      <c r="G1398" s="5" t="str">
        <f>IFERROR(IF(Portafolio_Proyectos!$AQ466="","",Portafolio_Proyectos!$A466),"")</f>
        <v/>
      </c>
      <c r="H1398" s="5" t="str">
        <f>IFERROR(IF(Portafolio_Proyectos!$AQ466="","",Portafolio_Proyectos!$E466),"")</f>
        <v/>
      </c>
    </row>
    <row r="1399" spans="1:8" x14ac:dyDescent="0.35">
      <c r="A1399" s="5" t="str">
        <f>IFERROR(IF(Portafolio_Proyectos!$AR466="","","CAP-"&amp;ROW()-1),"")</f>
        <v/>
      </c>
      <c r="B1399" s="5" t="str">
        <f>IFERROR(IF(Portafolio_Proyectos!$AR466="","",Portafolio_Proyectos!$AR466),"")</f>
        <v/>
      </c>
      <c r="C1399" s="5" t="str">
        <f>IFERROR(IF(Portafolio_Proyectos!$AR466="","","Distintiva"),"")</f>
        <v/>
      </c>
      <c r="D1399" s="5" t="str">
        <f>IFERROR(IF(Portafolio_Proyectos!$AR466="","",Portafolio_Proyectos!$C466),"")</f>
        <v/>
      </c>
      <c r="E1399" s="5" t="str">
        <f>IFERROR(IF(Portafolio_Proyectos!$AR466="","",Portafolio_Proyectos!$B466),"")</f>
        <v/>
      </c>
      <c r="F1399" s="5" t="str">
        <f>IFERROR(IF(Portafolio_Proyectos!$AR466="","",Portafolio_Proyectos!$D466),"")</f>
        <v/>
      </c>
      <c r="G1399" s="5" t="str">
        <f>IFERROR(IF(Portafolio_Proyectos!$AR466="","",Portafolio_Proyectos!$A466),"")</f>
        <v/>
      </c>
      <c r="H1399" s="5" t="str">
        <f>IFERROR(IF(Portafolio_Proyectos!$AR466="","",Portafolio_Proyectos!$E466),"")</f>
        <v/>
      </c>
    </row>
    <row r="1400" spans="1:8" x14ac:dyDescent="0.35">
      <c r="A1400" s="5" t="str">
        <f>IFERROR(IF(Portafolio_Proyectos!$AP467="","","CAP-"&amp;ROW()-1),"")</f>
        <v/>
      </c>
      <c r="B1400" s="5" t="str">
        <f>IFERROR(IF(Portafolio_Proyectos!$AP467="","",Portafolio_Proyectos!$AP467),"")</f>
        <v/>
      </c>
      <c r="C1400" s="5" t="str">
        <f>IFERROR(IF(Portafolio_Proyectos!$AP467="","","Emergente"),"")</f>
        <v/>
      </c>
      <c r="D1400" s="5" t="str">
        <f>IFERROR(IF(Portafolio_Proyectos!$AP467="","",Portafolio_Proyectos!$C467),"")</f>
        <v/>
      </c>
      <c r="E1400" s="5" t="str">
        <f>IFERROR(IF(Portafolio_Proyectos!$AP467="","",Portafolio_Proyectos!$B467),"")</f>
        <v/>
      </c>
      <c r="F1400" s="5" t="str">
        <f>IFERROR(IF(Portafolio_Proyectos!$AP467="","",Portafolio_Proyectos!$D467),"")</f>
        <v/>
      </c>
      <c r="G1400" s="5" t="str">
        <f>IFERROR(IF(Portafolio_Proyectos!$AP467="","",Portafolio_Proyectos!$A467),"")</f>
        <v/>
      </c>
      <c r="H1400" s="5" t="str">
        <f>IFERROR(IF(Portafolio_Proyectos!$AP467="","",Portafolio_Proyectos!$E467),"")</f>
        <v/>
      </c>
    </row>
    <row r="1401" spans="1:8" x14ac:dyDescent="0.35">
      <c r="A1401" s="5" t="str">
        <f>IFERROR(IF(Portafolio_Proyectos!$AQ467="","","CAP-"&amp;ROW()-1),"")</f>
        <v/>
      </c>
      <c r="B1401" s="5" t="str">
        <f>IFERROR(IF(Portafolio_Proyectos!$AQ467="","",Portafolio_Proyectos!$AQ467),"")</f>
        <v/>
      </c>
      <c r="C1401" s="5" t="str">
        <f>IFERROR(IF(Portafolio_Proyectos!$AQ467="","","Consolidada"),"")</f>
        <v/>
      </c>
      <c r="D1401" s="5" t="str">
        <f>IFERROR(IF(Portafolio_Proyectos!$AQ467="","",Portafolio_Proyectos!$C467),"")</f>
        <v/>
      </c>
      <c r="E1401" s="5" t="str">
        <f>IFERROR(IF(Portafolio_Proyectos!$AQ467="","",Portafolio_Proyectos!$B467),"")</f>
        <v/>
      </c>
      <c r="F1401" s="5" t="str">
        <f>IFERROR(IF(Portafolio_Proyectos!$AQ467="","",Portafolio_Proyectos!$D467),"")</f>
        <v/>
      </c>
      <c r="G1401" s="5" t="str">
        <f>IFERROR(IF(Portafolio_Proyectos!$AQ467="","",Portafolio_Proyectos!$A467),"")</f>
        <v/>
      </c>
      <c r="H1401" s="5" t="str">
        <f>IFERROR(IF(Portafolio_Proyectos!$AQ467="","",Portafolio_Proyectos!$E467),"")</f>
        <v/>
      </c>
    </row>
    <row r="1402" spans="1:8" x14ac:dyDescent="0.35">
      <c r="A1402" s="5" t="str">
        <f>IFERROR(IF(Portafolio_Proyectos!$AR467="","","CAP-"&amp;ROW()-1),"")</f>
        <v/>
      </c>
      <c r="B1402" s="5" t="str">
        <f>IFERROR(IF(Portafolio_Proyectos!$AR467="","",Portafolio_Proyectos!$AR467),"")</f>
        <v/>
      </c>
      <c r="C1402" s="5" t="str">
        <f>IFERROR(IF(Portafolio_Proyectos!$AR467="","","Distintiva"),"")</f>
        <v/>
      </c>
      <c r="D1402" s="5" t="str">
        <f>IFERROR(IF(Portafolio_Proyectos!$AR467="","",Portafolio_Proyectos!$C467),"")</f>
        <v/>
      </c>
      <c r="E1402" s="5" t="str">
        <f>IFERROR(IF(Portafolio_Proyectos!$AR467="","",Portafolio_Proyectos!$B467),"")</f>
        <v/>
      </c>
      <c r="F1402" s="5" t="str">
        <f>IFERROR(IF(Portafolio_Proyectos!$AR467="","",Portafolio_Proyectos!$D467),"")</f>
        <v/>
      </c>
      <c r="G1402" s="5" t="str">
        <f>IFERROR(IF(Portafolio_Proyectos!$AR467="","",Portafolio_Proyectos!$A467),"")</f>
        <v/>
      </c>
      <c r="H1402" s="5" t="str">
        <f>IFERROR(IF(Portafolio_Proyectos!$AR467="","",Portafolio_Proyectos!$E467),"")</f>
        <v/>
      </c>
    </row>
    <row r="1403" spans="1:8" x14ac:dyDescent="0.35">
      <c r="A1403" s="5" t="str">
        <f>IFERROR(IF(Portafolio_Proyectos!$AP468="","","CAP-"&amp;ROW()-1),"")</f>
        <v/>
      </c>
      <c r="B1403" s="5" t="str">
        <f>IFERROR(IF(Portafolio_Proyectos!$AP468="","",Portafolio_Proyectos!$AP468),"")</f>
        <v/>
      </c>
      <c r="C1403" s="5" t="str">
        <f>IFERROR(IF(Portafolio_Proyectos!$AP468="","","Emergente"),"")</f>
        <v/>
      </c>
      <c r="D1403" s="5" t="str">
        <f>IFERROR(IF(Portafolio_Proyectos!$AP468="","",Portafolio_Proyectos!$C468),"")</f>
        <v/>
      </c>
      <c r="E1403" s="5" t="str">
        <f>IFERROR(IF(Portafolio_Proyectos!$AP468="","",Portafolio_Proyectos!$B468),"")</f>
        <v/>
      </c>
      <c r="F1403" s="5" t="str">
        <f>IFERROR(IF(Portafolio_Proyectos!$AP468="","",Portafolio_Proyectos!$D468),"")</f>
        <v/>
      </c>
      <c r="G1403" s="5" t="str">
        <f>IFERROR(IF(Portafolio_Proyectos!$AP468="","",Portafolio_Proyectos!$A468),"")</f>
        <v/>
      </c>
      <c r="H1403" s="5" t="str">
        <f>IFERROR(IF(Portafolio_Proyectos!$AP468="","",Portafolio_Proyectos!$E468),"")</f>
        <v/>
      </c>
    </row>
    <row r="1404" spans="1:8" x14ac:dyDescent="0.35">
      <c r="A1404" s="5" t="str">
        <f>IFERROR(IF(Portafolio_Proyectos!$AQ468="","","CAP-"&amp;ROW()-1),"")</f>
        <v/>
      </c>
      <c r="B1404" s="5" t="str">
        <f>IFERROR(IF(Portafolio_Proyectos!$AQ468="","",Portafolio_Proyectos!$AQ468),"")</f>
        <v/>
      </c>
      <c r="C1404" s="5" t="str">
        <f>IFERROR(IF(Portafolio_Proyectos!$AQ468="","","Consolidada"),"")</f>
        <v/>
      </c>
      <c r="D1404" s="5" t="str">
        <f>IFERROR(IF(Portafolio_Proyectos!$AQ468="","",Portafolio_Proyectos!$C468),"")</f>
        <v/>
      </c>
      <c r="E1404" s="5" t="str">
        <f>IFERROR(IF(Portafolio_Proyectos!$AQ468="","",Portafolio_Proyectos!$B468),"")</f>
        <v/>
      </c>
      <c r="F1404" s="5" t="str">
        <f>IFERROR(IF(Portafolio_Proyectos!$AQ468="","",Portafolio_Proyectos!$D468),"")</f>
        <v/>
      </c>
      <c r="G1404" s="5" t="str">
        <f>IFERROR(IF(Portafolio_Proyectos!$AQ468="","",Portafolio_Proyectos!$A468),"")</f>
        <v/>
      </c>
      <c r="H1404" s="5" t="str">
        <f>IFERROR(IF(Portafolio_Proyectos!$AQ468="","",Portafolio_Proyectos!$E468),"")</f>
        <v/>
      </c>
    </row>
    <row r="1405" spans="1:8" x14ac:dyDescent="0.35">
      <c r="A1405" s="5" t="str">
        <f>IFERROR(IF(Portafolio_Proyectos!$AR468="","","CAP-"&amp;ROW()-1),"")</f>
        <v/>
      </c>
      <c r="B1405" s="5" t="str">
        <f>IFERROR(IF(Portafolio_Proyectos!$AR468="","",Portafolio_Proyectos!$AR468),"")</f>
        <v/>
      </c>
      <c r="C1405" s="5" t="str">
        <f>IFERROR(IF(Portafolio_Proyectos!$AR468="","","Distintiva"),"")</f>
        <v/>
      </c>
      <c r="D1405" s="5" t="str">
        <f>IFERROR(IF(Portafolio_Proyectos!$AR468="","",Portafolio_Proyectos!$C468),"")</f>
        <v/>
      </c>
      <c r="E1405" s="5" t="str">
        <f>IFERROR(IF(Portafolio_Proyectos!$AR468="","",Portafolio_Proyectos!$B468),"")</f>
        <v/>
      </c>
      <c r="F1405" s="5" t="str">
        <f>IFERROR(IF(Portafolio_Proyectos!$AR468="","",Portafolio_Proyectos!$D468),"")</f>
        <v/>
      </c>
      <c r="G1405" s="5" t="str">
        <f>IFERROR(IF(Portafolio_Proyectos!$AR468="","",Portafolio_Proyectos!$A468),"")</f>
        <v/>
      </c>
      <c r="H1405" s="5" t="str">
        <f>IFERROR(IF(Portafolio_Proyectos!$AR468="","",Portafolio_Proyectos!$E468),"")</f>
        <v/>
      </c>
    </row>
    <row r="1406" spans="1:8" x14ac:dyDescent="0.35">
      <c r="A1406" s="5" t="str">
        <f>IFERROR(IF(Portafolio_Proyectos!$AP469="","","CAP-"&amp;ROW()-1),"")</f>
        <v/>
      </c>
      <c r="B1406" s="5" t="str">
        <f>IFERROR(IF(Portafolio_Proyectos!$AP469="","",Portafolio_Proyectos!$AP469),"")</f>
        <v/>
      </c>
      <c r="C1406" s="5" t="str">
        <f>IFERROR(IF(Portafolio_Proyectos!$AP469="","","Emergente"),"")</f>
        <v/>
      </c>
      <c r="D1406" s="5" t="str">
        <f>IFERROR(IF(Portafolio_Proyectos!$AP469="","",Portafolio_Proyectos!$C469),"")</f>
        <v/>
      </c>
      <c r="E1406" s="5" t="str">
        <f>IFERROR(IF(Portafolio_Proyectos!$AP469="","",Portafolio_Proyectos!$B469),"")</f>
        <v/>
      </c>
      <c r="F1406" s="5" t="str">
        <f>IFERROR(IF(Portafolio_Proyectos!$AP469="","",Portafolio_Proyectos!$D469),"")</f>
        <v/>
      </c>
      <c r="G1406" s="5" t="str">
        <f>IFERROR(IF(Portafolio_Proyectos!$AP469="","",Portafolio_Proyectos!$A469),"")</f>
        <v/>
      </c>
      <c r="H1406" s="5" t="str">
        <f>IFERROR(IF(Portafolio_Proyectos!$AP469="","",Portafolio_Proyectos!$E469),"")</f>
        <v/>
      </c>
    </row>
    <row r="1407" spans="1:8" x14ac:dyDescent="0.35">
      <c r="A1407" s="5" t="str">
        <f>IFERROR(IF(Portafolio_Proyectos!$AQ469="","","CAP-"&amp;ROW()-1),"")</f>
        <v/>
      </c>
      <c r="B1407" s="5" t="str">
        <f>IFERROR(IF(Portafolio_Proyectos!$AQ469="","",Portafolio_Proyectos!$AQ469),"")</f>
        <v/>
      </c>
      <c r="C1407" s="5" t="str">
        <f>IFERROR(IF(Portafolio_Proyectos!$AQ469="","","Consolidada"),"")</f>
        <v/>
      </c>
      <c r="D1407" s="5" t="str">
        <f>IFERROR(IF(Portafolio_Proyectos!$AQ469="","",Portafolio_Proyectos!$C469),"")</f>
        <v/>
      </c>
      <c r="E1407" s="5" t="str">
        <f>IFERROR(IF(Portafolio_Proyectos!$AQ469="","",Portafolio_Proyectos!$B469),"")</f>
        <v/>
      </c>
      <c r="F1407" s="5" t="str">
        <f>IFERROR(IF(Portafolio_Proyectos!$AQ469="","",Portafolio_Proyectos!$D469),"")</f>
        <v/>
      </c>
      <c r="G1407" s="5" t="str">
        <f>IFERROR(IF(Portafolio_Proyectos!$AQ469="","",Portafolio_Proyectos!$A469),"")</f>
        <v/>
      </c>
      <c r="H1407" s="5" t="str">
        <f>IFERROR(IF(Portafolio_Proyectos!$AQ469="","",Portafolio_Proyectos!$E469),"")</f>
        <v/>
      </c>
    </row>
    <row r="1408" spans="1:8" x14ac:dyDescent="0.35">
      <c r="A1408" s="5" t="str">
        <f>IFERROR(IF(Portafolio_Proyectos!$AR469="","","CAP-"&amp;ROW()-1),"")</f>
        <v/>
      </c>
      <c r="B1408" s="5" t="str">
        <f>IFERROR(IF(Portafolio_Proyectos!$AR469="","",Portafolio_Proyectos!$AR469),"")</f>
        <v/>
      </c>
      <c r="C1408" s="5" t="str">
        <f>IFERROR(IF(Portafolio_Proyectos!$AR469="","","Distintiva"),"")</f>
        <v/>
      </c>
      <c r="D1408" s="5" t="str">
        <f>IFERROR(IF(Portafolio_Proyectos!$AR469="","",Portafolio_Proyectos!$C469),"")</f>
        <v/>
      </c>
      <c r="E1408" s="5" t="str">
        <f>IFERROR(IF(Portafolio_Proyectos!$AR469="","",Portafolio_Proyectos!$B469),"")</f>
        <v/>
      </c>
      <c r="F1408" s="5" t="str">
        <f>IFERROR(IF(Portafolio_Proyectos!$AR469="","",Portafolio_Proyectos!$D469),"")</f>
        <v/>
      </c>
      <c r="G1408" s="5" t="str">
        <f>IFERROR(IF(Portafolio_Proyectos!$AR469="","",Portafolio_Proyectos!$A469),"")</f>
        <v/>
      </c>
      <c r="H1408" s="5" t="str">
        <f>IFERROR(IF(Portafolio_Proyectos!$AR469="","",Portafolio_Proyectos!$E469),"")</f>
        <v/>
      </c>
    </row>
    <row r="1409" spans="1:8" x14ac:dyDescent="0.35">
      <c r="A1409" s="5" t="str">
        <f>IFERROR(IF(Portafolio_Proyectos!$AP470="","","CAP-"&amp;ROW()-1),"")</f>
        <v/>
      </c>
      <c r="B1409" s="5" t="str">
        <f>IFERROR(IF(Portafolio_Proyectos!$AP470="","",Portafolio_Proyectos!$AP470),"")</f>
        <v/>
      </c>
      <c r="C1409" s="5" t="str">
        <f>IFERROR(IF(Portafolio_Proyectos!$AP470="","","Emergente"),"")</f>
        <v/>
      </c>
      <c r="D1409" s="5" t="str">
        <f>IFERROR(IF(Portafolio_Proyectos!$AP470="","",Portafolio_Proyectos!$C470),"")</f>
        <v/>
      </c>
      <c r="E1409" s="5" t="str">
        <f>IFERROR(IF(Portafolio_Proyectos!$AP470="","",Portafolio_Proyectos!$B470),"")</f>
        <v/>
      </c>
      <c r="F1409" s="5" t="str">
        <f>IFERROR(IF(Portafolio_Proyectos!$AP470="","",Portafolio_Proyectos!$D470),"")</f>
        <v/>
      </c>
      <c r="G1409" s="5" t="str">
        <f>IFERROR(IF(Portafolio_Proyectos!$AP470="","",Portafolio_Proyectos!$A470),"")</f>
        <v/>
      </c>
      <c r="H1409" s="5" t="str">
        <f>IFERROR(IF(Portafolio_Proyectos!$AP470="","",Portafolio_Proyectos!$E470),"")</f>
        <v/>
      </c>
    </row>
    <row r="1410" spans="1:8" x14ac:dyDescent="0.35">
      <c r="A1410" s="5" t="str">
        <f>IFERROR(IF(Portafolio_Proyectos!$AQ470="","","CAP-"&amp;ROW()-1),"")</f>
        <v/>
      </c>
      <c r="B1410" s="5" t="str">
        <f>IFERROR(IF(Portafolio_Proyectos!$AQ470="","",Portafolio_Proyectos!$AQ470),"")</f>
        <v/>
      </c>
      <c r="C1410" s="5" t="str">
        <f>IFERROR(IF(Portafolio_Proyectos!$AQ470="","","Consolidada"),"")</f>
        <v/>
      </c>
      <c r="D1410" s="5" t="str">
        <f>IFERROR(IF(Portafolio_Proyectos!$AQ470="","",Portafolio_Proyectos!$C470),"")</f>
        <v/>
      </c>
      <c r="E1410" s="5" t="str">
        <f>IFERROR(IF(Portafolio_Proyectos!$AQ470="","",Portafolio_Proyectos!$B470),"")</f>
        <v/>
      </c>
      <c r="F1410" s="5" t="str">
        <f>IFERROR(IF(Portafolio_Proyectos!$AQ470="","",Portafolio_Proyectos!$D470),"")</f>
        <v/>
      </c>
      <c r="G1410" s="5" t="str">
        <f>IFERROR(IF(Portafolio_Proyectos!$AQ470="","",Portafolio_Proyectos!$A470),"")</f>
        <v/>
      </c>
      <c r="H1410" s="5" t="str">
        <f>IFERROR(IF(Portafolio_Proyectos!$AQ470="","",Portafolio_Proyectos!$E470),"")</f>
        <v/>
      </c>
    </row>
    <row r="1411" spans="1:8" x14ac:dyDescent="0.35">
      <c r="A1411" s="5" t="str">
        <f>IFERROR(IF(Portafolio_Proyectos!$AR470="","","CAP-"&amp;ROW()-1),"")</f>
        <v/>
      </c>
      <c r="B1411" s="5" t="str">
        <f>IFERROR(IF(Portafolio_Proyectos!$AR470="","",Portafolio_Proyectos!$AR470),"")</f>
        <v/>
      </c>
      <c r="C1411" s="5" t="str">
        <f>IFERROR(IF(Portafolio_Proyectos!$AR470="","","Distintiva"),"")</f>
        <v/>
      </c>
      <c r="D1411" s="5" t="str">
        <f>IFERROR(IF(Portafolio_Proyectos!$AR470="","",Portafolio_Proyectos!$C470),"")</f>
        <v/>
      </c>
      <c r="E1411" s="5" t="str">
        <f>IFERROR(IF(Portafolio_Proyectos!$AR470="","",Portafolio_Proyectos!$B470),"")</f>
        <v/>
      </c>
      <c r="F1411" s="5" t="str">
        <f>IFERROR(IF(Portafolio_Proyectos!$AR470="","",Portafolio_Proyectos!$D470),"")</f>
        <v/>
      </c>
      <c r="G1411" s="5" t="str">
        <f>IFERROR(IF(Portafolio_Proyectos!$AR470="","",Portafolio_Proyectos!$A470),"")</f>
        <v/>
      </c>
      <c r="H1411" s="5" t="str">
        <f>IFERROR(IF(Portafolio_Proyectos!$AR470="","",Portafolio_Proyectos!$E470),"")</f>
        <v/>
      </c>
    </row>
    <row r="1412" spans="1:8" x14ac:dyDescent="0.35">
      <c r="A1412" s="5" t="str">
        <f>IFERROR(IF(Portafolio_Proyectos!$AP471="","","CAP-"&amp;ROW()-1),"")</f>
        <v/>
      </c>
      <c r="B1412" s="5" t="str">
        <f>IFERROR(IF(Portafolio_Proyectos!$AP471="","",Portafolio_Proyectos!$AP471),"")</f>
        <v/>
      </c>
      <c r="C1412" s="5" t="str">
        <f>IFERROR(IF(Portafolio_Proyectos!$AP471="","","Emergente"),"")</f>
        <v/>
      </c>
      <c r="D1412" s="5" t="str">
        <f>IFERROR(IF(Portafolio_Proyectos!$AP471="","",Portafolio_Proyectos!$C471),"")</f>
        <v/>
      </c>
      <c r="E1412" s="5" t="str">
        <f>IFERROR(IF(Portafolio_Proyectos!$AP471="","",Portafolio_Proyectos!$B471),"")</f>
        <v/>
      </c>
      <c r="F1412" s="5" t="str">
        <f>IFERROR(IF(Portafolio_Proyectos!$AP471="","",Portafolio_Proyectos!$D471),"")</f>
        <v/>
      </c>
      <c r="G1412" s="5" t="str">
        <f>IFERROR(IF(Portafolio_Proyectos!$AP471="","",Portafolio_Proyectos!$A471),"")</f>
        <v/>
      </c>
      <c r="H1412" s="5" t="str">
        <f>IFERROR(IF(Portafolio_Proyectos!$AP471="","",Portafolio_Proyectos!$E471),"")</f>
        <v/>
      </c>
    </row>
    <row r="1413" spans="1:8" x14ac:dyDescent="0.35">
      <c r="A1413" s="5" t="str">
        <f>IFERROR(IF(Portafolio_Proyectos!$AQ471="","","CAP-"&amp;ROW()-1),"")</f>
        <v/>
      </c>
      <c r="B1413" s="5" t="str">
        <f>IFERROR(IF(Portafolio_Proyectos!$AQ471="","",Portafolio_Proyectos!$AQ471),"")</f>
        <v/>
      </c>
      <c r="C1413" s="5" t="str">
        <f>IFERROR(IF(Portafolio_Proyectos!$AQ471="","","Consolidada"),"")</f>
        <v/>
      </c>
      <c r="D1413" s="5" t="str">
        <f>IFERROR(IF(Portafolio_Proyectos!$AQ471="","",Portafolio_Proyectos!$C471),"")</f>
        <v/>
      </c>
      <c r="E1413" s="5" t="str">
        <f>IFERROR(IF(Portafolio_Proyectos!$AQ471="","",Portafolio_Proyectos!$B471),"")</f>
        <v/>
      </c>
      <c r="F1413" s="5" t="str">
        <f>IFERROR(IF(Portafolio_Proyectos!$AQ471="","",Portafolio_Proyectos!$D471),"")</f>
        <v/>
      </c>
      <c r="G1413" s="5" t="str">
        <f>IFERROR(IF(Portafolio_Proyectos!$AQ471="","",Portafolio_Proyectos!$A471),"")</f>
        <v/>
      </c>
      <c r="H1413" s="5" t="str">
        <f>IFERROR(IF(Portafolio_Proyectos!$AQ471="","",Portafolio_Proyectos!$E471),"")</f>
        <v/>
      </c>
    </row>
    <row r="1414" spans="1:8" x14ac:dyDescent="0.35">
      <c r="A1414" s="5" t="str">
        <f>IFERROR(IF(Portafolio_Proyectos!$AR471="","","CAP-"&amp;ROW()-1),"")</f>
        <v/>
      </c>
      <c r="B1414" s="5" t="str">
        <f>IFERROR(IF(Portafolio_Proyectos!$AR471="","",Portafolio_Proyectos!$AR471),"")</f>
        <v/>
      </c>
      <c r="C1414" s="5" t="str">
        <f>IFERROR(IF(Portafolio_Proyectos!$AR471="","","Distintiva"),"")</f>
        <v/>
      </c>
      <c r="D1414" s="5" t="str">
        <f>IFERROR(IF(Portafolio_Proyectos!$AR471="","",Portafolio_Proyectos!$C471),"")</f>
        <v/>
      </c>
      <c r="E1414" s="5" t="str">
        <f>IFERROR(IF(Portafolio_Proyectos!$AR471="","",Portafolio_Proyectos!$B471),"")</f>
        <v/>
      </c>
      <c r="F1414" s="5" t="str">
        <f>IFERROR(IF(Portafolio_Proyectos!$AR471="","",Portafolio_Proyectos!$D471),"")</f>
        <v/>
      </c>
      <c r="G1414" s="5" t="str">
        <f>IFERROR(IF(Portafolio_Proyectos!$AR471="","",Portafolio_Proyectos!$A471),"")</f>
        <v/>
      </c>
      <c r="H1414" s="5" t="str">
        <f>IFERROR(IF(Portafolio_Proyectos!$AR471="","",Portafolio_Proyectos!$E471),"")</f>
        <v/>
      </c>
    </row>
    <row r="1415" spans="1:8" x14ac:dyDescent="0.35">
      <c r="A1415" s="5" t="str">
        <f>IFERROR(IF(Portafolio_Proyectos!$AP472="","","CAP-"&amp;ROW()-1),"")</f>
        <v/>
      </c>
      <c r="B1415" s="5" t="str">
        <f>IFERROR(IF(Portafolio_Proyectos!$AP472="","",Portafolio_Proyectos!$AP472),"")</f>
        <v/>
      </c>
      <c r="C1415" s="5" t="str">
        <f>IFERROR(IF(Portafolio_Proyectos!$AP472="","","Emergente"),"")</f>
        <v/>
      </c>
      <c r="D1415" s="5" t="str">
        <f>IFERROR(IF(Portafolio_Proyectos!$AP472="","",Portafolio_Proyectos!$C472),"")</f>
        <v/>
      </c>
      <c r="E1415" s="5" t="str">
        <f>IFERROR(IF(Portafolio_Proyectos!$AP472="","",Portafolio_Proyectos!$B472),"")</f>
        <v/>
      </c>
      <c r="F1415" s="5" t="str">
        <f>IFERROR(IF(Portafolio_Proyectos!$AP472="","",Portafolio_Proyectos!$D472),"")</f>
        <v/>
      </c>
      <c r="G1415" s="5" t="str">
        <f>IFERROR(IF(Portafolio_Proyectos!$AP472="","",Portafolio_Proyectos!$A472),"")</f>
        <v/>
      </c>
      <c r="H1415" s="5" t="str">
        <f>IFERROR(IF(Portafolio_Proyectos!$AP472="","",Portafolio_Proyectos!$E472),"")</f>
        <v/>
      </c>
    </row>
    <row r="1416" spans="1:8" x14ac:dyDescent="0.35">
      <c r="A1416" s="5" t="str">
        <f>IFERROR(IF(Portafolio_Proyectos!$AQ472="","","CAP-"&amp;ROW()-1),"")</f>
        <v/>
      </c>
      <c r="B1416" s="5" t="str">
        <f>IFERROR(IF(Portafolio_Proyectos!$AQ472="","",Portafolio_Proyectos!$AQ472),"")</f>
        <v/>
      </c>
      <c r="C1416" s="5" t="str">
        <f>IFERROR(IF(Portafolio_Proyectos!$AQ472="","","Consolidada"),"")</f>
        <v/>
      </c>
      <c r="D1416" s="5" t="str">
        <f>IFERROR(IF(Portafolio_Proyectos!$AQ472="","",Portafolio_Proyectos!$C472),"")</f>
        <v/>
      </c>
      <c r="E1416" s="5" t="str">
        <f>IFERROR(IF(Portafolio_Proyectos!$AQ472="","",Portafolio_Proyectos!$B472),"")</f>
        <v/>
      </c>
      <c r="F1416" s="5" t="str">
        <f>IFERROR(IF(Portafolio_Proyectos!$AQ472="","",Portafolio_Proyectos!$D472),"")</f>
        <v/>
      </c>
      <c r="G1416" s="5" t="str">
        <f>IFERROR(IF(Portafolio_Proyectos!$AQ472="","",Portafolio_Proyectos!$A472),"")</f>
        <v/>
      </c>
      <c r="H1416" s="5" t="str">
        <f>IFERROR(IF(Portafolio_Proyectos!$AQ472="","",Portafolio_Proyectos!$E472),"")</f>
        <v/>
      </c>
    </row>
    <row r="1417" spans="1:8" x14ac:dyDescent="0.35">
      <c r="A1417" s="5" t="str">
        <f>IFERROR(IF(Portafolio_Proyectos!$AR472="","","CAP-"&amp;ROW()-1),"")</f>
        <v/>
      </c>
      <c r="B1417" s="5" t="str">
        <f>IFERROR(IF(Portafolio_Proyectos!$AR472="","",Portafolio_Proyectos!$AR472),"")</f>
        <v/>
      </c>
      <c r="C1417" s="5" t="str">
        <f>IFERROR(IF(Portafolio_Proyectos!$AR472="","","Distintiva"),"")</f>
        <v/>
      </c>
      <c r="D1417" s="5" t="str">
        <f>IFERROR(IF(Portafolio_Proyectos!$AR472="","",Portafolio_Proyectos!$C472),"")</f>
        <v/>
      </c>
      <c r="E1417" s="5" t="str">
        <f>IFERROR(IF(Portafolio_Proyectos!$AR472="","",Portafolio_Proyectos!$B472),"")</f>
        <v/>
      </c>
      <c r="F1417" s="5" t="str">
        <f>IFERROR(IF(Portafolio_Proyectos!$AR472="","",Portafolio_Proyectos!$D472),"")</f>
        <v/>
      </c>
      <c r="G1417" s="5" t="str">
        <f>IFERROR(IF(Portafolio_Proyectos!$AR472="","",Portafolio_Proyectos!$A472),"")</f>
        <v/>
      </c>
      <c r="H1417" s="5" t="str">
        <f>IFERROR(IF(Portafolio_Proyectos!$AR472="","",Portafolio_Proyectos!$E472),"")</f>
        <v/>
      </c>
    </row>
    <row r="1418" spans="1:8" x14ac:dyDescent="0.35">
      <c r="A1418" s="5" t="str">
        <f>IFERROR(IF(Portafolio_Proyectos!$AP473="","","CAP-"&amp;ROW()-1),"")</f>
        <v/>
      </c>
      <c r="B1418" s="5" t="str">
        <f>IFERROR(IF(Portafolio_Proyectos!$AP473="","",Portafolio_Proyectos!$AP473),"")</f>
        <v/>
      </c>
      <c r="C1418" s="5" t="str">
        <f>IFERROR(IF(Portafolio_Proyectos!$AP473="","","Emergente"),"")</f>
        <v/>
      </c>
      <c r="D1418" s="5" t="str">
        <f>IFERROR(IF(Portafolio_Proyectos!$AP473="","",Portafolio_Proyectos!$C473),"")</f>
        <v/>
      </c>
      <c r="E1418" s="5" t="str">
        <f>IFERROR(IF(Portafolio_Proyectos!$AP473="","",Portafolio_Proyectos!$B473),"")</f>
        <v/>
      </c>
      <c r="F1418" s="5" t="str">
        <f>IFERROR(IF(Portafolio_Proyectos!$AP473="","",Portafolio_Proyectos!$D473),"")</f>
        <v/>
      </c>
      <c r="G1418" s="5" t="str">
        <f>IFERROR(IF(Portafolio_Proyectos!$AP473="","",Portafolio_Proyectos!$A473),"")</f>
        <v/>
      </c>
      <c r="H1418" s="5" t="str">
        <f>IFERROR(IF(Portafolio_Proyectos!$AP473="","",Portafolio_Proyectos!$E473),"")</f>
        <v/>
      </c>
    </row>
    <row r="1419" spans="1:8" x14ac:dyDescent="0.35">
      <c r="A1419" s="5" t="str">
        <f>IFERROR(IF(Portafolio_Proyectos!$AQ473="","","CAP-"&amp;ROW()-1),"")</f>
        <v/>
      </c>
      <c r="B1419" s="5" t="str">
        <f>IFERROR(IF(Portafolio_Proyectos!$AQ473="","",Portafolio_Proyectos!$AQ473),"")</f>
        <v/>
      </c>
      <c r="C1419" s="5" t="str">
        <f>IFERROR(IF(Portafolio_Proyectos!$AQ473="","","Consolidada"),"")</f>
        <v/>
      </c>
      <c r="D1419" s="5" t="str">
        <f>IFERROR(IF(Portafolio_Proyectos!$AQ473="","",Portafolio_Proyectos!$C473),"")</f>
        <v/>
      </c>
      <c r="E1419" s="5" t="str">
        <f>IFERROR(IF(Portafolio_Proyectos!$AQ473="","",Portafolio_Proyectos!$B473),"")</f>
        <v/>
      </c>
      <c r="F1419" s="5" t="str">
        <f>IFERROR(IF(Portafolio_Proyectos!$AQ473="","",Portafolio_Proyectos!$D473),"")</f>
        <v/>
      </c>
      <c r="G1419" s="5" t="str">
        <f>IFERROR(IF(Portafolio_Proyectos!$AQ473="","",Portafolio_Proyectos!$A473),"")</f>
        <v/>
      </c>
      <c r="H1419" s="5" t="str">
        <f>IFERROR(IF(Portafolio_Proyectos!$AQ473="","",Portafolio_Proyectos!$E473),"")</f>
        <v/>
      </c>
    </row>
    <row r="1420" spans="1:8" x14ac:dyDescent="0.35">
      <c r="A1420" s="5" t="str">
        <f>IFERROR(IF(Portafolio_Proyectos!$AR473="","","CAP-"&amp;ROW()-1),"")</f>
        <v/>
      </c>
      <c r="B1420" s="5" t="str">
        <f>IFERROR(IF(Portafolio_Proyectos!$AR473="","",Portafolio_Proyectos!$AR473),"")</f>
        <v/>
      </c>
      <c r="C1420" s="5" t="str">
        <f>IFERROR(IF(Portafolio_Proyectos!$AR473="","","Distintiva"),"")</f>
        <v/>
      </c>
      <c r="D1420" s="5" t="str">
        <f>IFERROR(IF(Portafolio_Proyectos!$AR473="","",Portafolio_Proyectos!$C473),"")</f>
        <v/>
      </c>
      <c r="E1420" s="5" t="str">
        <f>IFERROR(IF(Portafolio_Proyectos!$AR473="","",Portafolio_Proyectos!$B473),"")</f>
        <v/>
      </c>
      <c r="F1420" s="5" t="str">
        <f>IFERROR(IF(Portafolio_Proyectos!$AR473="","",Portafolio_Proyectos!$D473),"")</f>
        <v/>
      </c>
      <c r="G1420" s="5" t="str">
        <f>IFERROR(IF(Portafolio_Proyectos!$AR473="","",Portafolio_Proyectos!$A473),"")</f>
        <v/>
      </c>
      <c r="H1420" s="5" t="str">
        <f>IFERROR(IF(Portafolio_Proyectos!$AR473="","",Portafolio_Proyectos!$E473),"")</f>
        <v/>
      </c>
    </row>
    <row r="1421" spans="1:8" x14ac:dyDescent="0.35">
      <c r="A1421" s="5" t="str">
        <f>IFERROR(IF(Portafolio_Proyectos!$AP474="","","CAP-"&amp;ROW()-1),"")</f>
        <v/>
      </c>
      <c r="B1421" s="5" t="str">
        <f>IFERROR(IF(Portafolio_Proyectos!$AP474="","",Portafolio_Proyectos!$AP474),"")</f>
        <v/>
      </c>
      <c r="C1421" s="5" t="str">
        <f>IFERROR(IF(Portafolio_Proyectos!$AP474="","","Emergente"),"")</f>
        <v/>
      </c>
      <c r="D1421" s="5" t="str">
        <f>IFERROR(IF(Portafolio_Proyectos!$AP474="","",Portafolio_Proyectos!$C474),"")</f>
        <v/>
      </c>
      <c r="E1421" s="5" t="str">
        <f>IFERROR(IF(Portafolio_Proyectos!$AP474="","",Portafolio_Proyectos!$B474),"")</f>
        <v/>
      </c>
      <c r="F1421" s="5" t="str">
        <f>IFERROR(IF(Portafolio_Proyectos!$AP474="","",Portafolio_Proyectos!$D474),"")</f>
        <v/>
      </c>
      <c r="G1421" s="5" t="str">
        <f>IFERROR(IF(Portafolio_Proyectos!$AP474="","",Portafolio_Proyectos!$A474),"")</f>
        <v/>
      </c>
      <c r="H1421" s="5" t="str">
        <f>IFERROR(IF(Portafolio_Proyectos!$AP474="","",Portafolio_Proyectos!$E474),"")</f>
        <v/>
      </c>
    </row>
    <row r="1422" spans="1:8" x14ac:dyDescent="0.35">
      <c r="A1422" s="5" t="str">
        <f>IFERROR(IF(Portafolio_Proyectos!$AQ474="","","CAP-"&amp;ROW()-1),"")</f>
        <v/>
      </c>
      <c r="B1422" s="5" t="str">
        <f>IFERROR(IF(Portafolio_Proyectos!$AQ474="","",Portafolio_Proyectos!$AQ474),"")</f>
        <v/>
      </c>
      <c r="C1422" s="5" t="str">
        <f>IFERROR(IF(Portafolio_Proyectos!$AQ474="","","Consolidada"),"")</f>
        <v/>
      </c>
      <c r="D1422" s="5" t="str">
        <f>IFERROR(IF(Portafolio_Proyectos!$AQ474="","",Portafolio_Proyectos!$C474),"")</f>
        <v/>
      </c>
      <c r="E1422" s="5" t="str">
        <f>IFERROR(IF(Portafolio_Proyectos!$AQ474="","",Portafolio_Proyectos!$B474),"")</f>
        <v/>
      </c>
      <c r="F1422" s="5" t="str">
        <f>IFERROR(IF(Portafolio_Proyectos!$AQ474="","",Portafolio_Proyectos!$D474),"")</f>
        <v/>
      </c>
      <c r="G1422" s="5" t="str">
        <f>IFERROR(IF(Portafolio_Proyectos!$AQ474="","",Portafolio_Proyectos!$A474),"")</f>
        <v/>
      </c>
      <c r="H1422" s="5" t="str">
        <f>IFERROR(IF(Portafolio_Proyectos!$AQ474="","",Portafolio_Proyectos!$E474),"")</f>
        <v/>
      </c>
    </row>
    <row r="1423" spans="1:8" x14ac:dyDescent="0.35">
      <c r="A1423" s="5" t="str">
        <f>IFERROR(IF(Portafolio_Proyectos!$AR474="","","CAP-"&amp;ROW()-1),"")</f>
        <v/>
      </c>
      <c r="B1423" s="5" t="str">
        <f>IFERROR(IF(Portafolio_Proyectos!$AR474="","",Portafolio_Proyectos!$AR474),"")</f>
        <v/>
      </c>
      <c r="C1423" s="5" t="str">
        <f>IFERROR(IF(Portafolio_Proyectos!$AR474="","","Distintiva"),"")</f>
        <v/>
      </c>
      <c r="D1423" s="5" t="str">
        <f>IFERROR(IF(Portafolio_Proyectos!$AR474="","",Portafolio_Proyectos!$C474),"")</f>
        <v/>
      </c>
      <c r="E1423" s="5" t="str">
        <f>IFERROR(IF(Portafolio_Proyectos!$AR474="","",Portafolio_Proyectos!$B474),"")</f>
        <v/>
      </c>
      <c r="F1423" s="5" t="str">
        <f>IFERROR(IF(Portafolio_Proyectos!$AR474="","",Portafolio_Proyectos!$D474),"")</f>
        <v/>
      </c>
      <c r="G1423" s="5" t="str">
        <f>IFERROR(IF(Portafolio_Proyectos!$AR474="","",Portafolio_Proyectos!$A474),"")</f>
        <v/>
      </c>
      <c r="H1423" s="5" t="str">
        <f>IFERROR(IF(Portafolio_Proyectos!$AR474="","",Portafolio_Proyectos!$E474),"")</f>
        <v/>
      </c>
    </row>
    <row r="1424" spans="1:8" x14ac:dyDescent="0.35">
      <c r="A1424" s="5" t="str">
        <f>IFERROR(IF(Portafolio_Proyectos!$AP475="","","CAP-"&amp;ROW()-1),"")</f>
        <v/>
      </c>
      <c r="B1424" s="5" t="str">
        <f>IFERROR(IF(Portafolio_Proyectos!$AP475="","",Portafolio_Proyectos!$AP475),"")</f>
        <v/>
      </c>
      <c r="C1424" s="5" t="str">
        <f>IFERROR(IF(Portafolio_Proyectos!$AP475="","","Emergente"),"")</f>
        <v/>
      </c>
      <c r="D1424" s="5" t="str">
        <f>IFERROR(IF(Portafolio_Proyectos!$AP475="","",Portafolio_Proyectos!$C475),"")</f>
        <v/>
      </c>
      <c r="E1424" s="5" t="str">
        <f>IFERROR(IF(Portafolio_Proyectos!$AP475="","",Portafolio_Proyectos!$B475),"")</f>
        <v/>
      </c>
      <c r="F1424" s="5" t="str">
        <f>IFERROR(IF(Portafolio_Proyectos!$AP475="","",Portafolio_Proyectos!$D475),"")</f>
        <v/>
      </c>
      <c r="G1424" s="5" t="str">
        <f>IFERROR(IF(Portafolio_Proyectos!$AP475="","",Portafolio_Proyectos!$A475),"")</f>
        <v/>
      </c>
      <c r="H1424" s="5" t="str">
        <f>IFERROR(IF(Portafolio_Proyectos!$AP475="","",Portafolio_Proyectos!$E475),"")</f>
        <v/>
      </c>
    </row>
    <row r="1425" spans="1:8" x14ac:dyDescent="0.35">
      <c r="A1425" s="5" t="str">
        <f>IFERROR(IF(Portafolio_Proyectos!$AQ475="","","CAP-"&amp;ROW()-1),"")</f>
        <v/>
      </c>
      <c r="B1425" s="5" t="str">
        <f>IFERROR(IF(Portafolio_Proyectos!$AQ475="","",Portafolio_Proyectos!$AQ475),"")</f>
        <v/>
      </c>
      <c r="C1425" s="5" t="str">
        <f>IFERROR(IF(Portafolio_Proyectos!$AQ475="","","Consolidada"),"")</f>
        <v/>
      </c>
      <c r="D1425" s="5" t="str">
        <f>IFERROR(IF(Portafolio_Proyectos!$AQ475="","",Portafolio_Proyectos!$C475),"")</f>
        <v/>
      </c>
      <c r="E1425" s="5" t="str">
        <f>IFERROR(IF(Portafolio_Proyectos!$AQ475="","",Portafolio_Proyectos!$B475),"")</f>
        <v/>
      </c>
      <c r="F1425" s="5" t="str">
        <f>IFERROR(IF(Portafolio_Proyectos!$AQ475="","",Portafolio_Proyectos!$D475),"")</f>
        <v/>
      </c>
      <c r="G1425" s="5" t="str">
        <f>IFERROR(IF(Portafolio_Proyectos!$AQ475="","",Portafolio_Proyectos!$A475),"")</f>
        <v/>
      </c>
      <c r="H1425" s="5" t="str">
        <f>IFERROR(IF(Portafolio_Proyectos!$AQ475="","",Portafolio_Proyectos!$E475),"")</f>
        <v/>
      </c>
    </row>
    <row r="1426" spans="1:8" x14ac:dyDescent="0.35">
      <c r="A1426" s="5" t="str">
        <f>IFERROR(IF(Portafolio_Proyectos!$AR475="","","CAP-"&amp;ROW()-1),"")</f>
        <v/>
      </c>
      <c r="B1426" s="5" t="str">
        <f>IFERROR(IF(Portafolio_Proyectos!$AR475="","",Portafolio_Proyectos!$AR475),"")</f>
        <v/>
      </c>
      <c r="C1426" s="5" t="str">
        <f>IFERROR(IF(Portafolio_Proyectos!$AR475="","","Distintiva"),"")</f>
        <v/>
      </c>
      <c r="D1426" s="5" t="str">
        <f>IFERROR(IF(Portafolio_Proyectos!$AR475="","",Portafolio_Proyectos!$C475),"")</f>
        <v/>
      </c>
      <c r="E1426" s="5" t="str">
        <f>IFERROR(IF(Portafolio_Proyectos!$AR475="","",Portafolio_Proyectos!$B475),"")</f>
        <v/>
      </c>
      <c r="F1426" s="5" t="str">
        <f>IFERROR(IF(Portafolio_Proyectos!$AR475="","",Portafolio_Proyectos!$D475),"")</f>
        <v/>
      </c>
      <c r="G1426" s="5" t="str">
        <f>IFERROR(IF(Portafolio_Proyectos!$AR475="","",Portafolio_Proyectos!$A475),"")</f>
        <v/>
      </c>
      <c r="H1426" s="5" t="str">
        <f>IFERROR(IF(Portafolio_Proyectos!$AR475="","",Portafolio_Proyectos!$E475),"")</f>
        <v/>
      </c>
    </row>
    <row r="1427" spans="1:8" x14ac:dyDescent="0.35">
      <c r="A1427" s="5" t="str">
        <f>IFERROR(IF(Portafolio_Proyectos!$AP476="","","CAP-"&amp;ROW()-1),"")</f>
        <v/>
      </c>
      <c r="B1427" s="5" t="str">
        <f>IFERROR(IF(Portafolio_Proyectos!$AP476="","",Portafolio_Proyectos!$AP476),"")</f>
        <v/>
      </c>
      <c r="C1427" s="5" t="str">
        <f>IFERROR(IF(Portafolio_Proyectos!$AP476="","","Emergente"),"")</f>
        <v/>
      </c>
      <c r="D1427" s="5" t="str">
        <f>IFERROR(IF(Portafolio_Proyectos!$AP476="","",Portafolio_Proyectos!$C476),"")</f>
        <v/>
      </c>
      <c r="E1427" s="5" t="str">
        <f>IFERROR(IF(Portafolio_Proyectos!$AP476="","",Portafolio_Proyectos!$B476),"")</f>
        <v/>
      </c>
      <c r="F1427" s="5" t="str">
        <f>IFERROR(IF(Portafolio_Proyectos!$AP476="","",Portafolio_Proyectos!$D476),"")</f>
        <v/>
      </c>
      <c r="G1427" s="5" t="str">
        <f>IFERROR(IF(Portafolio_Proyectos!$AP476="","",Portafolio_Proyectos!$A476),"")</f>
        <v/>
      </c>
      <c r="H1427" s="5" t="str">
        <f>IFERROR(IF(Portafolio_Proyectos!$AP476="","",Portafolio_Proyectos!$E476),"")</f>
        <v/>
      </c>
    </row>
    <row r="1428" spans="1:8" x14ac:dyDescent="0.35">
      <c r="A1428" s="5" t="str">
        <f>IFERROR(IF(Portafolio_Proyectos!$AQ476="","","CAP-"&amp;ROW()-1),"")</f>
        <v/>
      </c>
      <c r="B1428" s="5" t="str">
        <f>IFERROR(IF(Portafolio_Proyectos!$AQ476="","",Portafolio_Proyectos!$AQ476),"")</f>
        <v/>
      </c>
      <c r="C1428" s="5" t="str">
        <f>IFERROR(IF(Portafolio_Proyectos!$AQ476="","","Consolidada"),"")</f>
        <v/>
      </c>
      <c r="D1428" s="5" t="str">
        <f>IFERROR(IF(Portafolio_Proyectos!$AQ476="","",Portafolio_Proyectos!$C476),"")</f>
        <v/>
      </c>
      <c r="E1428" s="5" t="str">
        <f>IFERROR(IF(Portafolio_Proyectos!$AQ476="","",Portafolio_Proyectos!$B476),"")</f>
        <v/>
      </c>
      <c r="F1428" s="5" t="str">
        <f>IFERROR(IF(Portafolio_Proyectos!$AQ476="","",Portafolio_Proyectos!$D476),"")</f>
        <v/>
      </c>
      <c r="G1428" s="5" t="str">
        <f>IFERROR(IF(Portafolio_Proyectos!$AQ476="","",Portafolio_Proyectos!$A476),"")</f>
        <v/>
      </c>
      <c r="H1428" s="5" t="str">
        <f>IFERROR(IF(Portafolio_Proyectos!$AQ476="","",Portafolio_Proyectos!$E476),"")</f>
        <v/>
      </c>
    </row>
    <row r="1429" spans="1:8" x14ac:dyDescent="0.35">
      <c r="A1429" s="5" t="str">
        <f>IFERROR(IF(Portafolio_Proyectos!$AR476="","","CAP-"&amp;ROW()-1),"")</f>
        <v/>
      </c>
      <c r="B1429" s="5" t="str">
        <f>IFERROR(IF(Portafolio_Proyectos!$AR476="","",Portafolio_Proyectos!$AR476),"")</f>
        <v/>
      </c>
      <c r="C1429" s="5" t="str">
        <f>IFERROR(IF(Portafolio_Proyectos!$AR476="","","Distintiva"),"")</f>
        <v/>
      </c>
      <c r="D1429" s="5" t="str">
        <f>IFERROR(IF(Portafolio_Proyectos!$AR476="","",Portafolio_Proyectos!$C476),"")</f>
        <v/>
      </c>
      <c r="E1429" s="5" t="str">
        <f>IFERROR(IF(Portafolio_Proyectos!$AR476="","",Portafolio_Proyectos!$B476),"")</f>
        <v/>
      </c>
      <c r="F1429" s="5" t="str">
        <f>IFERROR(IF(Portafolio_Proyectos!$AR476="","",Portafolio_Proyectos!$D476),"")</f>
        <v/>
      </c>
      <c r="G1429" s="5" t="str">
        <f>IFERROR(IF(Portafolio_Proyectos!$AR476="","",Portafolio_Proyectos!$A476),"")</f>
        <v/>
      </c>
      <c r="H1429" s="5" t="str">
        <f>IFERROR(IF(Portafolio_Proyectos!$AR476="","",Portafolio_Proyectos!$E476),"")</f>
        <v/>
      </c>
    </row>
    <row r="1430" spans="1:8" x14ac:dyDescent="0.35">
      <c r="A1430" s="5" t="str">
        <f>IFERROR(IF(Portafolio_Proyectos!$AP477="","","CAP-"&amp;ROW()-1),"")</f>
        <v/>
      </c>
      <c r="B1430" s="5" t="str">
        <f>IFERROR(IF(Portafolio_Proyectos!$AP477="","",Portafolio_Proyectos!$AP477),"")</f>
        <v/>
      </c>
      <c r="C1430" s="5" t="str">
        <f>IFERROR(IF(Portafolio_Proyectos!$AP477="","","Emergente"),"")</f>
        <v/>
      </c>
      <c r="D1430" s="5" t="str">
        <f>IFERROR(IF(Portafolio_Proyectos!$AP477="","",Portafolio_Proyectos!$C477),"")</f>
        <v/>
      </c>
      <c r="E1430" s="5" t="str">
        <f>IFERROR(IF(Portafolio_Proyectos!$AP477="","",Portafolio_Proyectos!$B477),"")</f>
        <v/>
      </c>
      <c r="F1430" s="5" t="str">
        <f>IFERROR(IF(Portafolio_Proyectos!$AP477="","",Portafolio_Proyectos!$D477),"")</f>
        <v/>
      </c>
      <c r="G1430" s="5" t="str">
        <f>IFERROR(IF(Portafolio_Proyectos!$AP477="","",Portafolio_Proyectos!$A477),"")</f>
        <v/>
      </c>
      <c r="H1430" s="5" t="str">
        <f>IFERROR(IF(Portafolio_Proyectos!$AP477="","",Portafolio_Proyectos!$E477),"")</f>
        <v/>
      </c>
    </row>
    <row r="1431" spans="1:8" x14ac:dyDescent="0.35">
      <c r="A1431" s="5" t="str">
        <f>IFERROR(IF(Portafolio_Proyectos!$AQ477="","","CAP-"&amp;ROW()-1),"")</f>
        <v/>
      </c>
      <c r="B1431" s="5" t="str">
        <f>IFERROR(IF(Portafolio_Proyectos!$AQ477="","",Portafolio_Proyectos!$AQ477),"")</f>
        <v/>
      </c>
      <c r="C1431" s="5" t="str">
        <f>IFERROR(IF(Portafolio_Proyectos!$AQ477="","","Consolidada"),"")</f>
        <v/>
      </c>
      <c r="D1431" s="5" t="str">
        <f>IFERROR(IF(Portafolio_Proyectos!$AQ477="","",Portafolio_Proyectos!$C477),"")</f>
        <v/>
      </c>
      <c r="E1431" s="5" t="str">
        <f>IFERROR(IF(Portafolio_Proyectos!$AQ477="","",Portafolio_Proyectos!$B477),"")</f>
        <v/>
      </c>
      <c r="F1431" s="5" t="str">
        <f>IFERROR(IF(Portafolio_Proyectos!$AQ477="","",Portafolio_Proyectos!$D477),"")</f>
        <v/>
      </c>
      <c r="G1431" s="5" t="str">
        <f>IFERROR(IF(Portafolio_Proyectos!$AQ477="","",Portafolio_Proyectos!$A477),"")</f>
        <v/>
      </c>
      <c r="H1431" s="5" t="str">
        <f>IFERROR(IF(Portafolio_Proyectos!$AQ477="","",Portafolio_Proyectos!$E477),"")</f>
        <v/>
      </c>
    </row>
    <row r="1432" spans="1:8" x14ac:dyDescent="0.35">
      <c r="A1432" s="5" t="str">
        <f>IFERROR(IF(Portafolio_Proyectos!$AR477="","","CAP-"&amp;ROW()-1),"")</f>
        <v/>
      </c>
      <c r="B1432" s="5" t="str">
        <f>IFERROR(IF(Portafolio_Proyectos!$AR477="","",Portafolio_Proyectos!$AR477),"")</f>
        <v/>
      </c>
      <c r="C1432" s="5" t="str">
        <f>IFERROR(IF(Portafolio_Proyectos!$AR477="","","Distintiva"),"")</f>
        <v/>
      </c>
      <c r="D1432" s="5" t="str">
        <f>IFERROR(IF(Portafolio_Proyectos!$AR477="","",Portafolio_Proyectos!$C477),"")</f>
        <v/>
      </c>
      <c r="E1432" s="5" t="str">
        <f>IFERROR(IF(Portafolio_Proyectos!$AR477="","",Portafolio_Proyectos!$B477),"")</f>
        <v/>
      </c>
      <c r="F1432" s="5" t="str">
        <f>IFERROR(IF(Portafolio_Proyectos!$AR477="","",Portafolio_Proyectos!$D477),"")</f>
        <v/>
      </c>
      <c r="G1432" s="5" t="str">
        <f>IFERROR(IF(Portafolio_Proyectos!$AR477="","",Portafolio_Proyectos!$A477),"")</f>
        <v/>
      </c>
      <c r="H1432" s="5" t="str">
        <f>IFERROR(IF(Portafolio_Proyectos!$AR477="","",Portafolio_Proyectos!$E477),"")</f>
        <v/>
      </c>
    </row>
    <row r="1433" spans="1:8" x14ac:dyDescent="0.35">
      <c r="A1433" s="5" t="str">
        <f>IFERROR(IF(Portafolio_Proyectos!$AP478="","","CAP-"&amp;ROW()-1),"")</f>
        <v/>
      </c>
      <c r="B1433" s="5" t="str">
        <f>IFERROR(IF(Portafolio_Proyectos!$AP478="","",Portafolio_Proyectos!$AP478),"")</f>
        <v/>
      </c>
      <c r="C1433" s="5" t="str">
        <f>IFERROR(IF(Portafolio_Proyectos!$AP478="","","Emergente"),"")</f>
        <v/>
      </c>
      <c r="D1433" s="5" t="str">
        <f>IFERROR(IF(Portafolio_Proyectos!$AP478="","",Portafolio_Proyectos!$C478),"")</f>
        <v/>
      </c>
      <c r="E1433" s="5" t="str">
        <f>IFERROR(IF(Portafolio_Proyectos!$AP478="","",Portafolio_Proyectos!$B478),"")</f>
        <v/>
      </c>
      <c r="F1433" s="5" t="str">
        <f>IFERROR(IF(Portafolio_Proyectos!$AP478="","",Portafolio_Proyectos!$D478),"")</f>
        <v/>
      </c>
      <c r="G1433" s="5" t="str">
        <f>IFERROR(IF(Portafolio_Proyectos!$AP478="","",Portafolio_Proyectos!$A478),"")</f>
        <v/>
      </c>
      <c r="H1433" s="5" t="str">
        <f>IFERROR(IF(Portafolio_Proyectos!$AP478="","",Portafolio_Proyectos!$E478),"")</f>
        <v/>
      </c>
    </row>
    <row r="1434" spans="1:8" x14ac:dyDescent="0.35">
      <c r="A1434" s="5" t="str">
        <f>IFERROR(IF(Portafolio_Proyectos!$AQ478="","","CAP-"&amp;ROW()-1),"")</f>
        <v/>
      </c>
      <c r="B1434" s="5" t="str">
        <f>IFERROR(IF(Portafolio_Proyectos!$AQ478="","",Portafolio_Proyectos!$AQ478),"")</f>
        <v/>
      </c>
      <c r="C1434" s="5" t="str">
        <f>IFERROR(IF(Portafolio_Proyectos!$AQ478="","","Consolidada"),"")</f>
        <v/>
      </c>
      <c r="D1434" s="5" t="str">
        <f>IFERROR(IF(Portafolio_Proyectos!$AQ478="","",Portafolio_Proyectos!$C478),"")</f>
        <v/>
      </c>
      <c r="E1434" s="5" t="str">
        <f>IFERROR(IF(Portafolio_Proyectos!$AQ478="","",Portafolio_Proyectos!$B478),"")</f>
        <v/>
      </c>
      <c r="F1434" s="5" t="str">
        <f>IFERROR(IF(Portafolio_Proyectos!$AQ478="","",Portafolio_Proyectos!$D478),"")</f>
        <v/>
      </c>
      <c r="G1434" s="5" t="str">
        <f>IFERROR(IF(Portafolio_Proyectos!$AQ478="","",Portafolio_Proyectos!$A478),"")</f>
        <v/>
      </c>
      <c r="H1434" s="5" t="str">
        <f>IFERROR(IF(Portafolio_Proyectos!$AQ478="","",Portafolio_Proyectos!$E478),"")</f>
        <v/>
      </c>
    </row>
    <row r="1435" spans="1:8" x14ac:dyDescent="0.35">
      <c r="A1435" s="5" t="str">
        <f>IFERROR(IF(Portafolio_Proyectos!$AR478="","","CAP-"&amp;ROW()-1),"")</f>
        <v/>
      </c>
      <c r="B1435" s="5" t="str">
        <f>IFERROR(IF(Portafolio_Proyectos!$AR478="","",Portafolio_Proyectos!$AR478),"")</f>
        <v/>
      </c>
      <c r="C1435" s="5" t="str">
        <f>IFERROR(IF(Portafolio_Proyectos!$AR478="","","Distintiva"),"")</f>
        <v/>
      </c>
      <c r="D1435" s="5" t="str">
        <f>IFERROR(IF(Portafolio_Proyectos!$AR478="","",Portafolio_Proyectos!$C478),"")</f>
        <v/>
      </c>
      <c r="E1435" s="5" t="str">
        <f>IFERROR(IF(Portafolio_Proyectos!$AR478="","",Portafolio_Proyectos!$B478),"")</f>
        <v/>
      </c>
      <c r="F1435" s="5" t="str">
        <f>IFERROR(IF(Portafolio_Proyectos!$AR478="","",Portafolio_Proyectos!$D478),"")</f>
        <v/>
      </c>
      <c r="G1435" s="5" t="str">
        <f>IFERROR(IF(Portafolio_Proyectos!$AR478="","",Portafolio_Proyectos!$A478),"")</f>
        <v/>
      </c>
      <c r="H1435" s="5" t="str">
        <f>IFERROR(IF(Portafolio_Proyectos!$AR478="","",Portafolio_Proyectos!$E478),"")</f>
        <v/>
      </c>
    </row>
    <row r="1436" spans="1:8" x14ac:dyDescent="0.35">
      <c r="A1436" s="5" t="str">
        <f>IFERROR(IF(Portafolio_Proyectos!$AP479="","","CAP-"&amp;ROW()-1),"")</f>
        <v/>
      </c>
      <c r="B1436" s="5" t="str">
        <f>IFERROR(IF(Portafolio_Proyectos!$AP479="","",Portafolio_Proyectos!$AP479),"")</f>
        <v/>
      </c>
      <c r="C1436" s="5" t="str">
        <f>IFERROR(IF(Portafolio_Proyectos!$AP479="","","Emergente"),"")</f>
        <v/>
      </c>
      <c r="D1436" s="5" t="str">
        <f>IFERROR(IF(Portafolio_Proyectos!$AP479="","",Portafolio_Proyectos!$C479),"")</f>
        <v/>
      </c>
      <c r="E1436" s="5" t="str">
        <f>IFERROR(IF(Portafolio_Proyectos!$AP479="","",Portafolio_Proyectos!$B479),"")</f>
        <v/>
      </c>
      <c r="F1436" s="5" t="str">
        <f>IFERROR(IF(Portafolio_Proyectos!$AP479="","",Portafolio_Proyectos!$D479),"")</f>
        <v/>
      </c>
      <c r="G1436" s="5" t="str">
        <f>IFERROR(IF(Portafolio_Proyectos!$AP479="","",Portafolio_Proyectos!$A479),"")</f>
        <v/>
      </c>
      <c r="H1436" s="5" t="str">
        <f>IFERROR(IF(Portafolio_Proyectos!$AP479="","",Portafolio_Proyectos!$E479),"")</f>
        <v/>
      </c>
    </row>
    <row r="1437" spans="1:8" x14ac:dyDescent="0.35">
      <c r="A1437" s="5" t="str">
        <f>IFERROR(IF(Portafolio_Proyectos!$AQ479="","","CAP-"&amp;ROW()-1),"")</f>
        <v/>
      </c>
      <c r="B1437" s="5" t="str">
        <f>IFERROR(IF(Portafolio_Proyectos!$AQ479="","",Portafolio_Proyectos!$AQ479),"")</f>
        <v/>
      </c>
      <c r="C1437" s="5" t="str">
        <f>IFERROR(IF(Portafolio_Proyectos!$AQ479="","","Consolidada"),"")</f>
        <v/>
      </c>
      <c r="D1437" s="5" t="str">
        <f>IFERROR(IF(Portafolio_Proyectos!$AQ479="","",Portafolio_Proyectos!$C479),"")</f>
        <v/>
      </c>
      <c r="E1437" s="5" t="str">
        <f>IFERROR(IF(Portafolio_Proyectos!$AQ479="","",Portafolio_Proyectos!$B479),"")</f>
        <v/>
      </c>
      <c r="F1437" s="5" t="str">
        <f>IFERROR(IF(Portafolio_Proyectos!$AQ479="","",Portafolio_Proyectos!$D479),"")</f>
        <v/>
      </c>
      <c r="G1437" s="5" t="str">
        <f>IFERROR(IF(Portafolio_Proyectos!$AQ479="","",Portafolio_Proyectos!$A479),"")</f>
        <v/>
      </c>
      <c r="H1437" s="5" t="str">
        <f>IFERROR(IF(Portafolio_Proyectos!$AQ479="","",Portafolio_Proyectos!$E479),"")</f>
        <v/>
      </c>
    </row>
    <row r="1438" spans="1:8" x14ac:dyDescent="0.35">
      <c r="A1438" s="5" t="str">
        <f>IFERROR(IF(Portafolio_Proyectos!$AR479="","","CAP-"&amp;ROW()-1),"")</f>
        <v/>
      </c>
      <c r="B1438" s="5" t="str">
        <f>IFERROR(IF(Portafolio_Proyectos!$AR479="","",Portafolio_Proyectos!$AR479),"")</f>
        <v/>
      </c>
      <c r="C1438" s="5" t="str">
        <f>IFERROR(IF(Portafolio_Proyectos!$AR479="","","Distintiva"),"")</f>
        <v/>
      </c>
      <c r="D1438" s="5" t="str">
        <f>IFERROR(IF(Portafolio_Proyectos!$AR479="","",Portafolio_Proyectos!$C479),"")</f>
        <v/>
      </c>
      <c r="E1438" s="5" t="str">
        <f>IFERROR(IF(Portafolio_Proyectos!$AR479="","",Portafolio_Proyectos!$B479),"")</f>
        <v/>
      </c>
      <c r="F1438" s="5" t="str">
        <f>IFERROR(IF(Portafolio_Proyectos!$AR479="","",Portafolio_Proyectos!$D479),"")</f>
        <v/>
      </c>
      <c r="G1438" s="5" t="str">
        <f>IFERROR(IF(Portafolio_Proyectos!$AR479="","",Portafolio_Proyectos!$A479),"")</f>
        <v/>
      </c>
      <c r="H1438" s="5" t="str">
        <f>IFERROR(IF(Portafolio_Proyectos!$AR479="","",Portafolio_Proyectos!$E479),"")</f>
        <v/>
      </c>
    </row>
    <row r="1439" spans="1:8" x14ac:dyDescent="0.35">
      <c r="A1439" s="5" t="str">
        <f>IFERROR(IF(Portafolio_Proyectos!$AP480="","","CAP-"&amp;ROW()-1),"")</f>
        <v/>
      </c>
      <c r="B1439" s="5" t="str">
        <f>IFERROR(IF(Portafolio_Proyectos!$AP480="","",Portafolio_Proyectos!$AP480),"")</f>
        <v/>
      </c>
      <c r="C1439" s="5" t="str">
        <f>IFERROR(IF(Portafolio_Proyectos!$AP480="","","Emergente"),"")</f>
        <v/>
      </c>
      <c r="D1439" s="5" t="str">
        <f>IFERROR(IF(Portafolio_Proyectos!$AP480="","",Portafolio_Proyectos!$C480),"")</f>
        <v/>
      </c>
      <c r="E1439" s="5" t="str">
        <f>IFERROR(IF(Portafolio_Proyectos!$AP480="","",Portafolio_Proyectos!$B480),"")</f>
        <v/>
      </c>
      <c r="F1439" s="5" t="str">
        <f>IFERROR(IF(Portafolio_Proyectos!$AP480="","",Portafolio_Proyectos!$D480),"")</f>
        <v/>
      </c>
      <c r="G1439" s="5" t="str">
        <f>IFERROR(IF(Portafolio_Proyectos!$AP480="","",Portafolio_Proyectos!$A480),"")</f>
        <v/>
      </c>
      <c r="H1439" s="5" t="str">
        <f>IFERROR(IF(Portafolio_Proyectos!$AP480="","",Portafolio_Proyectos!$E480),"")</f>
        <v/>
      </c>
    </row>
    <row r="1440" spans="1:8" x14ac:dyDescent="0.35">
      <c r="A1440" s="5" t="str">
        <f>IFERROR(IF(Portafolio_Proyectos!$AQ480="","","CAP-"&amp;ROW()-1),"")</f>
        <v/>
      </c>
      <c r="B1440" s="5" t="str">
        <f>IFERROR(IF(Portafolio_Proyectos!$AQ480="","",Portafolio_Proyectos!$AQ480),"")</f>
        <v/>
      </c>
      <c r="C1440" s="5" t="str">
        <f>IFERROR(IF(Portafolio_Proyectos!$AQ480="","","Consolidada"),"")</f>
        <v/>
      </c>
      <c r="D1440" s="5" t="str">
        <f>IFERROR(IF(Portafolio_Proyectos!$AQ480="","",Portafolio_Proyectos!$C480),"")</f>
        <v/>
      </c>
      <c r="E1440" s="5" t="str">
        <f>IFERROR(IF(Portafolio_Proyectos!$AQ480="","",Portafolio_Proyectos!$B480),"")</f>
        <v/>
      </c>
      <c r="F1440" s="5" t="str">
        <f>IFERROR(IF(Portafolio_Proyectos!$AQ480="","",Portafolio_Proyectos!$D480),"")</f>
        <v/>
      </c>
      <c r="G1440" s="5" t="str">
        <f>IFERROR(IF(Portafolio_Proyectos!$AQ480="","",Portafolio_Proyectos!$A480),"")</f>
        <v/>
      </c>
      <c r="H1440" s="5" t="str">
        <f>IFERROR(IF(Portafolio_Proyectos!$AQ480="","",Portafolio_Proyectos!$E480),"")</f>
        <v/>
      </c>
    </row>
    <row r="1441" spans="1:8" x14ac:dyDescent="0.35">
      <c r="A1441" s="5" t="str">
        <f>IFERROR(IF(Portafolio_Proyectos!$AR480="","","CAP-"&amp;ROW()-1),"")</f>
        <v/>
      </c>
      <c r="B1441" s="5" t="str">
        <f>IFERROR(IF(Portafolio_Proyectos!$AR480="","",Portafolio_Proyectos!$AR480),"")</f>
        <v/>
      </c>
      <c r="C1441" s="5" t="str">
        <f>IFERROR(IF(Portafolio_Proyectos!$AR480="","","Distintiva"),"")</f>
        <v/>
      </c>
      <c r="D1441" s="5" t="str">
        <f>IFERROR(IF(Portafolio_Proyectos!$AR480="","",Portafolio_Proyectos!$C480),"")</f>
        <v/>
      </c>
      <c r="E1441" s="5" t="str">
        <f>IFERROR(IF(Portafolio_Proyectos!$AR480="","",Portafolio_Proyectos!$B480),"")</f>
        <v/>
      </c>
      <c r="F1441" s="5" t="str">
        <f>IFERROR(IF(Portafolio_Proyectos!$AR480="","",Portafolio_Proyectos!$D480),"")</f>
        <v/>
      </c>
      <c r="G1441" s="5" t="str">
        <f>IFERROR(IF(Portafolio_Proyectos!$AR480="","",Portafolio_Proyectos!$A480),"")</f>
        <v/>
      </c>
      <c r="H1441" s="5" t="str">
        <f>IFERROR(IF(Portafolio_Proyectos!$AR480="","",Portafolio_Proyectos!$E480),"")</f>
        <v/>
      </c>
    </row>
    <row r="1442" spans="1:8" x14ac:dyDescent="0.35">
      <c r="A1442" s="5" t="str">
        <f>IFERROR(IF(Portafolio_Proyectos!$AP481="","","CAP-"&amp;ROW()-1),"")</f>
        <v/>
      </c>
      <c r="B1442" s="5" t="str">
        <f>IFERROR(IF(Portafolio_Proyectos!$AP481="","",Portafolio_Proyectos!$AP481),"")</f>
        <v/>
      </c>
      <c r="C1442" s="5" t="str">
        <f>IFERROR(IF(Portafolio_Proyectos!$AP481="","","Emergente"),"")</f>
        <v/>
      </c>
      <c r="D1442" s="5" t="str">
        <f>IFERROR(IF(Portafolio_Proyectos!$AP481="","",Portafolio_Proyectos!$C481),"")</f>
        <v/>
      </c>
      <c r="E1442" s="5" t="str">
        <f>IFERROR(IF(Portafolio_Proyectos!$AP481="","",Portafolio_Proyectos!$B481),"")</f>
        <v/>
      </c>
      <c r="F1442" s="5" t="str">
        <f>IFERROR(IF(Portafolio_Proyectos!$AP481="","",Portafolio_Proyectos!$D481),"")</f>
        <v/>
      </c>
      <c r="G1442" s="5" t="str">
        <f>IFERROR(IF(Portafolio_Proyectos!$AP481="","",Portafolio_Proyectos!$A481),"")</f>
        <v/>
      </c>
      <c r="H1442" s="5" t="str">
        <f>IFERROR(IF(Portafolio_Proyectos!$AP481="","",Portafolio_Proyectos!$E481),"")</f>
        <v/>
      </c>
    </row>
    <row r="1443" spans="1:8" x14ac:dyDescent="0.35">
      <c r="A1443" s="5" t="str">
        <f>IFERROR(IF(Portafolio_Proyectos!$AQ481="","","CAP-"&amp;ROW()-1),"")</f>
        <v/>
      </c>
      <c r="B1443" s="5" t="str">
        <f>IFERROR(IF(Portafolio_Proyectos!$AQ481="","",Portafolio_Proyectos!$AQ481),"")</f>
        <v/>
      </c>
      <c r="C1443" s="5" t="str">
        <f>IFERROR(IF(Portafolio_Proyectos!$AQ481="","","Consolidada"),"")</f>
        <v/>
      </c>
      <c r="D1443" s="5" t="str">
        <f>IFERROR(IF(Portafolio_Proyectos!$AQ481="","",Portafolio_Proyectos!$C481),"")</f>
        <v/>
      </c>
      <c r="E1443" s="5" t="str">
        <f>IFERROR(IF(Portafolio_Proyectos!$AQ481="","",Portafolio_Proyectos!$B481),"")</f>
        <v/>
      </c>
      <c r="F1443" s="5" t="str">
        <f>IFERROR(IF(Portafolio_Proyectos!$AQ481="","",Portafolio_Proyectos!$D481),"")</f>
        <v/>
      </c>
      <c r="G1443" s="5" t="str">
        <f>IFERROR(IF(Portafolio_Proyectos!$AQ481="","",Portafolio_Proyectos!$A481),"")</f>
        <v/>
      </c>
      <c r="H1443" s="5" t="str">
        <f>IFERROR(IF(Portafolio_Proyectos!$AQ481="","",Portafolio_Proyectos!$E481),"")</f>
        <v/>
      </c>
    </row>
    <row r="1444" spans="1:8" x14ac:dyDescent="0.35">
      <c r="A1444" s="5" t="str">
        <f>IFERROR(IF(Portafolio_Proyectos!$AR481="","","CAP-"&amp;ROW()-1),"")</f>
        <v/>
      </c>
      <c r="B1444" s="5" t="str">
        <f>IFERROR(IF(Portafolio_Proyectos!$AR481="","",Portafolio_Proyectos!$AR481),"")</f>
        <v/>
      </c>
      <c r="C1444" s="5" t="str">
        <f>IFERROR(IF(Portafolio_Proyectos!$AR481="","","Distintiva"),"")</f>
        <v/>
      </c>
      <c r="D1444" s="5" t="str">
        <f>IFERROR(IF(Portafolio_Proyectos!$AR481="","",Portafolio_Proyectos!$C481),"")</f>
        <v/>
      </c>
      <c r="E1444" s="5" t="str">
        <f>IFERROR(IF(Portafolio_Proyectos!$AR481="","",Portafolio_Proyectos!$B481),"")</f>
        <v/>
      </c>
      <c r="F1444" s="5" t="str">
        <f>IFERROR(IF(Portafolio_Proyectos!$AR481="","",Portafolio_Proyectos!$D481),"")</f>
        <v/>
      </c>
      <c r="G1444" s="5" t="str">
        <f>IFERROR(IF(Portafolio_Proyectos!$AR481="","",Portafolio_Proyectos!$A481),"")</f>
        <v/>
      </c>
      <c r="H1444" s="5" t="str">
        <f>IFERROR(IF(Portafolio_Proyectos!$AR481="","",Portafolio_Proyectos!$E481),"")</f>
        <v/>
      </c>
    </row>
    <row r="1445" spans="1:8" x14ac:dyDescent="0.35">
      <c r="A1445" s="5" t="str">
        <f>IFERROR(IF(Portafolio_Proyectos!$AP482="","","CAP-"&amp;ROW()-1),"")</f>
        <v/>
      </c>
      <c r="B1445" s="5" t="str">
        <f>IFERROR(IF(Portafolio_Proyectos!$AP482="","",Portafolio_Proyectos!$AP482),"")</f>
        <v/>
      </c>
      <c r="C1445" s="5" t="str">
        <f>IFERROR(IF(Portafolio_Proyectos!$AP482="","","Emergente"),"")</f>
        <v/>
      </c>
      <c r="D1445" s="5" t="str">
        <f>IFERROR(IF(Portafolio_Proyectos!$AP482="","",Portafolio_Proyectos!$C482),"")</f>
        <v/>
      </c>
      <c r="E1445" s="5" t="str">
        <f>IFERROR(IF(Portafolio_Proyectos!$AP482="","",Portafolio_Proyectos!$B482),"")</f>
        <v/>
      </c>
      <c r="F1445" s="5" t="str">
        <f>IFERROR(IF(Portafolio_Proyectos!$AP482="","",Portafolio_Proyectos!$D482),"")</f>
        <v/>
      </c>
      <c r="G1445" s="5" t="str">
        <f>IFERROR(IF(Portafolio_Proyectos!$AP482="","",Portafolio_Proyectos!$A482),"")</f>
        <v/>
      </c>
      <c r="H1445" s="5" t="str">
        <f>IFERROR(IF(Portafolio_Proyectos!$AP482="","",Portafolio_Proyectos!$E482),"")</f>
        <v/>
      </c>
    </row>
    <row r="1446" spans="1:8" x14ac:dyDescent="0.35">
      <c r="A1446" s="5" t="str">
        <f>IFERROR(IF(Portafolio_Proyectos!$AQ482="","","CAP-"&amp;ROW()-1),"")</f>
        <v/>
      </c>
      <c r="B1446" s="5" t="str">
        <f>IFERROR(IF(Portafolio_Proyectos!$AQ482="","",Portafolio_Proyectos!$AQ482),"")</f>
        <v/>
      </c>
      <c r="C1446" s="5" t="str">
        <f>IFERROR(IF(Portafolio_Proyectos!$AQ482="","","Consolidada"),"")</f>
        <v/>
      </c>
      <c r="D1446" s="5" t="str">
        <f>IFERROR(IF(Portafolio_Proyectos!$AQ482="","",Portafolio_Proyectos!$C482),"")</f>
        <v/>
      </c>
      <c r="E1446" s="5" t="str">
        <f>IFERROR(IF(Portafolio_Proyectos!$AQ482="","",Portafolio_Proyectos!$B482),"")</f>
        <v/>
      </c>
      <c r="F1446" s="5" t="str">
        <f>IFERROR(IF(Portafolio_Proyectos!$AQ482="","",Portafolio_Proyectos!$D482),"")</f>
        <v/>
      </c>
      <c r="G1446" s="5" t="str">
        <f>IFERROR(IF(Portafolio_Proyectos!$AQ482="","",Portafolio_Proyectos!$A482),"")</f>
        <v/>
      </c>
      <c r="H1446" s="5" t="str">
        <f>IFERROR(IF(Portafolio_Proyectos!$AQ482="","",Portafolio_Proyectos!$E482),"")</f>
        <v/>
      </c>
    </row>
    <row r="1447" spans="1:8" x14ac:dyDescent="0.35">
      <c r="A1447" s="5" t="str">
        <f>IFERROR(IF(Portafolio_Proyectos!$AR482="","","CAP-"&amp;ROW()-1),"")</f>
        <v/>
      </c>
      <c r="B1447" s="5" t="str">
        <f>IFERROR(IF(Portafolio_Proyectos!$AR482="","",Portafolio_Proyectos!$AR482),"")</f>
        <v/>
      </c>
      <c r="C1447" s="5" t="str">
        <f>IFERROR(IF(Portafolio_Proyectos!$AR482="","","Distintiva"),"")</f>
        <v/>
      </c>
      <c r="D1447" s="5" t="str">
        <f>IFERROR(IF(Portafolio_Proyectos!$AR482="","",Portafolio_Proyectos!$C482),"")</f>
        <v/>
      </c>
      <c r="E1447" s="5" t="str">
        <f>IFERROR(IF(Portafolio_Proyectos!$AR482="","",Portafolio_Proyectos!$B482),"")</f>
        <v/>
      </c>
      <c r="F1447" s="5" t="str">
        <f>IFERROR(IF(Portafolio_Proyectos!$AR482="","",Portafolio_Proyectos!$D482),"")</f>
        <v/>
      </c>
      <c r="G1447" s="5" t="str">
        <f>IFERROR(IF(Portafolio_Proyectos!$AR482="","",Portafolio_Proyectos!$A482),"")</f>
        <v/>
      </c>
      <c r="H1447" s="5" t="str">
        <f>IFERROR(IF(Portafolio_Proyectos!$AR482="","",Portafolio_Proyectos!$E482),"")</f>
        <v/>
      </c>
    </row>
    <row r="1448" spans="1:8" x14ac:dyDescent="0.35">
      <c r="A1448" s="5" t="str">
        <f>IFERROR(IF(Portafolio_Proyectos!$AP483="","","CAP-"&amp;ROW()-1),"")</f>
        <v/>
      </c>
      <c r="B1448" s="5" t="str">
        <f>IFERROR(IF(Portafolio_Proyectos!$AP483="","",Portafolio_Proyectos!$AP483),"")</f>
        <v/>
      </c>
      <c r="C1448" s="5" t="str">
        <f>IFERROR(IF(Portafolio_Proyectos!$AP483="","","Emergente"),"")</f>
        <v/>
      </c>
      <c r="D1448" s="5" t="str">
        <f>IFERROR(IF(Portafolio_Proyectos!$AP483="","",Portafolio_Proyectos!$C483),"")</f>
        <v/>
      </c>
      <c r="E1448" s="5" t="str">
        <f>IFERROR(IF(Portafolio_Proyectos!$AP483="","",Portafolio_Proyectos!$B483),"")</f>
        <v/>
      </c>
      <c r="F1448" s="5" t="str">
        <f>IFERROR(IF(Portafolio_Proyectos!$AP483="","",Portafolio_Proyectos!$D483),"")</f>
        <v/>
      </c>
      <c r="G1448" s="5" t="str">
        <f>IFERROR(IF(Portafolio_Proyectos!$AP483="","",Portafolio_Proyectos!$A483),"")</f>
        <v/>
      </c>
      <c r="H1448" s="5" t="str">
        <f>IFERROR(IF(Portafolio_Proyectos!$AP483="","",Portafolio_Proyectos!$E483),"")</f>
        <v/>
      </c>
    </row>
    <row r="1449" spans="1:8" x14ac:dyDescent="0.35">
      <c r="A1449" s="5" t="str">
        <f>IFERROR(IF(Portafolio_Proyectos!$AQ483="","","CAP-"&amp;ROW()-1),"")</f>
        <v/>
      </c>
      <c r="B1449" s="5" t="str">
        <f>IFERROR(IF(Portafolio_Proyectos!$AQ483="","",Portafolio_Proyectos!$AQ483),"")</f>
        <v/>
      </c>
      <c r="C1449" s="5" t="str">
        <f>IFERROR(IF(Portafolio_Proyectos!$AQ483="","","Consolidada"),"")</f>
        <v/>
      </c>
      <c r="D1449" s="5" t="str">
        <f>IFERROR(IF(Portafolio_Proyectos!$AQ483="","",Portafolio_Proyectos!$C483),"")</f>
        <v/>
      </c>
      <c r="E1449" s="5" t="str">
        <f>IFERROR(IF(Portafolio_Proyectos!$AQ483="","",Portafolio_Proyectos!$B483),"")</f>
        <v/>
      </c>
      <c r="F1449" s="5" t="str">
        <f>IFERROR(IF(Portafolio_Proyectos!$AQ483="","",Portafolio_Proyectos!$D483),"")</f>
        <v/>
      </c>
      <c r="G1449" s="5" t="str">
        <f>IFERROR(IF(Portafolio_Proyectos!$AQ483="","",Portafolio_Proyectos!$A483),"")</f>
        <v/>
      </c>
      <c r="H1449" s="5" t="str">
        <f>IFERROR(IF(Portafolio_Proyectos!$AQ483="","",Portafolio_Proyectos!$E483),"")</f>
        <v/>
      </c>
    </row>
    <row r="1450" spans="1:8" x14ac:dyDescent="0.35">
      <c r="A1450" s="5" t="str">
        <f>IFERROR(IF(Portafolio_Proyectos!$AR483="","","CAP-"&amp;ROW()-1),"")</f>
        <v/>
      </c>
      <c r="B1450" s="5" t="str">
        <f>IFERROR(IF(Portafolio_Proyectos!$AR483="","",Portafolio_Proyectos!$AR483),"")</f>
        <v/>
      </c>
      <c r="C1450" s="5" t="str">
        <f>IFERROR(IF(Portafolio_Proyectos!$AR483="","","Distintiva"),"")</f>
        <v/>
      </c>
      <c r="D1450" s="5" t="str">
        <f>IFERROR(IF(Portafolio_Proyectos!$AR483="","",Portafolio_Proyectos!$C483),"")</f>
        <v/>
      </c>
      <c r="E1450" s="5" t="str">
        <f>IFERROR(IF(Portafolio_Proyectos!$AR483="","",Portafolio_Proyectos!$B483),"")</f>
        <v/>
      </c>
      <c r="F1450" s="5" t="str">
        <f>IFERROR(IF(Portafolio_Proyectos!$AR483="","",Portafolio_Proyectos!$D483),"")</f>
        <v/>
      </c>
      <c r="G1450" s="5" t="str">
        <f>IFERROR(IF(Portafolio_Proyectos!$AR483="","",Portafolio_Proyectos!$A483),"")</f>
        <v/>
      </c>
      <c r="H1450" s="5" t="str">
        <f>IFERROR(IF(Portafolio_Proyectos!$AR483="","",Portafolio_Proyectos!$E483),"")</f>
        <v/>
      </c>
    </row>
    <row r="1451" spans="1:8" x14ac:dyDescent="0.35">
      <c r="A1451" s="5" t="str">
        <f>IFERROR(IF(Portafolio_Proyectos!$AP484="","","CAP-"&amp;ROW()-1),"")</f>
        <v/>
      </c>
      <c r="B1451" s="5" t="str">
        <f>IFERROR(IF(Portafolio_Proyectos!$AP484="","",Portafolio_Proyectos!$AP484),"")</f>
        <v/>
      </c>
      <c r="C1451" s="5" t="str">
        <f>IFERROR(IF(Portafolio_Proyectos!$AP484="","","Emergente"),"")</f>
        <v/>
      </c>
      <c r="D1451" s="5" t="str">
        <f>IFERROR(IF(Portafolio_Proyectos!$AP484="","",Portafolio_Proyectos!$C484),"")</f>
        <v/>
      </c>
      <c r="E1451" s="5" t="str">
        <f>IFERROR(IF(Portafolio_Proyectos!$AP484="","",Portafolio_Proyectos!$B484),"")</f>
        <v/>
      </c>
      <c r="F1451" s="5" t="str">
        <f>IFERROR(IF(Portafolio_Proyectos!$AP484="","",Portafolio_Proyectos!$D484),"")</f>
        <v/>
      </c>
      <c r="G1451" s="5" t="str">
        <f>IFERROR(IF(Portafolio_Proyectos!$AP484="","",Portafolio_Proyectos!$A484),"")</f>
        <v/>
      </c>
      <c r="H1451" s="5" t="str">
        <f>IFERROR(IF(Portafolio_Proyectos!$AP484="","",Portafolio_Proyectos!$E484),"")</f>
        <v/>
      </c>
    </row>
    <row r="1452" spans="1:8" x14ac:dyDescent="0.35">
      <c r="A1452" s="5" t="str">
        <f>IFERROR(IF(Portafolio_Proyectos!$AQ484="","","CAP-"&amp;ROW()-1),"")</f>
        <v/>
      </c>
      <c r="B1452" s="5" t="str">
        <f>IFERROR(IF(Portafolio_Proyectos!$AQ484="","",Portafolio_Proyectos!$AQ484),"")</f>
        <v/>
      </c>
      <c r="C1452" s="5" t="str">
        <f>IFERROR(IF(Portafolio_Proyectos!$AQ484="","","Consolidada"),"")</f>
        <v/>
      </c>
      <c r="D1452" s="5" t="str">
        <f>IFERROR(IF(Portafolio_Proyectos!$AQ484="","",Portafolio_Proyectos!$C484),"")</f>
        <v/>
      </c>
      <c r="E1452" s="5" t="str">
        <f>IFERROR(IF(Portafolio_Proyectos!$AQ484="","",Portafolio_Proyectos!$B484),"")</f>
        <v/>
      </c>
      <c r="F1452" s="5" t="str">
        <f>IFERROR(IF(Portafolio_Proyectos!$AQ484="","",Portafolio_Proyectos!$D484),"")</f>
        <v/>
      </c>
      <c r="G1452" s="5" t="str">
        <f>IFERROR(IF(Portafolio_Proyectos!$AQ484="","",Portafolio_Proyectos!$A484),"")</f>
        <v/>
      </c>
      <c r="H1452" s="5" t="str">
        <f>IFERROR(IF(Portafolio_Proyectos!$AQ484="","",Portafolio_Proyectos!$E484),"")</f>
        <v/>
      </c>
    </row>
    <row r="1453" spans="1:8" x14ac:dyDescent="0.35">
      <c r="A1453" s="5" t="str">
        <f>IFERROR(IF(Portafolio_Proyectos!$AR484="","","CAP-"&amp;ROW()-1),"")</f>
        <v/>
      </c>
      <c r="B1453" s="5" t="str">
        <f>IFERROR(IF(Portafolio_Proyectos!$AR484="","",Portafolio_Proyectos!$AR484),"")</f>
        <v/>
      </c>
      <c r="C1453" s="5" t="str">
        <f>IFERROR(IF(Portafolio_Proyectos!$AR484="","","Distintiva"),"")</f>
        <v/>
      </c>
      <c r="D1453" s="5" t="str">
        <f>IFERROR(IF(Portafolio_Proyectos!$AR484="","",Portafolio_Proyectos!$C484),"")</f>
        <v/>
      </c>
      <c r="E1453" s="5" t="str">
        <f>IFERROR(IF(Portafolio_Proyectos!$AR484="","",Portafolio_Proyectos!$B484),"")</f>
        <v/>
      </c>
      <c r="F1453" s="5" t="str">
        <f>IFERROR(IF(Portafolio_Proyectos!$AR484="","",Portafolio_Proyectos!$D484),"")</f>
        <v/>
      </c>
      <c r="G1453" s="5" t="str">
        <f>IFERROR(IF(Portafolio_Proyectos!$AR484="","",Portafolio_Proyectos!$A484),"")</f>
        <v/>
      </c>
      <c r="H1453" s="5" t="str">
        <f>IFERROR(IF(Portafolio_Proyectos!$AR484="","",Portafolio_Proyectos!$E484),"")</f>
        <v/>
      </c>
    </row>
    <row r="1454" spans="1:8" x14ac:dyDescent="0.35">
      <c r="A1454" s="5" t="str">
        <f>IFERROR(IF(Portafolio_Proyectos!$AP485="","","CAP-"&amp;ROW()-1),"")</f>
        <v/>
      </c>
      <c r="B1454" s="5" t="str">
        <f>IFERROR(IF(Portafolio_Proyectos!$AP485="","",Portafolio_Proyectos!$AP485),"")</f>
        <v/>
      </c>
      <c r="C1454" s="5" t="str">
        <f>IFERROR(IF(Portafolio_Proyectos!$AP485="","","Emergente"),"")</f>
        <v/>
      </c>
      <c r="D1454" s="5" t="str">
        <f>IFERROR(IF(Portafolio_Proyectos!$AP485="","",Portafolio_Proyectos!$C485),"")</f>
        <v/>
      </c>
      <c r="E1454" s="5" t="str">
        <f>IFERROR(IF(Portafolio_Proyectos!$AP485="","",Portafolio_Proyectos!$B485),"")</f>
        <v/>
      </c>
      <c r="F1454" s="5" t="str">
        <f>IFERROR(IF(Portafolio_Proyectos!$AP485="","",Portafolio_Proyectos!$D485),"")</f>
        <v/>
      </c>
      <c r="G1454" s="5" t="str">
        <f>IFERROR(IF(Portafolio_Proyectos!$AP485="","",Portafolio_Proyectos!$A485),"")</f>
        <v/>
      </c>
      <c r="H1454" s="5" t="str">
        <f>IFERROR(IF(Portafolio_Proyectos!$AP485="","",Portafolio_Proyectos!$E485),"")</f>
        <v/>
      </c>
    </row>
    <row r="1455" spans="1:8" x14ac:dyDescent="0.35">
      <c r="A1455" s="5" t="str">
        <f>IFERROR(IF(Portafolio_Proyectos!$AQ485="","","CAP-"&amp;ROW()-1),"")</f>
        <v/>
      </c>
      <c r="B1455" s="5" t="str">
        <f>IFERROR(IF(Portafolio_Proyectos!$AQ485="","",Portafolio_Proyectos!$AQ485),"")</f>
        <v/>
      </c>
      <c r="C1455" s="5" t="str">
        <f>IFERROR(IF(Portafolio_Proyectos!$AQ485="","","Consolidada"),"")</f>
        <v/>
      </c>
      <c r="D1455" s="5" t="str">
        <f>IFERROR(IF(Portafolio_Proyectos!$AQ485="","",Portafolio_Proyectos!$C485),"")</f>
        <v/>
      </c>
      <c r="E1455" s="5" t="str">
        <f>IFERROR(IF(Portafolio_Proyectos!$AQ485="","",Portafolio_Proyectos!$B485),"")</f>
        <v/>
      </c>
      <c r="F1455" s="5" t="str">
        <f>IFERROR(IF(Portafolio_Proyectos!$AQ485="","",Portafolio_Proyectos!$D485),"")</f>
        <v/>
      </c>
      <c r="G1455" s="5" t="str">
        <f>IFERROR(IF(Portafolio_Proyectos!$AQ485="","",Portafolio_Proyectos!$A485),"")</f>
        <v/>
      </c>
      <c r="H1455" s="5" t="str">
        <f>IFERROR(IF(Portafolio_Proyectos!$AQ485="","",Portafolio_Proyectos!$E485),"")</f>
        <v/>
      </c>
    </row>
    <row r="1456" spans="1:8" x14ac:dyDescent="0.35">
      <c r="A1456" s="5" t="str">
        <f>IFERROR(IF(Portafolio_Proyectos!$AR485="","","CAP-"&amp;ROW()-1),"")</f>
        <v/>
      </c>
      <c r="B1456" s="5" t="str">
        <f>IFERROR(IF(Portafolio_Proyectos!$AR485="","",Portafolio_Proyectos!$AR485),"")</f>
        <v/>
      </c>
      <c r="C1456" s="5" t="str">
        <f>IFERROR(IF(Portafolio_Proyectos!$AR485="","","Distintiva"),"")</f>
        <v/>
      </c>
      <c r="D1456" s="5" t="str">
        <f>IFERROR(IF(Portafolio_Proyectos!$AR485="","",Portafolio_Proyectos!$C485),"")</f>
        <v/>
      </c>
      <c r="E1456" s="5" t="str">
        <f>IFERROR(IF(Portafolio_Proyectos!$AR485="","",Portafolio_Proyectos!$B485),"")</f>
        <v/>
      </c>
      <c r="F1456" s="5" t="str">
        <f>IFERROR(IF(Portafolio_Proyectos!$AR485="","",Portafolio_Proyectos!$D485),"")</f>
        <v/>
      </c>
      <c r="G1456" s="5" t="str">
        <f>IFERROR(IF(Portafolio_Proyectos!$AR485="","",Portafolio_Proyectos!$A485),"")</f>
        <v/>
      </c>
      <c r="H1456" s="5" t="str">
        <f>IFERROR(IF(Portafolio_Proyectos!$AR485="","",Portafolio_Proyectos!$E485),"")</f>
        <v/>
      </c>
    </row>
    <row r="1457" spans="1:8" x14ac:dyDescent="0.35">
      <c r="A1457" s="5" t="str">
        <f>IFERROR(IF(Portafolio_Proyectos!$AP486="","","CAP-"&amp;ROW()-1),"")</f>
        <v/>
      </c>
      <c r="B1457" s="5" t="str">
        <f>IFERROR(IF(Portafolio_Proyectos!$AP486="","",Portafolio_Proyectos!$AP486),"")</f>
        <v/>
      </c>
      <c r="C1457" s="5" t="str">
        <f>IFERROR(IF(Portafolio_Proyectos!$AP486="","","Emergente"),"")</f>
        <v/>
      </c>
      <c r="D1457" s="5" t="str">
        <f>IFERROR(IF(Portafolio_Proyectos!$AP486="","",Portafolio_Proyectos!$C486),"")</f>
        <v/>
      </c>
      <c r="E1457" s="5" t="str">
        <f>IFERROR(IF(Portafolio_Proyectos!$AP486="","",Portafolio_Proyectos!$B486),"")</f>
        <v/>
      </c>
      <c r="F1457" s="5" t="str">
        <f>IFERROR(IF(Portafolio_Proyectos!$AP486="","",Portafolio_Proyectos!$D486),"")</f>
        <v/>
      </c>
      <c r="G1457" s="5" t="str">
        <f>IFERROR(IF(Portafolio_Proyectos!$AP486="","",Portafolio_Proyectos!$A486),"")</f>
        <v/>
      </c>
      <c r="H1457" s="5" t="str">
        <f>IFERROR(IF(Portafolio_Proyectos!$AP486="","",Portafolio_Proyectos!$E486),"")</f>
        <v/>
      </c>
    </row>
    <row r="1458" spans="1:8" x14ac:dyDescent="0.35">
      <c r="A1458" s="5" t="str">
        <f>IFERROR(IF(Portafolio_Proyectos!$AQ486="","","CAP-"&amp;ROW()-1),"")</f>
        <v/>
      </c>
      <c r="B1458" s="5" t="str">
        <f>IFERROR(IF(Portafolio_Proyectos!$AQ486="","",Portafolio_Proyectos!$AQ486),"")</f>
        <v/>
      </c>
      <c r="C1458" s="5" t="str">
        <f>IFERROR(IF(Portafolio_Proyectos!$AQ486="","","Consolidada"),"")</f>
        <v/>
      </c>
      <c r="D1458" s="5" t="str">
        <f>IFERROR(IF(Portafolio_Proyectos!$AQ486="","",Portafolio_Proyectos!$C486),"")</f>
        <v/>
      </c>
      <c r="E1458" s="5" t="str">
        <f>IFERROR(IF(Portafolio_Proyectos!$AQ486="","",Portafolio_Proyectos!$B486),"")</f>
        <v/>
      </c>
      <c r="F1458" s="5" t="str">
        <f>IFERROR(IF(Portafolio_Proyectos!$AQ486="","",Portafolio_Proyectos!$D486),"")</f>
        <v/>
      </c>
      <c r="G1458" s="5" t="str">
        <f>IFERROR(IF(Portafolio_Proyectos!$AQ486="","",Portafolio_Proyectos!$A486),"")</f>
        <v/>
      </c>
      <c r="H1458" s="5" t="str">
        <f>IFERROR(IF(Portafolio_Proyectos!$AQ486="","",Portafolio_Proyectos!$E486),"")</f>
        <v/>
      </c>
    </row>
    <row r="1459" spans="1:8" x14ac:dyDescent="0.35">
      <c r="A1459" s="5" t="str">
        <f>IFERROR(IF(Portafolio_Proyectos!$AR486="","","CAP-"&amp;ROW()-1),"")</f>
        <v/>
      </c>
      <c r="B1459" s="5" t="str">
        <f>IFERROR(IF(Portafolio_Proyectos!$AR486="","",Portafolio_Proyectos!$AR486),"")</f>
        <v/>
      </c>
      <c r="C1459" s="5" t="str">
        <f>IFERROR(IF(Portafolio_Proyectos!$AR486="","","Distintiva"),"")</f>
        <v/>
      </c>
      <c r="D1459" s="5" t="str">
        <f>IFERROR(IF(Portafolio_Proyectos!$AR486="","",Portafolio_Proyectos!$C486),"")</f>
        <v/>
      </c>
      <c r="E1459" s="5" t="str">
        <f>IFERROR(IF(Portafolio_Proyectos!$AR486="","",Portafolio_Proyectos!$B486),"")</f>
        <v/>
      </c>
      <c r="F1459" s="5" t="str">
        <f>IFERROR(IF(Portafolio_Proyectos!$AR486="","",Portafolio_Proyectos!$D486),"")</f>
        <v/>
      </c>
      <c r="G1459" s="5" t="str">
        <f>IFERROR(IF(Portafolio_Proyectos!$AR486="","",Portafolio_Proyectos!$A486),"")</f>
        <v/>
      </c>
      <c r="H1459" s="5" t="str">
        <f>IFERROR(IF(Portafolio_Proyectos!$AR486="","",Portafolio_Proyectos!$E486),"")</f>
        <v/>
      </c>
    </row>
    <row r="1460" spans="1:8" x14ac:dyDescent="0.35">
      <c r="A1460" s="5" t="str">
        <f>IFERROR(IF(Portafolio_Proyectos!$AP487="","","CAP-"&amp;ROW()-1),"")</f>
        <v/>
      </c>
      <c r="B1460" s="5" t="str">
        <f>IFERROR(IF(Portafolio_Proyectos!$AP487="","",Portafolio_Proyectos!$AP487),"")</f>
        <v/>
      </c>
      <c r="C1460" s="5" t="str">
        <f>IFERROR(IF(Portafolio_Proyectos!$AP487="","","Emergente"),"")</f>
        <v/>
      </c>
      <c r="D1460" s="5" t="str">
        <f>IFERROR(IF(Portafolio_Proyectos!$AP487="","",Portafolio_Proyectos!$C487),"")</f>
        <v/>
      </c>
      <c r="E1460" s="5" t="str">
        <f>IFERROR(IF(Portafolio_Proyectos!$AP487="","",Portafolio_Proyectos!$B487),"")</f>
        <v/>
      </c>
      <c r="F1460" s="5" t="str">
        <f>IFERROR(IF(Portafolio_Proyectos!$AP487="","",Portafolio_Proyectos!$D487),"")</f>
        <v/>
      </c>
      <c r="G1460" s="5" t="str">
        <f>IFERROR(IF(Portafolio_Proyectos!$AP487="","",Portafolio_Proyectos!$A487),"")</f>
        <v/>
      </c>
      <c r="H1460" s="5" t="str">
        <f>IFERROR(IF(Portafolio_Proyectos!$AP487="","",Portafolio_Proyectos!$E487),"")</f>
        <v/>
      </c>
    </row>
    <row r="1461" spans="1:8" x14ac:dyDescent="0.35">
      <c r="A1461" s="5" t="str">
        <f>IFERROR(IF(Portafolio_Proyectos!$AQ487="","","CAP-"&amp;ROW()-1),"")</f>
        <v/>
      </c>
      <c r="B1461" s="5" t="str">
        <f>IFERROR(IF(Portafolio_Proyectos!$AQ487="","",Portafolio_Proyectos!$AQ487),"")</f>
        <v/>
      </c>
      <c r="C1461" s="5" t="str">
        <f>IFERROR(IF(Portafolio_Proyectos!$AQ487="","","Consolidada"),"")</f>
        <v/>
      </c>
      <c r="D1461" s="5" t="str">
        <f>IFERROR(IF(Portafolio_Proyectos!$AQ487="","",Portafolio_Proyectos!$C487),"")</f>
        <v/>
      </c>
      <c r="E1461" s="5" t="str">
        <f>IFERROR(IF(Portafolio_Proyectos!$AQ487="","",Portafolio_Proyectos!$B487),"")</f>
        <v/>
      </c>
      <c r="F1461" s="5" t="str">
        <f>IFERROR(IF(Portafolio_Proyectos!$AQ487="","",Portafolio_Proyectos!$D487),"")</f>
        <v/>
      </c>
      <c r="G1461" s="5" t="str">
        <f>IFERROR(IF(Portafolio_Proyectos!$AQ487="","",Portafolio_Proyectos!$A487),"")</f>
        <v/>
      </c>
      <c r="H1461" s="5" t="str">
        <f>IFERROR(IF(Portafolio_Proyectos!$AQ487="","",Portafolio_Proyectos!$E487),"")</f>
        <v/>
      </c>
    </row>
    <row r="1462" spans="1:8" x14ac:dyDescent="0.35">
      <c r="A1462" s="5" t="str">
        <f>IFERROR(IF(Portafolio_Proyectos!$AR487="","","CAP-"&amp;ROW()-1),"")</f>
        <v/>
      </c>
      <c r="B1462" s="5" t="str">
        <f>IFERROR(IF(Portafolio_Proyectos!$AR487="","",Portafolio_Proyectos!$AR487),"")</f>
        <v/>
      </c>
      <c r="C1462" s="5" t="str">
        <f>IFERROR(IF(Portafolio_Proyectos!$AR487="","","Distintiva"),"")</f>
        <v/>
      </c>
      <c r="D1462" s="5" t="str">
        <f>IFERROR(IF(Portafolio_Proyectos!$AR487="","",Portafolio_Proyectos!$C487),"")</f>
        <v/>
      </c>
      <c r="E1462" s="5" t="str">
        <f>IFERROR(IF(Portafolio_Proyectos!$AR487="","",Portafolio_Proyectos!$B487),"")</f>
        <v/>
      </c>
      <c r="F1462" s="5" t="str">
        <f>IFERROR(IF(Portafolio_Proyectos!$AR487="","",Portafolio_Proyectos!$D487),"")</f>
        <v/>
      </c>
      <c r="G1462" s="5" t="str">
        <f>IFERROR(IF(Portafolio_Proyectos!$AR487="","",Portafolio_Proyectos!$A487),"")</f>
        <v/>
      </c>
      <c r="H1462" s="5" t="str">
        <f>IFERROR(IF(Portafolio_Proyectos!$AR487="","",Portafolio_Proyectos!$E487),"")</f>
        <v/>
      </c>
    </row>
    <row r="1463" spans="1:8" x14ac:dyDescent="0.35">
      <c r="A1463" s="5" t="str">
        <f>IFERROR(IF(Portafolio_Proyectos!$AP488="","","CAP-"&amp;ROW()-1),"")</f>
        <v/>
      </c>
      <c r="B1463" s="5" t="str">
        <f>IFERROR(IF(Portafolio_Proyectos!$AP488="","",Portafolio_Proyectos!$AP488),"")</f>
        <v/>
      </c>
      <c r="C1463" s="5" t="str">
        <f>IFERROR(IF(Portafolio_Proyectos!$AP488="","","Emergente"),"")</f>
        <v/>
      </c>
      <c r="D1463" s="5" t="str">
        <f>IFERROR(IF(Portafolio_Proyectos!$AP488="","",Portafolio_Proyectos!$C488),"")</f>
        <v/>
      </c>
      <c r="E1463" s="5" t="str">
        <f>IFERROR(IF(Portafolio_Proyectos!$AP488="","",Portafolio_Proyectos!$B488),"")</f>
        <v/>
      </c>
      <c r="F1463" s="5" t="str">
        <f>IFERROR(IF(Portafolio_Proyectos!$AP488="","",Portafolio_Proyectos!$D488),"")</f>
        <v/>
      </c>
      <c r="G1463" s="5" t="str">
        <f>IFERROR(IF(Portafolio_Proyectos!$AP488="","",Portafolio_Proyectos!$A488),"")</f>
        <v/>
      </c>
      <c r="H1463" s="5" t="str">
        <f>IFERROR(IF(Portafolio_Proyectos!$AP488="","",Portafolio_Proyectos!$E488),"")</f>
        <v/>
      </c>
    </row>
    <row r="1464" spans="1:8" x14ac:dyDescent="0.35">
      <c r="A1464" s="5" t="str">
        <f>IFERROR(IF(Portafolio_Proyectos!$AQ488="","","CAP-"&amp;ROW()-1),"")</f>
        <v/>
      </c>
      <c r="B1464" s="5" t="str">
        <f>IFERROR(IF(Portafolio_Proyectos!$AQ488="","",Portafolio_Proyectos!$AQ488),"")</f>
        <v/>
      </c>
      <c r="C1464" s="5" t="str">
        <f>IFERROR(IF(Portafolio_Proyectos!$AQ488="","","Consolidada"),"")</f>
        <v/>
      </c>
      <c r="D1464" s="5" t="str">
        <f>IFERROR(IF(Portafolio_Proyectos!$AQ488="","",Portafolio_Proyectos!$C488),"")</f>
        <v/>
      </c>
      <c r="E1464" s="5" t="str">
        <f>IFERROR(IF(Portafolio_Proyectos!$AQ488="","",Portafolio_Proyectos!$B488),"")</f>
        <v/>
      </c>
      <c r="F1464" s="5" t="str">
        <f>IFERROR(IF(Portafolio_Proyectos!$AQ488="","",Portafolio_Proyectos!$D488),"")</f>
        <v/>
      </c>
      <c r="G1464" s="5" t="str">
        <f>IFERROR(IF(Portafolio_Proyectos!$AQ488="","",Portafolio_Proyectos!$A488),"")</f>
        <v/>
      </c>
      <c r="H1464" s="5" t="str">
        <f>IFERROR(IF(Portafolio_Proyectos!$AQ488="","",Portafolio_Proyectos!$E488),"")</f>
        <v/>
      </c>
    </row>
    <row r="1465" spans="1:8" x14ac:dyDescent="0.35">
      <c r="A1465" s="5" t="str">
        <f>IFERROR(IF(Portafolio_Proyectos!$AR488="","","CAP-"&amp;ROW()-1),"")</f>
        <v/>
      </c>
      <c r="B1465" s="5" t="str">
        <f>IFERROR(IF(Portafolio_Proyectos!$AR488="","",Portafolio_Proyectos!$AR488),"")</f>
        <v/>
      </c>
      <c r="C1465" s="5" t="str">
        <f>IFERROR(IF(Portafolio_Proyectos!$AR488="","","Distintiva"),"")</f>
        <v/>
      </c>
      <c r="D1465" s="5" t="str">
        <f>IFERROR(IF(Portafolio_Proyectos!$AR488="","",Portafolio_Proyectos!$C488),"")</f>
        <v/>
      </c>
      <c r="E1465" s="5" t="str">
        <f>IFERROR(IF(Portafolio_Proyectos!$AR488="","",Portafolio_Proyectos!$B488),"")</f>
        <v/>
      </c>
      <c r="F1465" s="5" t="str">
        <f>IFERROR(IF(Portafolio_Proyectos!$AR488="","",Portafolio_Proyectos!$D488),"")</f>
        <v/>
      </c>
      <c r="G1465" s="5" t="str">
        <f>IFERROR(IF(Portafolio_Proyectos!$AR488="","",Portafolio_Proyectos!$A488),"")</f>
        <v/>
      </c>
      <c r="H1465" s="5" t="str">
        <f>IFERROR(IF(Portafolio_Proyectos!$AR488="","",Portafolio_Proyectos!$E488),"")</f>
        <v/>
      </c>
    </row>
    <row r="1466" spans="1:8" x14ac:dyDescent="0.35">
      <c r="A1466" s="5" t="str">
        <f>IFERROR(IF(Portafolio_Proyectos!$AP489="","","CAP-"&amp;ROW()-1),"")</f>
        <v/>
      </c>
      <c r="B1466" s="5" t="str">
        <f>IFERROR(IF(Portafolio_Proyectos!$AP489="","",Portafolio_Proyectos!$AP489),"")</f>
        <v/>
      </c>
      <c r="C1466" s="5" t="str">
        <f>IFERROR(IF(Portafolio_Proyectos!$AP489="","","Emergente"),"")</f>
        <v/>
      </c>
      <c r="D1466" s="5" t="str">
        <f>IFERROR(IF(Portafolio_Proyectos!$AP489="","",Portafolio_Proyectos!$C489),"")</f>
        <v/>
      </c>
      <c r="E1466" s="5" t="str">
        <f>IFERROR(IF(Portafolio_Proyectos!$AP489="","",Portafolio_Proyectos!$B489),"")</f>
        <v/>
      </c>
      <c r="F1466" s="5" t="str">
        <f>IFERROR(IF(Portafolio_Proyectos!$AP489="","",Portafolio_Proyectos!$D489),"")</f>
        <v/>
      </c>
      <c r="G1466" s="5" t="str">
        <f>IFERROR(IF(Portafolio_Proyectos!$AP489="","",Portafolio_Proyectos!$A489),"")</f>
        <v/>
      </c>
      <c r="H1466" s="5" t="str">
        <f>IFERROR(IF(Portafolio_Proyectos!$AP489="","",Portafolio_Proyectos!$E489),"")</f>
        <v/>
      </c>
    </row>
    <row r="1467" spans="1:8" x14ac:dyDescent="0.35">
      <c r="A1467" s="5" t="str">
        <f>IFERROR(IF(Portafolio_Proyectos!$AQ489="","","CAP-"&amp;ROW()-1),"")</f>
        <v/>
      </c>
      <c r="B1467" s="5" t="str">
        <f>IFERROR(IF(Portafolio_Proyectos!$AQ489="","",Portafolio_Proyectos!$AQ489),"")</f>
        <v/>
      </c>
      <c r="C1467" s="5" t="str">
        <f>IFERROR(IF(Portafolio_Proyectos!$AQ489="","","Consolidada"),"")</f>
        <v/>
      </c>
      <c r="D1467" s="5" t="str">
        <f>IFERROR(IF(Portafolio_Proyectos!$AQ489="","",Portafolio_Proyectos!$C489),"")</f>
        <v/>
      </c>
      <c r="E1467" s="5" t="str">
        <f>IFERROR(IF(Portafolio_Proyectos!$AQ489="","",Portafolio_Proyectos!$B489),"")</f>
        <v/>
      </c>
      <c r="F1467" s="5" t="str">
        <f>IFERROR(IF(Portafolio_Proyectos!$AQ489="","",Portafolio_Proyectos!$D489),"")</f>
        <v/>
      </c>
      <c r="G1467" s="5" t="str">
        <f>IFERROR(IF(Portafolio_Proyectos!$AQ489="","",Portafolio_Proyectos!$A489),"")</f>
        <v/>
      </c>
      <c r="H1467" s="5" t="str">
        <f>IFERROR(IF(Portafolio_Proyectos!$AQ489="","",Portafolio_Proyectos!$E489),"")</f>
        <v/>
      </c>
    </row>
    <row r="1468" spans="1:8" x14ac:dyDescent="0.35">
      <c r="A1468" s="5" t="str">
        <f>IFERROR(IF(Portafolio_Proyectos!$AR489="","","CAP-"&amp;ROW()-1),"")</f>
        <v/>
      </c>
      <c r="B1468" s="5" t="str">
        <f>IFERROR(IF(Portafolio_Proyectos!$AR489="","",Portafolio_Proyectos!$AR489),"")</f>
        <v/>
      </c>
      <c r="C1468" s="5" t="str">
        <f>IFERROR(IF(Portafolio_Proyectos!$AR489="","","Distintiva"),"")</f>
        <v/>
      </c>
      <c r="D1468" s="5" t="str">
        <f>IFERROR(IF(Portafolio_Proyectos!$AR489="","",Portafolio_Proyectos!$C489),"")</f>
        <v/>
      </c>
      <c r="E1468" s="5" t="str">
        <f>IFERROR(IF(Portafolio_Proyectos!$AR489="","",Portafolio_Proyectos!$B489),"")</f>
        <v/>
      </c>
      <c r="F1468" s="5" t="str">
        <f>IFERROR(IF(Portafolio_Proyectos!$AR489="","",Portafolio_Proyectos!$D489),"")</f>
        <v/>
      </c>
      <c r="G1468" s="5" t="str">
        <f>IFERROR(IF(Portafolio_Proyectos!$AR489="","",Portafolio_Proyectos!$A489),"")</f>
        <v/>
      </c>
      <c r="H1468" s="5" t="str">
        <f>IFERROR(IF(Portafolio_Proyectos!$AR489="","",Portafolio_Proyectos!$E489),"")</f>
        <v/>
      </c>
    </row>
    <row r="1469" spans="1:8" x14ac:dyDescent="0.35">
      <c r="A1469" s="5" t="str">
        <f>IFERROR(IF(Portafolio_Proyectos!$AP490="","","CAP-"&amp;ROW()-1),"")</f>
        <v/>
      </c>
      <c r="B1469" s="5" t="str">
        <f>IFERROR(IF(Portafolio_Proyectos!$AP490="","",Portafolio_Proyectos!$AP490),"")</f>
        <v/>
      </c>
      <c r="C1469" s="5" t="str">
        <f>IFERROR(IF(Portafolio_Proyectos!$AP490="","","Emergente"),"")</f>
        <v/>
      </c>
      <c r="D1469" s="5" t="str">
        <f>IFERROR(IF(Portafolio_Proyectos!$AP490="","",Portafolio_Proyectos!$C490),"")</f>
        <v/>
      </c>
      <c r="E1469" s="5" t="str">
        <f>IFERROR(IF(Portafolio_Proyectos!$AP490="","",Portafolio_Proyectos!$B490),"")</f>
        <v/>
      </c>
      <c r="F1469" s="5" t="str">
        <f>IFERROR(IF(Portafolio_Proyectos!$AP490="","",Portafolio_Proyectos!$D490),"")</f>
        <v/>
      </c>
      <c r="G1469" s="5" t="str">
        <f>IFERROR(IF(Portafolio_Proyectos!$AP490="","",Portafolio_Proyectos!$A490),"")</f>
        <v/>
      </c>
      <c r="H1469" s="5" t="str">
        <f>IFERROR(IF(Portafolio_Proyectos!$AP490="","",Portafolio_Proyectos!$E490),"")</f>
        <v/>
      </c>
    </row>
    <row r="1470" spans="1:8" x14ac:dyDescent="0.35">
      <c r="A1470" s="5" t="str">
        <f>IFERROR(IF(Portafolio_Proyectos!$AQ490="","","CAP-"&amp;ROW()-1),"")</f>
        <v/>
      </c>
      <c r="B1470" s="5" t="str">
        <f>IFERROR(IF(Portafolio_Proyectos!$AQ490="","",Portafolio_Proyectos!$AQ490),"")</f>
        <v/>
      </c>
      <c r="C1470" s="5" t="str">
        <f>IFERROR(IF(Portafolio_Proyectos!$AQ490="","","Consolidada"),"")</f>
        <v/>
      </c>
      <c r="D1470" s="5" t="str">
        <f>IFERROR(IF(Portafolio_Proyectos!$AQ490="","",Portafolio_Proyectos!$C490),"")</f>
        <v/>
      </c>
      <c r="E1470" s="5" t="str">
        <f>IFERROR(IF(Portafolio_Proyectos!$AQ490="","",Portafolio_Proyectos!$B490),"")</f>
        <v/>
      </c>
      <c r="F1470" s="5" t="str">
        <f>IFERROR(IF(Portafolio_Proyectos!$AQ490="","",Portafolio_Proyectos!$D490),"")</f>
        <v/>
      </c>
      <c r="G1470" s="5" t="str">
        <f>IFERROR(IF(Portafolio_Proyectos!$AQ490="","",Portafolio_Proyectos!$A490),"")</f>
        <v/>
      </c>
      <c r="H1470" s="5" t="str">
        <f>IFERROR(IF(Portafolio_Proyectos!$AQ490="","",Portafolio_Proyectos!$E490),"")</f>
        <v/>
      </c>
    </row>
    <row r="1471" spans="1:8" x14ac:dyDescent="0.35">
      <c r="A1471" s="5" t="str">
        <f>IFERROR(IF(Portafolio_Proyectos!$AR490="","","CAP-"&amp;ROW()-1),"")</f>
        <v/>
      </c>
      <c r="B1471" s="5" t="str">
        <f>IFERROR(IF(Portafolio_Proyectos!$AR490="","",Portafolio_Proyectos!$AR490),"")</f>
        <v/>
      </c>
      <c r="C1471" s="5" t="str">
        <f>IFERROR(IF(Portafolio_Proyectos!$AR490="","","Distintiva"),"")</f>
        <v/>
      </c>
      <c r="D1471" s="5" t="str">
        <f>IFERROR(IF(Portafolio_Proyectos!$AR490="","",Portafolio_Proyectos!$C490),"")</f>
        <v/>
      </c>
      <c r="E1471" s="5" t="str">
        <f>IFERROR(IF(Portafolio_Proyectos!$AR490="","",Portafolio_Proyectos!$B490),"")</f>
        <v/>
      </c>
      <c r="F1471" s="5" t="str">
        <f>IFERROR(IF(Portafolio_Proyectos!$AR490="","",Portafolio_Proyectos!$D490),"")</f>
        <v/>
      </c>
      <c r="G1471" s="5" t="str">
        <f>IFERROR(IF(Portafolio_Proyectos!$AR490="","",Portafolio_Proyectos!$A490),"")</f>
        <v/>
      </c>
      <c r="H1471" s="5" t="str">
        <f>IFERROR(IF(Portafolio_Proyectos!$AR490="","",Portafolio_Proyectos!$E490),"")</f>
        <v/>
      </c>
    </row>
    <row r="1472" spans="1:8" x14ac:dyDescent="0.35">
      <c r="A1472" s="5" t="str">
        <f>IFERROR(IF(Portafolio_Proyectos!$AP491="","","CAP-"&amp;ROW()-1),"")</f>
        <v/>
      </c>
      <c r="B1472" s="5" t="str">
        <f>IFERROR(IF(Portafolio_Proyectos!$AP491="","",Portafolio_Proyectos!$AP491),"")</f>
        <v/>
      </c>
      <c r="C1472" s="5" t="str">
        <f>IFERROR(IF(Portafolio_Proyectos!$AP491="","","Emergente"),"")</f>
        <v/>
      </c>
      <c r="D1472" s="5" t="str">
        <f>IFERROR(IF(Portafolio_Proyectos!$AP491="","",Portafolio_Proyectos!$C491),"")</f>
        <v/>
      </c>
      <c r="E1472" s="5" t="str">
        <f>IFERROR(IF(Portafolio_Proyectos!$AP491="","",Portafolio_Proyectos!$B491),"")</f>
        <v/>
      </c>
      <c r="F1472" s="5" t="str">
        <f>IFERROR(IF(Portafolio_Proyectos!$AP491="","",Portafolio_Proyectos!$D491),"")</f>
        <v/>
      </c>
      <c r="G1472" s="5" t="str">
        <f>IFERROR(IF(Portafolio_Proyectos!$AP491="","",Portafolio_Proyectos!$A491),"")</f>
        <v/>
      </c>
      <c r="H1472" s="5" t="str">
        <f>IFERROR(IF(Portafolio_Proyectos!$AP491="","",Portafolio_Proyectos!$E491),"")</f>
        <v/>
      </c>
    </row>
    <row r="1473" spans="1:8" x14ac:dyDescent="0.35">
      <c r="A1473" s="5" t="str">
        <f>IFERROR(IF(Portafolio_Proyectos!$AQ491="","","CAP-"&amp;ROW()-1),"")</f>
        <v/>
      </c>
      <c r="B1473" s="5" t="str">
        <f>IFERROR(IF(Portafolio_Proyectos!$AQ491="","",Portafolio_Proyectos!$AQ491),"")</f>
        <v/>
      </c>
      <c r="C1473" s="5" t="str">
        <f>IFERROR(IF(Portafolio_Proyectos!$AQ491="","","Consolidada"),"")</f>
        <v/>
      </c>
      <c r="D1473" s="5" t="str">
        <f>IFERROR(IF(Portafolio_Proyectos!$AQ491="","",Portafolio_Proyectos!$C491),"")</f>
        <v/>
      </c>
      <c r="E1473" s="5" t="str">
        <f>IFERROR(IF(Portafolio_Proyectos!$AQ491="","",Portafolio_Proyectos!$B491),"")</f>
        <v/>
      </c>
      <c r="F1473" s="5" t="str">
        <f>IFERROR(IF(Portafolio_Proyectos!$AQ491="","",Portafolio_Proyectos!$D491),"")</f>
        <v/>
      </c>
      <c r="G1473" s="5" t="str">
        <f>IFERROR(IF(Portafolio_Proyectos!$AQ491="","",Portafolio_Proyectos!$A491),"")</f>
        <v/>
      </c>
      <c r="H1473" s="5" t="str">
        <f>IFERROR(IF(Portafolio_Proyectos!$AQ491="","",Portafolio_Proyectos!$E491),"")</f>
        <v/>
      </c>
    </row>
    <row r="1474" spans="1:8" x14ac:dyDescent="0.35">
      <c r="A1474" s="5" t="str">
        <f>IFERROR(IF(Portafolio_Proyectos!$AR491="","","CAP-"&amp;ROW()-1),"")</f>
        <v/>
      </c>
      <c r="B1474" s="5" t="str">
        <f>IFERROR(IF(Portafolio_Proyectos!$AR491="","",Portafolio_Proyectos!$AR491),"")</f>
        <v/>
      </c>
      <c r="C1474" s="5" t="str">
        <f>IFERROR(IF(Portafolio_Proyectos!$AR491="","","Distintiva"),"")</f>
        <v/>
      </c>
      <c r="D1474" s="5" t="str">
        <f>IFERROR(IF(Portafolio_Proyectos!$AR491="","",Portafolio_Proyectos!$C491),"")</f>
        <v/>
      </c>
      <c r="E1474" s="5" t="str">
        <f>IFERROR(IF(Portafolio_Proyectos!$AR491="","",Portafolio_Proyectos!$B491),"")</f>
        <v/>
      </c>
      <c r="F1474" s="5" t="str">
        <f>IFERROR(IF(Portafolio_Proyectos!$AR491="","",Portafolio_Proyectos!$D491),"")</f>
        <v/>
      </c>
      <c r="G1474" s="5" t="str">
        <f>IFERROR(IF(Portafolio_Proyectos!$AR491="","",Portafolio_Proyectos!$A491),"")</f>
        <v/>
      </c>
      <c r="H1474" s="5" t="str">
        <f>IFERROR(IF(Portafolio_Proyectos!$AR491="","",Portafolio_Proyectos!$E491),"")</f>
        <v/>
      </c>
    </row>
    <row r="1475" spans="1:8" x14ac:dyDescent="0.35">
      <c r="A1475" s="5" t="str">
        <f>IFERROR(IF(Portafolio_Proyectos!$AP492="","","CAP-"&amp;ROW()-1),"")</f>
        <v/>
      </c>
      <c r="B1475" s="5" t="str">
        <f>IFERROR(IF(Portafolio_Proyectos!$AP492="","",Portafolio_Proyectos!$AP492),"")</f>
        <v/>
      </c>
      <c r="C1475" s="5" t="str">
        <f>IFERROR(IF(Portafolio_Proyectos!$AP492="","","Emergente"),"")</f>
        <v/>
      </c>
      <c r="D1475" s="5" t="str">
        <f>IFERROR(IF(Portafolio_Proyectos!$AP492="","",Portafolio_Proyectos!$C492),"")</f>
        <v/>
      </c>
      <c r="E1475" s="5" t="str">
        <f>IFERROR(IF(Portafolio_Proyectos!$AP492="","",Portafolio_Proyectos!$B492),"")</f>
        <v/>
      </c>
      <c r="F1475" s="5" t="str">
        <f>IFERROR(IF(Portafolio_Proyectos!$AP492="","",Portafolio_Proyectos!$D492),"")</f>
        <v/>
      </c>
      <c r="G1475" s="5" t="str">
        <f>IFERROR(IF(Portafolio_Proyectos!$AP492="","",Portafolio_Proyectos!$A492),"")</f>
        <v/>
      </c>
      <c r="H1475" s="5" t="str">
        <f>IFERROR(IF(Portafolio_Proyectos!$AP492="","",Portafolio_Proyectos!$E492),"")</f>
        <v/>
      </c>
    </row>
    <row r="1476" spans="1:8" x14ac:dyDescent="0.35">
      <c r="A1476" s="5" t="str">
        <f>IFERROR(IF(Portafolio_Proyectos!$AQ492="","","CAP-"&amp;ROW()-1),"")</f>
        <v/>
      </c>
      <c r="B1476" s="5" t="str">
        <f>IFERROR(IF(Portafolio_Proyectos!$AQ492="","",Portafolio_Proyectos!$AQ492),"")</f>
        <v/>
      </c>
      <c r="C1476" s="5" t="str">
        <f>IFERROR(IF(Portafolio_Proyectos!$AQ492="","","Consolidada"),"")</f>
        <v/>
      </c>
      <c r="D1476" s="5" t="str">
        <f>IFERROR(IF(Portafolio_Proyectos!$AQ492="","",Portafolio_Proyectos!$C492),"")</f>
        <v/>
      </c>
      <c r="E1476" s="5" t="str">
        <f>IFERROR(IF(Portafolio_Proyectos!$AQ492="","",Portafolio_Proyectos!$B492),"")</f>
        <v/>
      </c>
      <c r="F1476" s="5" t="str">
        <f>IFERROR(IF(Portafolio_Proyectos!$AQ492="","",Portafolio_Proyectos!$D492),"")</f>
        <v/>
      </c>
      <c r="G1476" s="5" t="str">
        <f>IFERROR(IF(Portafolio_Proyectos!$AQ492="","",Portafolio_Proyectos!$A492),"")</f>
        <v/>
      </c>
      <c r="H1476" s="5" t="str">
        <f>IFERROR(IF(Portafolio_Proyectos!$AQ492="","",Portafolio_Proyectos!$E492),"")</f>
        <v/>
      </c>
    </row>
    <row r="1477" spans="1:8" x14ac:dyDescent="0.35">
      <c r="A1477" s="5" t="str">
        <f>IFERROR(IF(Portafolio_Proyectos!$AR492="","","CAP-"&amp;ROW()-1),"")</f>
        <v/>
      </c>
      <c r="B1477" s="5" t="str">
        <f>IFERROR(IF(Portafolio_Proyectos!$AR492="","",Portafolio_Proyectos!$AR492),"")</f>
        <v/>
      </c>
      <c r="C1477" s="5" t="str">
        <f>IFERROR(IF(Portafolio_Proyectos!$AR492="","","Distintiva"),"")</f>
        <v/>
      </c>
      <c r="D1477" s="5" t="str">
        <f>IFERROR(IF(Portafolio_Proyectos!$AR492="","",Portafolio_Proyectos!$C492),"")</f>
        <v/>
      </c>
      <c r="E1477" s="5" t="str">
        <f>IFERROR(IF(Portafolio_Proyectos!$AR492="","",Portafolio_Proyectos!$B492),"")</f>
        <v/>
      </c>
      <c r="F1477" s="5" t="str">
        <f>IFERROR(IF(Portafolio_Proyectos!$AR492="","",Portafolio_Proyectos!$D492),"")</f>
        <v/>
      </c>
      <c r="G1477" s="5" t="str">
        <f>IFERROR(IF(Portafolio_Proyectos!$AR492="","",Portafolio_Proyectos!$A492),"")</f>
        <v/>
      </c>
      <c r="H1477" s="5" t="str">
        <f>IFERROR(IF(Portafolio_Proyectos!$AR492="","",Portafolio_Proyectos!$E492),"")</f>
        <v/>
      </c>
    </row>
    <row r="1478" spans="1:8" x14ac:dyDescent="0.35">
      <c r="A1478" s="5" t="str">
        <f>IFERROR(IF(Portafolio_Proyectos!$AP493="","","CAP-"&amp;ROW()-1),"")</f>
        <v/>
      </c>
      <c r="B1478" s="5" t="str">
        <f>IFERROR(IF(Portafolio_Proyectos!$AP493="","",Portafolio_Proyectos!$AP493),"")</f>
        <v/>
      </c>
      <c r="C1478" s="5" t="str">
        <f>IFERROR(IF(Portafolio_Proyectos!$AP493="","","Emergente"),"")</f>
        <v/>
      </c>
      <c r="D1478" s="5" t="str">
        <f>IFERROR(IF(Portafolio_Proyectos!$AP493="","",Portafolio_Proyectos!$C493),"")</f>
        <v/>
      </c>
      <c r="E1478" s="5" t="str">
        <f>IFERROR(IF(Portafolio_Proyectos!$AP493="","",Portafolio_Proyectos!$B493),"")</f>
        <v/>
      </c>
      <c r="F1478" s="5" t="str">
        <f>IFERROR(IF(Portafolio_Proyectos!$AP493="","",Portafolio_Proyectos!$D493),"")</f>
        <v/>
      </c>
      <c r="G1478" s="5" t="str">
        <f>IFERROR(IF(Portafolio_Proyectos!$AP493="","",Portafolio_Proyectos!$A493),"")</f>
        <v/>
      </c>
      <c r="H1478" s="5" t="str">
        <f>IFERROR(IF(Portafolio_Proyectos!$AP493="","",Portafolio_Proyectos!$E493),"")</f>
        <v/>
      </c>
    </row>
    <row r="1479" spans="1:8" x14ac:dyDescent="0.35">
      <c r="A1479" s="5" t="str">
        <f>IFERROR(IF(Portafolio_Proyectos!$AQ493="","","CAP-"&amp;ROW()-1),"")</f>
        <v/>
      </c>
      <c r="B1479" s="5" t="str">
        <f>IFERROR(IF(Portafolio_Proyectos!$AQ493="","",Portafolio_Proyectos!$AQ493),"")</f>
        <v/>
      </c>
      <c r="C1479" s="5" t="str">
        <f>IFERROR(IF(Portafolio_Proyectos!$AQ493="","","Consolidada"),"")</f>
        <v/>
      </c>
      <c r="D1479" s="5" t="str">
        <f>IFERROR(IF(Portafolio_Proyectos!$AQ493="","",Portafolio_Proyectos!$C493),"")</f>
        <v/>
      </c>
      <c r="E1479" s="5" t="str">
        <f>IFERROR(IF(Portafolio_Proyectos!$AQ493="","",Portafolio_Proyectos!$B493),"")</f>
        <v/>
      </c>
      <c r="F1479" s="5" t="str">
        <f>IFERROR(IF(Portafolio_Proyectos!$AQ493="","",Portafolio_Proyectos!$D493),"")</f>
        <v/>
      </c>
      <c r="G1479" s="5" t="str">
        <f>IFERROR(IF(Portafolio_Proyectos!$AQ493="","",Portafolio_Proyectos!$A493),"")</f>
        <v/>
      </c>
      <c r="H1479" s="5" t="str">
        <f>IFERROR(IF(Portafolio_Proyectos!$AQ493="","",Portafolio_Proyectos!$E493),"")</f>
        <v/>
      </c>
    </row>
    <row r="1480" spans="1:8" x14ac:dyDescent="0.35">
      <c r="A1480" s="5" t="str">
        <f>IFERROR(IF(Portafolio_Proyectos!$AR493="","","CAP-"&amp;ROW()-1),"")</f>
        <v/>
      </c>
      <c r="B1480" s="5" t="str">
        <f>IFERROR(IF(Portafolio_Proyectos!$AR493="","",Portafolio_Proyectos!$AR493),"")</f>
        <v/>
      </c>
      <c r="C1480" s="5" t="str">
        <f>IFERROR(IF(Portafolio_Proyectos!$AR493="","","Distintiva"),"")</f>
        <v/>
      </c>
      <c r="D1480" s="5" t="str">
        <f>IFERROR(IF(Portafolio_Proyectos!$AR493="","",Portafolio_Proyectos!$C493),"")</f>
        <v/>
      </c>
      <c r="E1480" s="5" t="str">
        <f>IFERROR(IF(Portafolio_Proyectos!$AR493="","",Portafolio_Proyectos!$B493),"")</f>
        <v/>
      </c>
      <c r="F1480" s="5" t="str">
        <f>IFERROR(IF(Portafolio_Proyectos!$AR493="","",Portafolio_Proyectos!$D493),"")</f>
        <v/>
      </c>
      <c r="G1480" s="5" t="str">
        <f>IFERROR(IF(Portafolio_Proyectos!$AR493="","",Portafolio_Proyectos!$A493),"")</f>
        <v/>
      </c>
      <c r="H1480" s="5" t="str">
        <f>IFERROR(IF(Portafolio_Proyectos!$AR493="","",Portafolio_Proyectos!$E493),"")</f>
        <v/>
      </c>
    </row>
    <row r="1481" spans="1:8" x14ac:dyDescent="0.35">
      <c r="A1481" s="5" t="str">
        <f>IFERROR(IF(Portafolio_Proyectos!$AP494="","","CAP-"&amp;ROW()-1),"")</f>
        <v/>
      </c>
      <c r="B1481" s="5" t="str">
        <f>IFERROR(IF(Portafolio_Proyectos!$AP494="","",Portafolio_Proyectos!$AP494),"")</f>
        <v/>
      </c>
      <c r="C1481" s="5" t="str">
        <f>IFERROR(IF(Portafolio_Proyectos!$AP494="","","Emergente"),"")</f>
        <v/>
      </c>
      <c r="D1481" s="5" t="str">
        <f>IFERROR(IF(Portafolio_Proyectos!$AP494="","",Portafolio_Proyectos!$C494),"")</f>
        <v/>
      </c>
      <c r="E1481" s="5" t="str">
        <f>IFERROR(IF(Portafolio_Proyectos!$AP494="","",Portafolio_Proyectos!$B494),"")</f>
        <v/>
      </c>
      <c r="F1481" s="5" t="str">
        <f>IFERROR(IF(Portafolio_Proyectos!$AP494="","",Portafolio_Proyectos!$D494),"")</f>
        <v/>
      </c>
      <c r="G1481" s="5" t="str">
        <f>IFERROR(IF(Portafolio_Proyectos!$AP494="","",Portafolio_Proyectos!$A494),"")</f>
        <v/>
      </c>
      <c r="H1481" s="5" t="str">
        <f>IFERROR(IF(Portafolio_Proyectos!$AP494="","",Portafolio_Proyectos!$E494),"")</f>
        <v/>
      </c>
    </row>
    <row r="1482" spans="1:8" x14ac:dyDescent="0.35">
      <c r="A1482" s="5" t="str">
        <f>IFERROR(IF(Portafolio_Proyectos!$AQ494="","","CAP-"&amp;ROW()-1),"")</f>
        <v/>
      </c>
      <c r="B1482" s="5" t="str">
        <f>IFERROR(IF(Portafolio_Proyectos!$AQ494="","",Portafolio_Proyectos!$AQ494),"")</f>
        <v/>
      </c>
      <c r="C1482" s="5" t="str">
        <f>IFERROR(IF(Portafolio_Proyectos!$AQ494="","","Consolidada"),"")</f>
        <v/>
      </c>
      <c r="D1482" s="5" t="str">
        <f>IFERROR(IF(Portafolio_Proyectos!$AQ494="","",Portafolio_Proyectos!$C494),"")</f>
        <v/>
      </c>
      <c r="E1482" s="5" t="str">
        <f>IFERROR(IF(Portafolio_Proyectos!$AQ494="","",Portafolio_Proyectos!$B494),"")</f>
        <v/>
      </c>
      <c r="F1482" s="5" t="str">
        <f>IFERROR(IF(Portafolio_Proyectos!$AQ494="","",Portafolio_Proyectos!$D494),"")</f>
        <v/>
      </c>
      <c r="G1482" s="5" t="str">
        <f>IFERROR(IF(Portafolio_Proyectos!$AQ494="","",Portafolio_Proyectos!$A494),"")</f>
        <v/>
      </c>
      <c r="H1482" s="5" t="str">
        <f>IFERROR(IF(Portafolio_Proyectos!$AQ494="","",Portafolio_Proyectos!$E494),"")</f>
        <v/>
      </c>
    </row>
    <row r="1483" spans="1:8" x14ac:dyDescent="0.35">
      <c r="A1483" s="5" t="str">
        <f>IFERROR(IF(Portafolio_Proyectos!$AR494="","","CAP-"&amp;ROW()-1),"")</f>
        <v/>
      </c>
      <c r="B1483" s="5" t="str">
        <f>IFERROR(IF(Portafolio_Proyectos!$AR494="","",Portafolio_Proyectos!$AR494),"")</f>
        <v/>
      </c>
      <c r="C1483" s="5" t="str">
        <f>IFERROR(IF(Portafolio_Proyectos!$AR494="","","Distintiva"),"")</f>
        <v/>
      </c>
      <c r="D1483" s="5" t="str">
        <f>IFERROR(IF(Portafolio_Proyectos!$AR494="","",Portafolio_Proyectos!$C494),"")</f>
        <v/>
      </c>
      <c r="E1483" s="5" t="str">
        <f>IFERROR(IF(Portafolio_Proyectos!$AR494="","",Portafolio_Proyectos!$B494),"")</f>
        <v/>
      </c>
      <c r="F1483" s="5" t="str">
        <f>IFERROR(IF(Portafolio_Proyectos!$AR494="","",Portafolio_Proyectos!$D494),"")</f>
        <v/>
      </c>
      <c r="G1483" s="5" t="str">
        <f>IFERROR(IF(Portafolio_Proyectos!$AR494="","",Portafolio_Proyectos!$A494),"")</f>
        <v/>
      </c>
      <c r="H1483" s="5" t="str">
        <f>IFERROR(IF(Portafolio_Proyectos!$AR494="","",Portafolio_Proyectos!$E494),"")</f>
        <v/>
      </c>
    </row>
    <row r="1484" spans="1:8" x14ac:dyDescent="0.35">
      <c r="A1484" s="5" t="str">
        <f>IFERROR(IF(Portafolio_Proyectos!$AP495="","","CAP-"&amp;ROW()-1),"")</f>
        <v/>
      </c>
      <c r="B1484" s="5" t="str">
        <f>IFERROR(IF(Portafolio_Proyectos!$AP495="","",Portafolio_Proyectos!$AP495),"")</f>
        <v/>
      </c>
      <c r="C1484" s="5" t="str">
        <f>IFERROR(IF(Portafolio_Proyectos!$AP495="","","Emergente"),"")</f>
        <v/>
      </c>
      <c r="D1484" s="5" t="str">
        <f>IFERROR(IF(Portafolio_Proyectos!$AP495="","",Portafolio_Proyectos!$C495),"")</f>
        <v/>
      </c>
      <c r="E1484" s="5" t="str">
        <f>IFERROR(IF(Portafolio_Proyectos!$AP495="","",Portafolio_Proyectos!$B495),"")</f>
        <v/>
      </c>
      <c r="F1484" s="5" t="str">
        <f>IFERROR(IF(Portafolio_Proyectos!$AP495="","",Portafolio_Proyectos!$D495),"")</f>
        <v/>
      </c>
      <c r="G1484" s="5" t="str">
        <f>IFERROR(IF(Portafolio_Proyectos!$AP495="","",Portafolio_Proyectos!$A495),"")</f>
        <v/>
      </c>
      <c r="H1484" s="5" t="str">
        <f>IFERROR(IF(Portafolio_Proyectos!$AP495="","",Portafolio_Proyectos!$E495),"")</f>
        <v/>
      </c>
    </row>
    <row r="1485" spans="1:8" x14ac:dyDescent="0.35">
      <c r="A1485" s="5" t="str">
        <f>IFERROR(IF(Portafolio_Proyectos!$AQ495="","","CAP-"&amp;ROW()-1),"")</f>
        <v/>
      </c>
      <c r="B1485" s="5" t="str">
        <f>IFERROR(IF(Portafolio_Proyectos!$AQ495="","",Portafolio_Proyectos!$AQ495),"")</f>
        <v/>
      </c>
      <c r="C1485" s="5" t="str">
        <f>IFERROR(IF(Portafolio_Proyectos!$AQ495="","","Consolidada"),"")</f>
        <v/>
      </c>
      <c r="D1485" s="5" t="str">
        <f>IFERROR(IF(Portafolio_Proyectos!$AQ495="","",Portafolio_Proyectos!$C495),"")</f>
        <v/>
      </c>
      <c r="E1485" s="5" t="str">
        <f>IFERROR(IF(Portafolio_Proyectos!$AQ495="","",Portafolio_Proyectos!$B495),"")</f>
        <v/>
      </c>
      <c r="F1485" s="5" t="str">
        <f>IFERROR(IF(Portafolio_Proyectos!$AQ495="","",Portafolio_Proyectos!$D495),"")</f>
        <v/>
      </c>
      <c r="G1485" s="5" t="str">
        <f>IFERROR(IF(Portafolio_Proyectos!$AQ495="","",Portafolio_Proyectos!$A495),"")</f>
        <v/>
      </c>
      <c r="H1485" s="5" t="str">
        <f>IFERROR(IF(Portafolio_Proyectos!$AQ495="","",Portafolio_Proyectos!$E495),"")</f>
        <v/>
      </c>
    </row>
    <row r="1486" spans="1:8" x14ac:dyDescent="0.35">
      <c r="A1486" s="5" t="str">
        <f>IFERROR(IF(Portafolio_Proyectos!$AR495="","","CAP-"&amp;ROW()-1),"")</f>
        <v/>
      </c>
      <c r="B1486" s="5" t="str">
        <f>IFERROR(IF(Portafolio_Proyectos!$AR495="","",Portafolio_Proyectos!$AR495),"")</f>
        <v/>
      </c>
      <c r="C1486" s="5" t="str">
        <f>IFERROR(IF(Portafolio_Proyectos!$AR495="","","Distintiva"),"")</f>
        <v/>
      </c>
      <c r="D1486" s="5" t="str">
        <f>IFERROR(IF(Portafolio_Proyectos!$AR495="","",Portafolio_Proyectos!$C495),"")</f>
        <v/>
      </c>
      <c r="E1486" s="5" t="str">
        <f>IFERROR(IF(Portafolio_Proyectos!$AR495="","",Portafolio_Proyectos!$B495),"")</f>
        <v/>
      </c>
      <c r="F1486" s="5" t="str">
        <f>IFERROR(IF(Portafolio_Proyectos!$AR495="","",Portafolio_Proyectos!$D495),"")</f>
        <v/>
      </c>
      <c r="G1486" s="5" t="str">
        <f>IFERROR(IF(Portafolio_Proyectos!$AR495="","",Portafolio_Proyectos!$A495),"")</f>
        <v/>
      </c>
      <c r="H1486" s="5" t="str">
        <f>IFERROR(IF(Portafolio_Proyectos!$AR495="","",Portafolio_Proyectos!$E495),"")</f>
        <v/>
      </c>
    </row>
    <row r="1487" spans="1:8" x14ac:dyDescent="0.35">
      <c r="A1487" s="5" t="str">
        <f>IFERROR(IF(Portafolio_Proyectos!$AP496="","","CAP-"&amp;ROW()-1),"")</f>
        <v/>
      </c>
      <c r="B1487" s="5" t="str">
        <f>IFERROR(IF(Portafolio_Proyectos!$AP496="","",Portafolio_Proyectos!$AP496),"")</f>
        <v/>
      </c>
      <c r="C1487" s="5" t="str">
        <f>IFERROR(IF(Portafolio_Proyectos!$AP496="","","Emergente"),"")</f>
        <v/>
      </c>
      <c r="D1487" s="5" t="str">
        <f>IFERROR(IF(Portafolio_Proyectos!$AP496="","",Portafolio_Proyectos!$C496),"")</f>
        <v/>
      </c>
      <c r="E1487" s="5" t="str">
        <f>IFERROR(IF(Portafolio_Proyectos!$AP496="","",Portafolio_Proyectos!$B496),"")</f>
        <v/>
      </c>
      <c r="F1487" s="5" t="str">
        <f>IFERROR(IF(Portafolio_Proyectos!$AP496="","",Portafolio_Proyectos!$D496),"")</f>
        <v/>
      </c>
      <c r="G1487" s="5" t="str">
        <f>IFERROR(IF(Portafolio_Proyectos!$AP496="","",Portafolio_Proyectos!$A496),"")</f>
        <v/>
      </c>
      <c r="H1487" s="5" t="str">
        <f>IFERROR(IF(Portafolio_Proyectos!$AP496="","",Portafolio_Proyectos!$E496),"")</f>
        <v/>
      </c>
    </row>
    <row r="1488" spans="1:8" x14ac:dyDescent="0.35">
      <c r="A1488" s="5" t="str">
        <f>IFERROR(IF(Portafolio_Proyectos!$AQ496="","","CAP-"&amp;ROW()-1),"")</f>
        <v/>
      </c>
      <c r="B1488" s="5" t="str">
        <f>IFERROR(IF(Portafolio_Proyectos!$AQ496="","",Portafolio_Proyectos!$AQ496),"")</f>
        <v/>
      </c>
      <c r="C1488" s="5" t="str">
        <f>IFERROR(IF(Portafolio_Proyectos!$AQ496="","","Consolidada"),"")</f>
        <v/>
      </c>
      <c r="D1488" s="5" t="str">
        <f>IFERROR(IF(Portafolio_Proyectos!$AQ496="","",Portafolio_Proyectos!$C496),"")</f>
        <v/>
      </c>
      <c r="E1488" s="5" t="str">
        <f>IFERROR(IF(Portafolio_Proyectos!$AQ496="","",Portafolio_Proyectos!$B496),"")</f>
        <v/>
      </c>
      <c r="F1488" s="5" t="str">
        <f>IFERROR(IF(Portafolio_Proyectos!$AQ496="","",Portafolio_Proyectos!$D496),"")</f>
        <v/>
      </c>
      <c r="G1488" s="5" t="str">
        <f>IFERROR(IF(Portafolio_Proyectos!$AQ496="","",Portafolio_Proyectos!$A496),"")</f>
        <v/>
      </c>
      <c r="H1488" s="5" t="str">
        <f>IFERROR(IF(Portafolio_Proyectos!$AQ496="","",Portafolio_Proyectos!$E496),"")</f>
        <v/>
      </c>
    </row>
    <row r="1489" spans="1:8" x14ac:dyDescent="0.35">
      <c r="A1489" s="5" t="str">
        <f>IFERROR(IF(Portafolio_Proyectos!$AR496="","","CAP-"&amp;ROW()-1),"")</f>
        <v/>
      </c>
      <c r="B1489" s="5" t="str">
        <f>IFERROR(IF(Portafolio_Proyectos!$AR496="","",Portafolio_Proyectos!$AR496),"")</f>
        <v/>
      </c>
      <c r="C1489" s="5" t="str">
        <f>IFERROR(IF(Portafolio_Proyectos!$AR496="","","Distintiva"),"")</f>
        <v/>
      </c>
      <c r="D1489" s="5" t="str">
        <f>IFERROR(IF(Portafolio_Proyectos!$AR496="","",Portafolio_Proyectos!$C496),"")</f>
        <v/>
      </c>
      <c r="E1489" s="5" t="str">
        <f>IFERROR(IF(Portafolio_Proyectos!$AR496="","",Portafolio_Proyectos!$B496),"")</f>
        <v/>
      </c>
      <c r="F1489" s="5" t="str">
        <f>IFERROR(IF(Portafolio_Proyectos!$AR496="","",Portafolio_Proyectos!$D496),"")</f>
        <v/>
      </c>
      <c r="G1489" s="5" t="str">
        <f>IFERROR(IF(Portafolio_Proyectos!$AR496="","",Portafolio_Proyectos!$A496),"")</f>
        <v/>
      </c>
      <c r="H1489" s="5" t="str">
        <f>IFERROR(IF(Portafolio_Proyectos!$AR496="","",Portafolio_Proyectos!$E496),"")</f>
        <v/>
      </c>
    </row>
    <row r="1490" spans="1:8" x14ac:dyDescent="0.35">
      <c r="A1490" s="5" t="str">
        <f>IFERROR(IF(Portafolio_Proyectos!$AP497="","","CAP-"&amp;ROW()-1),"")</f>
        <v/>
      </c>
      <c r="B1490" s="5" t="str">
        <f>IFERROR(IF(Portafolio_Proyectos!$AP497="","",Portafolio_Proyectos!$AP497),"")</f>
        <v/>
      </c>
      <c r="C1490" s="5" t="str">
        <f>IFERROR(IF(Portafolio_Proyectos!$AP497="","","Emergente"),"")</f>
        <v/>
      </c>
      <c r="D1490" s="5" t="str">
        <f>IFERROR(IF(Portafolio_Proyectos!$AP497="","",Portafolio_Proyectos!$C497),"")</f>
        <v/>
      </c>
      <c r="E1490" s="5" t="str">
        <f>IFERROR(IF(Portafolio_Proyectos!$AP497="","",Portafolio_Proyectos!$B497),"")</f>
        <v/>
      </c>
      <c r="F1490" s="5" t="str">
        <f>IFERROR(IF(Portafolio_Proyectos!$AP497="","",Portafolio_Proyectos!$D497),"")</f>
        <v/>
      </c>
      <c r="G1490" s="5" t="str">
        <f>IFERROR(IF(Portafolio_Proyectos!$AP497="","",Portafolio_Proyectos!$A497),"")</f>
        <v/>
      </c>
      <c r="H1490" s="5" t="str">
        <f>IFERROR(IF(Portafolio_Proyectos!$AP497="","",Portafolio_Proyectos!$E497),"")</f>
        <v/>
      </c>
    </row>
    <row r="1491" spans="1:8" x14ac:dyDescent="0.35">
      <c r="A1491" s="5" t="str">
        <f>IFERROR(IF(Portafolio_Proyectos!$AQ497="","","CAP-"&amp;ROW()-1),"")</f>
        <v/>
      </c>
      <c r="B1491" s="5" t="str">
        <f>IFERROR(IF(Portafolio_Proyectos!$AQ497="","",Portafolio_Proyectos!$AQ497),"")</f>
        <v/>
      </c>
      <c r="C1491" s="5" t="str">
        <f>IFERROR(IF(Portafolio_Proyectos!$AQ497="","","Consolidada"),"")</f>
        <v/>
      </c>
      <c r="D1491" s="5" t="str">
        <f>IFERROR(IF(Portafolio_Proyectos!$AQ497="","",Portafolio_Proyectos!$C497),"")</f>
        <v/>
      </c>
      <c r="E1491" s="5" t="str">
        <f>IFERROR(IF(Portafolio_Proyectos!$AQ497="","",Portafolio_Proyectos!$B497),"")</f>
        <v/>
      </c>
      <c r="F1491" s="5" t="str">
        <f>IFERROR(IF(Portafolio_Proyectos!$AQ497="","",Portafolio_Proyectos!$D497),"")</f>
        <v/>
      </c>
      <c r="G1491" s="5" t="str">
        <f>IFERROR(IF(Portafolio_Proyectos!$AQ497="","",Portafolio_Proyectos!$A497),"")</f>
        <v/>
      </c>
      <c r="H1491" s="5" t="str">
        <f>IFERROR(IF(Portafolio_Proyectos!$AQ497="","",Portafolio_Proyectos!$E497),"")</f>
        <v/>
      </c>
    </row>
    <row r="1492" spans="1:8" x14ac:dyDescent="0.35">
      <c r="A1492" s="5" t="str">
        <f>IFERROR(IF(Portafolio_Proyectos!$AR497="","","CAP-"&amp;ROW()-1),"")</f>
        <v/>
      </c>
      <c r="B1492" s="5" t="str">
        <f>IFERROR(IF(Portafolio_Proyectos!$AR497="","",Portafolio_Proyectos!$AR497),"")</f>
        <v/>
      </c>
      <c r="C1492" s="5" t="str">
        <f>IFERROR(IF(Portafolio_Proyectos!$AR497="","","Distintiva"),"")</f>
        <v/>
      </c>
      <c r="D1492" s="5" t="str">
        <f>IFERROR(IF(Portafolio_Proyectos!$AR497="","",Portafolio_Proyectos!$C497),"")</f>
        <v/>
      </c>
      <c r="E1492" s="5" t="str">
        <f>IFERROR(IF(Portafolio_Proyectos!$AR497="","",Portafolio_Proyectos!$B497),"")</f>
        <v/>
      </c>
      <c r="F1492" s="5" t="str">
        <f>IFERROR(IF(Portafolio_Proyectos!$AR497="","",Portafolio_Proyectos!$D497),"")</f>
        <v/>
      </c>
      <c r="G1492" s="5" t="str">
        <f>IFERROR(IF(Portafolio_Proyectos!$AR497="","",Portafolio_Proyectos!$A497),"")</f>
        <v/>
      </c>
      <c r="H1492" s="5" t="str">
        <f>IFERROR(IF(Portafolio_Proyectos!$AR497="","",Portafolio_Proyectos!$E497),"")</f>
        <v/>
      </c>
    </row>
    <row r="1493" spans="1:8" x14ac:dyDescent="0.35">
      <c r="A1493" s="5" t="str">
        <f>IFERROR(IF(Portafolio_Proyectos!$AP498="","","CAP-"&amp;ROW()-1),"")</f>
        <v/>
      </c>
      <c r="B1493" s="5" t="str">
        <f>IFERROR(IF(Portafolio_Proyectos!$AP498="","",Portafolio_Proyectos!$AP498),"")</f>
        <v/>
      </c>
      <c r="C1493" s="5" t="str">
        <f>IFERROR(IF(Portafolio_Proyectos!$AP498="","","Emergente"),"")</f>
        <v/>
      </c>
      <c r="D1493" s="5" t="str">
        <f>IFERROR(IF(Portafolio_Proyectos!$AP498="","",Portafolio_Proyectos!$C498),"")</f>
        <v/>
      </c>
      <c r="E1493" s="5" t="str">
        <f>IFERROR(IF(Portafolio_Proyectos!$AP498="","",Portafolio_Proyectos!$B498),"")</f>
        <v/>
      </c>
      <c r="F1493" s="5" t="str">
        <f>IFERROR(IF(Portafolio_Proyectos!$AP498="","",Portafolio_Proyectos!$D498),"")</f>
        <v/>
      </c>
      <c r="G1493" s="5" t="str">
        <f>IFERROR(IF(Portafolio_Proyectos!$AP498="","",Portafolio_Proyectos!$A498),"")</f>
        <v/>
      </c>
      <c r="H1493" s="5" t="str">
        <f>IFERROR(IF(Portafolio_Proyectos!$AP498="","",Portafolio_Proyectos!$E498),"")</f>
        <v/>
      </c>
    </row>
    <row r="1494" spans="1:8" x14ac:dyDescent="0.35">
      <c r="A1494" s="5" t="str">
        <f>IFERROR(IF(Portafolio_Proyectos!$AQ498="","","CAP-"&amp;ROW()-1),"")</f>
        <v/>
      </c>
      <c r="B1494" s="5" t="str">
        <f>IFERROR(IF(Portafolio_Proyectos!$AQ498="","",Portafolio_Proyectos!$AQ498),"")</f>
        <v/>
      </c>
      <c r="C1494" s="5" t="str">
        <f>IFERROR(IF(Portafolio_Proyectos!$AQ498="","","Consolidada"),"")</f>
        <v/>
      </c>
      <c r="D1494" s="5" t="str">
        <f>IFERROR(IF(Portafolio_Proyectos!$AQ498="","",Portafolio_Proyectos!$C498),"")</f>
        <v/>
      </c>
      <c r="E1494" s="5" t="str">
        <f>IFERROR(IF(Portafolio_Proyectos!$AQ498="","",Portafolio_Proyectos!$B498),"")</f>
        <v/>
      </c>
      <c r="F1494" s="5" t="str">
        <f>IFERROR(IF(Portafolio_Proyectos!$AQ498="","",Portafolio_Proyectos!$D498),"")</f>
        <v/>
      </c>
      <c r="G1494" s="5" t="str">
        <f>IFERROR(IF(Portafolio_Proyectos!$AQ498="","",Portafolio_Proyectos!$A498),"")</f>
        <v/>
      </c>
      <c r="H1494" s="5" t="str">
        <f>IFERROR(IF(Portafolio_Proyectos!$AQ498="","",Portafolio_Proyectos!$E498),"")</f>
        <v/>
      </c>
    </row>
    <row r="1495" spans="1:8" x14ac:dyDescent="0.35">
      <c r="A1495" s="5" t="str">
        <f>IFERROR(IF(Portafolio_Proyectos!$AR498="","","CAP-"&amp;ROW()-1),"")</f>
        <v/>
      </c>
      <c r="B1495" s="5" t="str">
        <f>IFERROR(IF(Portafolio_Proyectos!$AR498="","",Portafolio_Proyectos!$AR498),"")</f>
        <v/>
      </c>
      <c r="C1495" s="5" t="str">
        <f>IFERROR(IF(Portafolio_Proyectos!$AR498="","","Distintiva"),"")</f>
        <v/>
      </c>
      <c r="D1495" s="5" t="str">
        <f>IFERROR(IF(Portafolio_Proyectos!$AR498="","",Portafolio_Proyectos!$C498),"")</f>
        <v/>
      </c>
      <c r="E1495" s="5" t="str">
        <f>IFERROR(IF(Portafolio_Proyectos!$AR498="","",Portafolio_Proyectos!$B498),"")</f>
        <v/>
      </c>
      <c r="F1495" s="5" t="str">
        <f>IFERROR(IF(Portafolio_Proyectos!$AR498="","",Portafolio_Proyectos!$D498),"")</f>
        <v/>
      </c>
      <c r="G1495" s="5" t="str">
        <f>IFERROR(IF(Portafolio_Proyectos!$AR498="","",Portafolio_Proyectos!$A498),"")</f>
        <v/>
      </c>
      <c r="H1495" s="5" t="str">
        <f>IFERROR(IF(Portafolio_Proyectos!$AR498="","",Portafolio_Proyectos!$E498),"")</f>
        <v/>
      </c>
    </row>
    <row r="1496" spans="1:8" x14ac:dyDescent="0.35">
      <c r="A1496" s="5" t="str">
        <f>IFERROR(IF(Portafolio_Proyectos!$AP499="","","CAP-"&amp;ROW()-1),"")</f>
        <v/>
      </c>
      <c r="B1496" s="5" t="str">
        <f>IFERROR(IF(Portafolio_Proyectos!$AP499="","",Portafolio_Proyectos!$AP499),"")</f>
        <v/>
      </c>
      <c r="C1496" s="5" t="str">
        <f>IFERROR(IF(Portafolio_Proyectos!$AP499="","","Emergente"),"")</f>
        <v/>
      </c>
      <c r="D1496" s="5" t="str">
        <f>IFERROR(IF(Portafolio_Proyectos!$AP499="","",Portafolio_Proyectos!$C499),"")</f>
        <v/>
      </c>
      <c r="E1496" s="5" t="str">
        <f>IFERROR(IF(Portafolio_Proyectos!$AP499="","",Portafolio_Proyectos!$B499),"")</f>
        <v/>
      </c>
      <c r="F1496" s="5" t="str">
        <f>IFERROR(IF(Portafolio_Proyectos!$AP499="","",Portafolio_Proyectos!$D499),"")</f>
        <v/>
      </c>
      <c r="G1496" s="5" t="str">
        <f>IFERROR(IF(Portafolio_Proyectos!$AP499="","",Portafolio_Proyectos!$A499),"")</f>
        <v/>
      </c>
      <c r="H1496" s="5" t="str">
        <f>IFERROR(IF(Portafolio_Proyectos!$AP499="","",Portafolio_Proyectos!$E499),"")</f>
        <v/>
      </c>
    </row>
    <row r="1497" spans="1:8" x14ac:dyDescent="0.35">
      <c r="A1497" s="5" t="str">
        <f>IFERROR(IF(Portafolio_Proyectos!$AQ499="","","CAP-"&amp;ROW()-1),"")</f>
        <v/>
      </c>
      <c r="B1497" s="5" t="str">
        <f>IFERROR(IF(Portafolio_Proyectos!$AQ499="","",Portafolio_Proyectos!$AQ499),"")</f>
        <v/>
      </c>
      <c r="C1497" s="5" t="str">
        <f>IFERROR(IF(Portafolio_Proyectos!$AQ499="","","Consolidada"),"")</f>
        <v/>
      </c>
      <c r="D1497" s="5" t="str">
        <f>IFERROR(IF(Portafolio_Proyectos!$AQ499="","",Portafolio_Proyectos!$C499),"")</f>
        <v/>
      </c>
      <c r="E1497" s="5" t="str">
        <f>IFERROR(IF(Portafolio_Proyectos!$AQ499="","",Portafolio_Proyectos!$B499),"")</f>
        <v/>
      </c>
      <c r="F1497" s="5" t="str">
        <f>IFERROR(IF(Portafolio_Proyectos!$AQ499="","",Portafolio_Proyectos!$D499),"")</f>
        <v/>
      </c>
      <c r="G1497" s="5" t="str">
        <f>IFERROR(IF(Portafolio_Proyectos!$AQ499="","",Portafolio_Proyectos!$A499),"")</f>
        <v/>
      </c>
      <c r="H1497" s="5" t="str">
        <f>IFERROR(IF(Portafolio_Proyectos!$AQ499="","",Portafolio_Proyectos!$E499),"")</f>
        <v/>
      </c>
    </row>
    <row r="1498" spans="1:8" x14ac:dyDescent="0.35">
      <c r="A1498" s="5" t="str">
        <f>IFERROR(IF(Portafolio_Proyectos!$AR499="","","CAP-"&amp;ROW()-1),"")</f>
        <v/>
      </c>
      <c r="B1498" s="5" t="str">
        <f>IFERROR(IF(Portafolio_Proyectos!$AR499="","",Portafolio_Proyectos!$AR499),"")</f>
        <v/>
      </c>
      <c r="C1498" s="5" t="str">
        <f>IFERROR(IF(Portafolio_Proyectos!$AR499="","","Distintiva"),"")</f>
        <v/>
      </c>
      <c r="D1498" s="5" t="str">
        <f>IFERROR(IF(Portafolio_Proyectos!$AR499="","",Portafolio_Proyectos!$C499),"")</f>
        <v/>
      </c>
      <c r="E1498" s="5" t="str">
        <f>IFERROR(IF(Portafolio_Proyectos!$AR499="","",Portafolio_Proyectos!$B499),"")</f>
        <v/>
      </c>
      <c r="F1498" s="5" t="str">
        <f>IFERROR(IF(Portafolio_Proyectos!$AR499="","",Portafolio_Proyectos!$D499),"")</f>
        <v/>
      </c>
      <c r="G1498" s="5" t="str">
        <f>IFERROR(IF(Portafolio_Proyectos!$AR499="","",Portafolio_Proyectos!$A499),"")</f>
        <v/>
      </c>
      <c r="H1498" s="5" t="str">
        <f>IFERROR(IF(Portafolio_Proyectos!$AR499="","",Portafolio_Proyectos!$E499),"")</f>
        <v/>
      </c>
    </row>
    <row r="1499" spans="1:8" x14ac:dyDescent="0.35">
      <c r="A1499" s="5" t="str">
        <f>IFERROR(IF(Portafolio_Proyectos!$AP500="","","CAP-"&amp;ROW()-1),"")</f>
        <v/>
      </c>
      <c r="B1499" s="5" t="str">
        <f>IFERROR(IF(Portafolio_Proyectos!$AP500="","",Portafolio_Proyectos!$AP500),"")</f>
        <v/>
      </c>
      <c r="C1499" s="5" t="str">
        <f>IFERROR(IF(Portafolio_Proyectos!$AP500="","","Emergente"),"")</f>
        <v/>
      </c>
      <c r="D1499" s="5" t="str">
        <f>IFERROR(IF(Portafolio_Proyectos!$AP500="","",Portafolio_Proyectos!$C500),"")</f>
        <v/>
      </c>
      <c r="E1499" s="5" t="str">
        <f>IFERROR(IF(Portafolio_Proyectos!$AP500="","",Portafolio_Proyectos!$B500),"")</f>
        <v/>
      </c>
      <c r="F1499" s="5" t="str">
        <f>IFERROR(IF(Portafolio_Proyectos!$AP500="","",Portafolio_Proyectos!$D500),"")</f>
        <v/>
      </c>
      <c r="G1499" s="5" t="str">
        <f>IFERROR(IF(Portafolio_Proyectos!$AP500="","",Portafolio_Proyectos!$A500),"")</f>
        <v/>
      </c>
      <c r="H1499" s="5" t="str">
        <f>IFERROR(IF(Portafolio_Proyectos!$AP500="","",Portafolio_Proyectos!$E500),"")</f>
        <v/>
      </c>
    </row>
    <row r="1500" spans="1:8" x14ac:dyDescent="0.35">
      <c r="A1500" s="5" t="str">
        <f>IFERROR(IF(Portafolio_Proyectos!$AQ500="","","CAP-"&amp;ROW()-1),"")</f>
        <v/>
      </c>
      <c r="B1500" s="5" t="str">
        <f>IFERROR(IF(Portafolio_Proyectos!$AQ500="","",Portafolio_Proyectos!$AQ500),"")</f>
        <v/>
      </c>
      <c r="C1500" s="5" t="str">
        <f>IFERROR(IF(Portafolio_Proyectos!$AQ500="","","Consolidada"),"")</f>
        <v/>
      </c>
      <c r="D1500" s="5" t="str">
        <f>IFERROR(IF(Portafolio_Proyectos!$AQ500="","",Portafolio_Proyectos!$C500),"")</f>
        <v/>
      </c>
      <c r="E1500" s="5" t="str">
        <f>IFERROR(IF(Portafolio_Proyectos!$AQ500="","",Portafolio_Proyectos!$B500),"")</f>
        <v/>
      </c>
      <c r="F1500" s="5" t="str">
        <f>IFERROR(IF(Portafolio_Proyectos!$AQ500="","",Portafolio_Proyectos!$D500),"")</f>
        <v/>
      </c>
      <c r="G1500" s="5" t="str">
        <f>IFERROR(IF(Portafolio_Proyectos!$AQ500="","",Portafolio_Proyectos!$A500),"")</f>
        <v/>
      </c>
      <c r="H1500" s="5" t="str">
        <f>IFERROR(IF(Portafolio_Proyectos!$AQ500="","",Portafolio_Proyectos!$E500),"")</f>
        <v/>
      </c>
    </row>
    <row r="1501" spans="1:8" x14ac:dyDescent="0.35">
      <c r="A1501" s="5" t="str">
        <f>IFERROR(IF(Portafolio_Proyectos!$AR500="","","CAP-"&amp;ROW()-1),"")</f>
        <v/>
      </c>
      <c r="B1501" s="5" t="str">
        <f>IFERROR(IF(Portafolio_Proyectos!$AR500="","",Portafolio_Proyectos!$AR500),"")</f>
        <v/>
      </c>
      <c r="C1501" s="5" t="str">
        <f>IFERROR(IF(Portafolio_Proyectos!$AR500="","","Distintiva"),"")</f>
        <v/>
      </c>
      <c r="D1501" s="5" t="str">
        <f>IFERROR(IF(Portafolio_Proyectos!$AR500="","",Portafolio_Proyectos!$C500),"")</f>
        <v/>
      </c>
      <c r="E1501" s="5" t="str">
        <f>IFERROR(IF(Portafolio_Proyectos!$AR500="","",Portafolio_Proyectos!$B500),"")</f>
        <v/>
      </c>
      <c r="F1501" s="5" t="str">
        <f>IFERROR(IF(Portafolio_Proyectos!$AR500="","",Portafolio_Proyectos!$D500),"")</f>
        <v/>
      </c>
      <c r="G1501" s="5" t="str">
        <f>IFERROR(IF(Portafolio_Proyectos!$AR500="","",Portafolio_Proyectos!$A500),"")</f>
        <v/>
      </c>
      <c r="H1501" s="5" t="str">
        <f>IFERROR(IF(Portafolio_Proyectos!$AR500="","",Portafolio_Proyectos!$E500),"")</f>
        <v/>
      </c>
    </row>
    <row r="1502" spans="1:8" x14ac:dyDescent="0.35">
      <c r="A1502" s="5" t="str">
        <f>IFERROR(IF(Portafolio_Proyectos!$AP501="","","CAP-"&amp;ROW()-1),"")</f>
        <v/>
      </c>
      <c r="B1502" s="5" t="str">
        <f>IFERROR(IF(Portafolio_Proyectos!$AP501="","",Portafolio_Proyectos!$AP501),"")</f>
        <v/>
      </c>
      <c r="C1502" s="5" t="str">
        <f>IFERROR(IF(Portafolio_Proyectos!$AP501="","","Emergente"),"")</f>
        <v/>
      </c>
      <c r="D1502" s="5" t="str">
        <f>IFERROR(IF(Portafolio_Proyectos!$AP501="","",Portafolio_Proyectos!$C501),"")</f>
        <v/>
      </c>
      <c r="E1502" s="5" t="str">
        <f>IFERROR(IF(Portafolio_Proyectos!$AP501="","",Portafolio_Proyectos!$B501),"")</f>
        <v/>
      </c>
      <c r="F1502" s="5" t="str">
        <f>IFERROR(IF(Portafolio_Proyectos!$AP501="","",Portafolio_Proyectos!$D501),"")</f>
        <v/>
      </c>
      <c r="G1502" s="5" t="str">
        <f>IFERROR(IF(Portafolio_Proyectos!$AP501="","",Portafolio_Proyectos!$A501),"")</f>
        <v/>
      </c>
      <c r="H1502" s="5" t="str">
        <f>IFERROR(IF(Portafolio_Proyectos!$AP501="","",Portafolio_Proyectos!$E501),"")</f>
        <v/>
      </c>
    </row>
    <row r="1503" spans="1:8" x14ac:dyDescent="0.35">
      <c r="A1503" s="5" t="str">
        <f>IFERROR(IF(Portafolio_Proyectos!$AQ501="","","CAP-"&amp;ROW()-1),"")</f>
        <v/>
      </c>
      <c r="B1503" s="5" t="str">
        <f>IFERROR(IF(Portafolio_Proyectos!$AQ501="","",Portafolio_Proyectos!$AQ501),"")</f>
        <v/>
      </c>
      <c r="C1503" s="5" t="str">
        <f>IFERROR(IF(Portafolio_Proyectos!$AQ501="","","Consolidada"),"")</f>
        <v/>
      </c>
      <c r="D1503" s="5" t="str">
        <f>IFERROR(IF(Portafolio_Proyectos!$AQ501="","",Portafolio_Proyectos!$C501),"")</f>
        <v/>
      </c>
      <c r="E1503" s="5" t="str">
        <f>IFERROR(IF(Portafolio_Proyectos!$AQ501="","",Portafolio_Proyectos!$B501),"")</f>
        <v/>
      </c>
      <c r="F1503" s="5" t="str">
        <f>IFERROR(IF(Portafolio_Proyectos!$AQ501="","",Portafolio_Proyectos!$D501),"")</f>
        <v/>
      </c>
      <c r="G1503" s="5" t="str">
        <f>IFERROR(IF(Portafolio_Proyectos!$AQ501="","",Portafolio_Proyectos!$A501),"")</f>
        <v/>
      </c>
      <c r="H1503" s="5" t="str">
        <f>IFERROR(IF(Portafolio_Proyectos!$AQ501="","",Portafolio_Proyectos!$E501),"")</f>
        <v/>
      </c>
    </row>
    <row r="1504" spans="1:8" x14ac:dyDescent="0.35">
      <c r="A1504" s="5" t="str">
        <f>IFERROR(IF(Portafolio_Proyectos!$AR501="","","CAP-"&amp;ROW()-1),"")</f>
        <v/>
      </c>
      <c r="B1504" s="5" t="str">
        <f>IFERROR(IF(Portafolio_Proyectos!$AR501="","",Portafolio_Proyectos!$AR501),"")</f>
        <v/>
      </c>
      <c r="C1504" s="5" t="str">
        <f>IFERROR(IF(Portafolio_Proyectos!$AR501="","","Distintiva"),"")</f>
        <v/>
      </c>
      <c r="D1504" s="5" t="str">
        <f>IFERROR(IF(Portafolio_Proyectos!$AR501="","",Portafolio_Proyectos!$C501),"")</f>
        <v/>
      </c>
      <c r="E1504" s="5" t="str">
        <f>IFERROR(IF(Portafolio_Proyectos!$AR501="","",Portafolio_Proyectos!$B501),"")</f>
        <v/>
      </c>
      <c r="F1504" s="5" t="str">
        <f>IFERROR(IF(Portafolio_Proyectos!$AR501="","",Portafolio_Proyectos!$D501),"")</f>
        <v/>
      </c>
      <c r="G1504" s="5" t="str">
        <f>IFERROR(IF(Portafolio_Proyectos!$AR501="","",Portafolio_Proyectos!$A501),"")</f>
        <v/>
      </c>
      <c r="H1504" s="5" t="str">
        <f>IFERROR(IF(Portafolio_Proyectos!$AR501="","",Portafolio_Proyectos!$E501),"")</f>
        <v/>
      </c>
    </row>
    <row r="1505" spans="1:8" x14ac:dyDescent="0.35">
      <c r="A1505" s="5" t="str">
        <f>IFERROR(IF(Portafolio_Proyectos!$AP502="","","CAP-"&amp;ROW()-1),"")</f>
        <v/>
      </c>
      <c r="B1505" s="5" t="str">
        <f>IFERROR(IF(Portafolio_Proyectos!$AP502="","",Portafolio_Proyectos!$AP502),"")</f>
        <v/>
      </c>
      <c r="C1505" s="5" t="str">
        <f>IFERROR(IF(Portafolio_Proyectos!$AP502="","","Emergente"),"")</f>
        <v/>
      </c>
      <c r="D1505" s="5" t="str">
        <f>IFERROR(IF(Portafolio_Proyectos!$AP502="","",Portafolio_Proyectos!$C502),"")</f>
        <v/>
      </c>
      <c r="E1505" s="5" t="str">
        <f>IFERROR(IF(Portafolio_Proyectos!$AP502="","",Portafolio_Proyectos!$B502),"")</f>
        <v/>
      </c>
      <c r="F1505" s="5" t="str">
        <f>IFERROR(IF(Portafolio_Proyectos!$AP502="","",Portafolio_Proyectos!$D502),"")</f>
        <v/>
      </c>
      <c r="G1505" s="5" t="str">
        <f>IFERROR(IF(Portafolio_Proyectos!$AP502="","",Portafolio_Proyectos!$A502),"")</f>
        <v/>
      </c>
      <c r="H1505" s="5" t="str">
        <f>IFERROR(IF(Portafolio_Proyectos!$AP502="","",Portafolio_Proyectos!$E502),"")</f>
        <v/>
      </c>
    </row>
    <row r="1506" spans="1:8" x14ac:dyDescent="0.35">
      <c r="A1506" s="5" t="str">
        <f>IFERROR(IF(Portafolio_Proyectos!$AQ502="","","CAP-"&amp;ROW()-1),"")</f>
        <v/>
      </c>
      <c r="B1506" s="5" t="str">
        <f>IFERROR(IF(Portafolio_Proyectos!$AQ502="","",Portafolio_Proyectos!$AQ502),"")</f>
        <v/>
      </c>
      <c r="C1506" s="5" t="str">
        <f>IFERROR(IF(Portafolio_Proyectos!$AQ502="","","Consolidada"),"")</f>
        <v/>
      </c>
      <c r="D1506" s="5" t="str">
        <f>IFERROR(IF(Portafolio_Proyectos!$AQ502="","",Portafolio_Proyectos!$C502),"")</f>
        <v/>
      </c>
      <c r="E1506" s="5" t="str">
        <f>IFERROR(IF(Portafolio_Proyectos!$AQ502="","",Portafolio_Proyectos!$B502),"")</f>
        <v/>
      </c>
      <c r="F1506" s="5" t="str">
        <f>IFERROR(IF(Portafolio_Proyectos!$AQ502="","",Portafolio_Proyectos!$D502),"")</f>
        <v/>
      </c>
      <c r="G1506" s="5" t="str">
        <f>IFERROR(IF(Portafolio_Proyectos!$AQ502="","",Portafolio_Proyectos!$A502),"")</f>
        <v/>
      </c>
      <c r="H1506" s="5" t="str">
        <f>IFERROR(IF(Portafolio_Proyectos!$AQ502="","",Portafolio_Proyectos!$E502),"")</f>
        <v/>
      </c>
    </row>
    <row r="1507" spans="1:8" x14ac:dyDescent="0.35">
      <c r="A1507" s="5" t="str">
        <f>IFERROR(IF(Portafolio_Proyectos!$AR502="","","CAP-"&amp;ROW()-1),"")</f>
        <v/>
      </c>
      <c r="B1507" s="5" t="str">
        <f>IFERROR(IF(Portafolio_Proyectos!$AR502="","",Portafolio_Proyectos!$AR502),"")</f>
        <v/>
      </c>
      <c r="C1507" s="5" t="str">
        <f>IFERROR(IF(Portafolio_Proyectos!$AR502="","","Distintiva"),"")</f>
        <v/>
      </c>
      <c r="D1507" s="5" t="str">
        <f>IFERROR(IF(Portafolio_Proyectos!$AR502="","",Portafolio_Proyectos!$C502),"")</f>
        <v/>
      </c>
      <c r="E1507" s="5" t="str">
        <f>IFERROR(IF(Portafolio_Proyectos!$AR502="","",Portafolio_Proyectos!$B502),"")</f>
        <v/>
      </c>
      <c r="F1507" s="5" t="str">
        <f>IFERROR(IF(Portafolio_Proyectos!$AR502="","",Portafolio_Proyectos!$D502),"")</f>
        <v/>
      </c>
      <c r="G1507" s="5" t="str">
        <f>IFERROR(IF(Portafolio_Proyectos!$AR502="","",Portafolio_Proyectos!$A502),"")</f>
        <v/>
      </c>
      <c r="H1507" s="5" t="str">
        <f>IFERROR(IF(Portafolio_Proyectos!$AR502="","",Portafolio_Proyectos!$E502),"")</f>
        <v/>
      </c>
    </row>
    <row r="1508" spans="1:8" x14ac:dyDescent="0.35">
      <c r="A1508" s="5" t="str">
        <f>IFERROR(IF(Portafolio_Proyectos!$AP503="","","CAP-"&amp;ROW()-1),"")</f>
        <v/>
      </c>
      <c r="B1508" s="5" t="str">
        <f>IFERROR(IF(Portafolio_Proyectos!$AP503="","",Portafolio_Proyectos!$AP503),"")</f>
        <v/>
      </c>
      <c r="C1508" s="5" t="str">
        <f>IFERROR(IF(Portafolio_Proyectos!$AP503="","","Emergente"),"")</f>
        <v/>
      </c>
      <c r="D1508" s="5" t="str">
        <f>IFERROR(IF(Portafolio_Proyectos!$AP503="","",Portafolio_Proyectos!$C503),"")</f>
        <v/>
      </c>
      <c r="E1508" s="5" t="str">
        <f>IFERROR(IF(Portafolio_Proyectos!$AP503="","",Portafolio_Proyectos!$B503),"")</f>
        <v/>
      </c>
      <c r="F1508" s="5" t="str">
        <f>IFERROR(IF(Portafolio_Proyectos!$AP503="","",Portafolio_Proyectos!$D503),"")</f>
        <v/>
      </c>
      <c r="G1508" s="5" t="str">
        <f>IFERROR(IF(Portafolio_Proyectos!$AP503="","",Portafolio_Proyectos!$A503),"")</f>
        <v/>
      </c>
      <c r="H1508" s="5" t="str">
        <f>IFERROR(IF(Portafolio_Proyectos!$AP503="","",Portafolio_Proyectos!$E503),"")</f>
        <v/>
      </c>
    </row>
    <row r="1509" spans="1:8" x14ac:dyDescent="0.35">
      <c r="A1509" s="5" t="str">
        <f>IFERROR(IF(Portafolio_Proyectos!$AQ503="","","CAP-"&amp;ROW()-1),"")</f>
        <v/>
      </c>
      <c r="B1509" s="5" t="str">
        <f>IFERROR(IF(Portafolio_Proyectos!$AQ503="","",Portafolio_Proyectos!$AQ503),"")</f>
        <v/>
      </c>
      <c r="C1509" s="5" t="str">
        <f>IFERROR(IF(Portafolio_Proyectos!$AQ503="","","Consolidada"),"")</f>
        <v/>
      </c>
      <c r="D1509" s="5" t="str">
        <f>IFERROR(IF(Portafolio_Proyectos!$AQ503="","",Portafolio_Proyectos!$C503),"")</f>
        <v/>
      </c>
      <c r="E1509" s="5" t="str">
        <f>IFERROR(IF(Portafolio_Proyectos!$AQ503="","",Portafolio_Proyectos!$B503),"")</f>
        <v/>
      </c>
      <c r="F1509" s="5" t="str">
        <f>IFERROR(IF(Portafolio_Proyectos!$AQ503="","",Portafolio_Proyectos!$D503),"")</f>
        <v/>
      </c>
      <c r="G1509" s="5" t="str">
        <f>IFERROR(IF(Portafolio_Proyectos!$AQ503="","",Portafolio_Proyectos!$A503),"")</f>
        <v/>
      </c>
      <c r="H1509" s="5" t="str">
        <f>IFERROR(IF(Portafolio_Proyectos!$AQ503="","",Portafolio_Proyectos!$E503),"")</f>
        <v/>
      </c>
    </row>
    <row r="1510" spans="1:8" x14ac:dyDescent="0.35">
      <c r="A1510" s="5" t="str">
        <f>IFERROR(IF(Portafolio_Proyectos!$AR503="","","CAP-"&amp;ROW()-1),"")</f>
        <v/>
      </c>
      <c r="B1510" s="5" t="str">
        <f>IFERROR(IF(Portafolio_Proyectos!$AR503="","",Portafolio_Proyectos!$AR503),"")</f>
        <v/>
      </c>
      <c r="C1510" s="5" t="str">
        <f>IFERROR(IF(Portafolio_Proyectos!$AR503="","","Distintiva"),"")</f>
        <v/>
      </c>
      <c r="D1510" s="5" t="str">
        <f>IFERROR(IF(Portafolio_Proyectos!$AR503="","",Portafolio_Proyectos!$C503),"")</f>
        <v/>
      </c>
      <c r="E1510" s="5" t="str">
        <f>IFERROR(IF(Portafolio_Proyectos!$AR503="","",Portafolio_Proyectos!$B503),"")</f>
        <v/>
      </c>
      <c r="F1510" s="5" t="str">
        <f>IFERROR(IF(Portafolio_Proyectos!$AR503="","",Portafolio_Proyectos!$D503),"")</f>
        <v/>
      </c>
      <c r="G1510" s="5" t="str">
        <f>IFERROR(IF(Portafolio_Proyectos!$AR503="","",Portafolio_Proyectos!$A503),"")</f>
        <v/>
      </c>
      <c r="H1510" s="5" t="str">
        <f>IFERROR(IF(Portafolio_Proyectos!$AR503="","",Portafolio_Proyectos!$E503),"")</f>
        <v/>
      </c>
    </row>
    <row r="1511" spans="1:8" x14ac:dyDescent="0.35">
      <c r="A1511" s="5" t="str">
        <f>IFERROR(IF(Portafolio_Proyectos!$AP504="","","CAP-"&amp;ROW()-1),"")</f>
        <v/>
      </c>
      <c r="B1511" s="5" t="str">
        <f>IFERROR(IF(Portafolio_Proyectos!$AP504="","",Portafolio_Proyectos!$AP504),"")</f>
        <v/>
      </c>
      <c r="C1511" s="5" t="str">
        <f>IFERROR(IF(Portafolio_Proyectos!$AP504="","","Emergente"),"")</f>
        <v/>
      </c>
      <c r="D1511" s="5" t="str">
        <f>IFERROR(IF(Portafolio_Proyectos!$AP504="","",Portafolio_Proyectos!$C504),"")</f>
        <v/>
      </c>
      <c r="E1511" s="5" t="str">
        <f>IFERROR(IF(Portafolio_Proyectos!$AP504="","",Portafolio_Proyectos!$B504),"")</f>
        <v/>
      </c>
      <c r="F1511" s="5" t="str">
        <f>IFERROR(IF(Portafolio_Proyectos!$AP504="","",Portafolio_Proyectos!$D504),"")</f>
        <v/>
      </c>
      <c r="G1511" s="5" t="str">
        <f>IFERROR(IF(Portafolio_Proyectos!$AP504="","",Portafolio_Proyectos!$A504),"")</f>
        <v/>
      </c>
      <c r="H1511" s="5" t="str">
        <f>IFERROR(IF(Portafolio_Proyectos!$AP504="","",Portafolio_Proyectos!$E504),"")</f>
        <v/>
      </c>
    </row>
    <row r="1512" spans="1:8" x14ac:dyDescent="0.35">
      <c r="A1512" s="5" t="str">
        <f>IFERROR(IF(Portafolio_Proyectos!$AQ504="","","CAP-"&amp;ROW()-1),"")</f>
        <v/>
      </c>
      <c r="B1512" s="5" t="str">
        <f>IFERROR(IF(Portafolio_Proyectos!$AQ504="","",Portafolio_Proyectos!$AQ504),"")</f>
        <v/>
      </c>
      <c r="C1512" s="5" t="str">
        <f>IFERROR(IF(Portafolio_Proyectos!$AQ504="","","Consolidada"),"")</f>
        <v/>
      </c>
      <c r="D1512" s="5" t="str">
        <f>IFERROR(IF(Portafolio_Proyectos!$AQ504="","",Portafolio_Proyectos!$C504),"")</f>
        <v/>
      </c>
      <c r="E1512" s="5" t="str">
        <f>IFERROR(IF(Portafolio_Proyectos!$AQ504="","",Portafolio_Proyectos!$B504),"")</f>
        <v/>
      </c>
      <c r="F1512" s="5" t="str">
        <f>IFERROR(IF(Portafolio_Proyectos!$AQ504="","",Portafolio_Proyectos!$D504),"")</f>
        <v/>
      </c>
      <c r="G1512" s="5" t="str">
        <f>IFERROR(IF(Portafolio_Proyectos!$AQ504="","",Portafolio_Proyectos!$A504),"")</f>
        <v/>
      </c>
      <c r="H1512" s="5" t="str">
        <f>IFERROR(IF(Portafolio_Proyectos!$AQ504="","",Portafolio_Proyectos!$E504),"")</f>
        <v/>
      </c>
    </row>
    <row r="1513" spans="1:8" x14ac:dyDescent="0.35">
      <c r="A1513" s="5" t="str">
        <f>IFERROR(IF(Portafolio_Proyectos!$AR504="","","CAP-"&amp;ROW()-1),"")</f>
        <v/>
      </c>
      <c r="B1513" s="5" t="str">
        <f>IFERROR(IF(Portafolio_Proyectos!$AR504="","",Portafolio_Proyectos!$AR504),"")</f>
        <v/>
      </c>
      <c r="C1513" s="5" t="str">
        <f>IFERROR(IF(Portafolio_Proyectos!$AR504="","","Distintiva"),"")</f>
        <v/>
      </c>
      <c r="D1513" s="5" t="str">
        <f>IFERROR(IF(Portafolio_Proyectos!$AR504="","",Portafolio_Proyectos!$C504),"")</f>
        <v/>
      </c>
      <c r="E1513" s="5" t="str">
        <f>IFERROR(IF(Portafolio_Proyectos!$AR504="","",Portafolio_Proyectos!$B504),"")</f>
        <v/>
      </c>
      <c r="F1513" s="5" t="str">
        <f>IFERROR(IF(Portafolio_Proyectos!$AR504="","",Portafolio_Proyectos!$D504),"")</f>
        <v/>
      </c>
      <c r="G1513" s="5" t="str">
        <f>IFERROR(IF(Portafolio_Proyectos!$AR504="","",Portafolio_Proyectos!$A504),"")</f>
        <v/>
      </c>
      <c r="H1513" s="5" t="str">
        <f>IFERROR(IF(Portafolio_Proyectos!$AR504="","",Portafolio_Proyectos!$E504),"")</f>
        <v/>
      </c>
    </row>
    <row r="1514" spans="1:8" x14ac:dyDescent="0.35">
      <c r="A1514" s="5" t="str">
        <f>IFERROR(IF(Portafolio_Proyectos!$AP505="","","CAP-"&amp;ROW()-1),"")</f>
        <v/>
      </c>
      <c r="B1514" s="5" t="str">
        <f>IFERROR(IF(Portafolio_Proyectos!$AP505="","",Portafolio_Proyectos!$AP505),"")</f>
        <v/>
      </c>
      <c r="C1514" s="5" t="str">
        <f>IFERROR(IF(Portafolio_Proyectos!$AP505="","","Emergente"),"")</f>
        <v/>
      </c>
      <c r="D1514" s="5" t="str">
        <f>IFERROR(IF(Portafolio_Proyectos!$AP505="","",Portafolio_Proyectos!$C505),"")</f>
        <v/>
      </c>
      <c r="E1514" s="5" t="str">
        <f>IFERROR(IF(Portafolio_Proyectos!$AP505="","",Portafolio_Proyectos!$B505),"")</f>
        <v/>
      </c>
      <c r="F1514" s="5" t="str">
        <f>IFERROR(IF(Portafolio_Proyectos!$AP505="","",Portafolio_Proyectos!$D505),"")</f>
        <v/>
      </c>
      <c r="G1514" s="5" t="str">
        <f>IFERROR(IF(Portafolio_Proyectos!$AP505="","",Portafolio_Proyectos!$A505),"")</f>
        <v/>
      </c>
      <c r="H1514" s="5" t="str">
        <f>IFERROR(IF(Portafolio_Proyectos!$AP505="","",Portafolio_Proyectos!$E505),"")</f>
        <v/>
      </c>
    </row>
    <row r="1515" spans="1:8" x14ac:dyDescent="0.35">
      <c r="A1515" s="5" t="str">
        <f>IFERROR(IF(Portafolio_Proyectos!$AQ505="","","CAP-"&amp;ROW()-1),"")</f>
        <v/>
      </c>
      <c r="B1515" s="5" t="str">
        <f>IFERROR(IF(Portafolio_Proyectos!$AQ505="","",Portafolio_Proyectos!$AQ505),"")</f>
        <v/>
      </c>
      <c r="C1515" s="5" t="str">
        <f>IFERROR(IF(Portafolio_Proyectos!$AQ505="","","Consolidada"),"")</f>
        <v/>
      </c>
      <c r="D1515" s="5" t="str">
        <f>IFERROR(IF(Portafolio_Proyectos!$AQ505="","",Portafolio_Proyectos!$C505),"")</f>
        <v/>
      </c>
      <c r="E1515" s="5" t="str">
        <f>IFERROR(IF(Portafolio_Proyectos!$AQ505="","",Portafolio_Proyectos!$B505),"")</f>
        <v/>
      </c>
      <c r="F1515" s="5" t="str">
        <f>IFERROR(IF(Portafolio_Proyectos!$AQ505="","",Portafolio_Proyectos!$D505),"")</f>
        <v/>
      </c>
      <c r="G1515" s="5" t="str">
        <f>IFERROR(IF(Portafolio_Proyectos!$AQ505="","",Portafolio_Proyectos!$A505),"")</f>
        <v/>
      </c>
      <c r="H1515" s="5" t="str">
        <f>IFERROR(IF(Portafolio_Proyectos!$AQ505="","",Portafolio_Proyectos!$E505),"")</f>
        <v/>
      </c>
    </row>
    <row r="1516" spans="1:8" x14ac:dyDescent="0.35">
      <c r="A1516" s="5" t="str">
        <f>IFERROR(IF(Portafolio_Proyectos!$AR505="","","CAP-"&amp;ROW()-1),"")</f>
        <v/>
      </c>
      <c r="B1516" s="5" t="str">
        <f>IFERROR(IF(Portafolio_Proyectos!$AR505="","",Portafolio_Proyectos!$AR505),"")</f>
        <v/>
      </c>
      <c r="C1516" s="5" t="str">
        <f>IFERROR(IF(Portafolio_Proyectos!$AR505="","","Distintiva"),"")</f>
        <v/>
      </c>
      <c r="D1516" s="5" t="str">
        <f>IFERROR(IF(Portafolio_Proyectos!$AR505="","",Portafolio_Proyectos!$C505),"")</f>
        <v/>
      </c>
      <c r="E1516" s="5" t="str">
        <f>IFERROR(IF(Portafolio_Proyectos!$AR505="","",Portafolio_Proyectos!$B505),"")</f>
        <v/>
      </c>
      <c r="F1516" s="5" t="str">
        <f>IFERROR(IF(Portafolio_Proyectos!$AR505="","",Portafolio_Proyectos!$D505),"")</f>
        <v/>
      </c>
      <c r="G1516" s="5" t="str">
        <f>IFERROR(IF(Portafolio_Proyectos!$AR505="","",Portafolio_Proyectos!$A505),"")</f>
        <v/>
      </c>
      <c r="H1516" s="5" t="str">
        <f>IFERROR(IF(Portafolio_Proyectos!$AR505="","",Portafolio_Proyectos!$E505),"")</f>
        <v/>
      </c>
    </row>
    <row r="1517" spans="1:8" x14ac:dyDescent="0.35">
      <c r="A1517" s="5" t="str">
        <f>IFERROR(IF(Portafolio_Proyectos!$AP506="","","CAP-"&amp;ROW()-1),"")</f>
        <v/>
      </c>
      <c r="B1517" s="5" t="str">
        <f>IFERROR(IF(Portafolio_Proyectos!$AP506="","",Portafolio_Proyectos!$AP506),"")</f>
        <v/>
      </c>
      <c r="C1517" s="5" t="str">
        <f>IFERROR(IF(Portafolio_Proyectos!$AP506="","","Emergente"),"")</f>
        <v/>
      </c>
      <c r="D1517" s="5" t="str">
        <f>IFERROR(IF(Portafolio_Proyectos!$AP506="","",Portafolio_Proyectos!$C506),"")</f>
        <v/>
      </c>
      <c r="E1517" s="5" t="str">
        <f>IFERROR(IF(Portafolio_Proyectos!$AP506="","",Portafolio_Proyectos!$B506),"")</f>
        <v/>
      </c>
      <c r="F1517" s="5" t="str">
        <f>IFERROR(IF(Portafolio_Proyectos!$AP506="","",Portafolio_Proyectos!$D506),"")</f>
        <v/>
      </c>
      <c r="G1517" s="5" t="str">
        <f>IFERROR(IF(Portafolio_Proyectos!$AP506="","",Portafolio_Proyectos!$A506),"")</f>
        <v/>
      </c>
      <c r="H1517" s="5" t="str">
        <f>IFERROR(IF(Portafolio_Proyectos!$AP506="","",Portafolio_Proyectos!$E506),"")</f>
        <v/>
      </c>
    </row>
    <row r="1518" spans="1:8" x14ac:dyDescent="0.35">
      <c r="A1518" s="5" t="str">
        <f>IFERROR(IF(Portafolio_Proyectos!$AQ506="","","CAP-"&amp;ROW()-1),"")</f>
        <v/>
      </c>
      <c r="B1518" s="5" t="str">
        <f>IFERROR(IF(Portafolio_Proyectos!$AQ506="","",Portafolio_Proyectos!$AQ506),"")</f>
        <v/>
      </c>
      <c r="C1518" s="5" t="str">
        <f>IFERROR(IF(Portafolio_Proyectos!$AQ506="","","Consolidada"),"")</f>
        <v/>
      </c>
      <c r="D1518" s="5" t="str">
        <f>IFERROR(IF(Portafolio_Proyectos!$AQ506="","",Portafolio_Proyectos!$C506),"")</f>
        <v/>
      </c>
      <c r="E1518" s="5" t="str">
        <f>IFERROR(IF(Portafolio_Proyectos!$AQ506="","",Portafolio_Proyectos!$B506),"")</f>
        <v/>
      </c>
      <c r="F1518" s="5" t="str">
        <f>IFERROR(IF(Portafolio_Proyectos!$AQ506="","",Portafolio_Proyectos!$D506),"")</f>
        <v/>
      </c>
      <c r="G1518" s="5" t="str">
        <f>IFERROR(IF(Portafolio_Proyectos!$AQ506="","",Portafolio_Proyectos!$A506),"")</f>
        <v/>
      </c>
      <c r="H1518" s="5" t="str">
        <f>IFERROR(IF(Portafolio_Proyectos!$AQ506="","",Portafolio_Proyectos!$E506),"")</f>
        <v/>
      </c>
    </row>
    <row r="1519" spans="1:8" x14ac:dyDescent="0.35">
      <c r="A1519" s="5" t="str">
        <f>IFERROR(IF(Portafolio_Proyectos!$AR506="","","CAP-"&amp;ROW()-1),"")</f>
        <v/>
      </c>
      <c r="B1519" s="5" t="str">
        <f>IFERROR(IF(Portafolio_Proyectos!$AR506="","",Portafolio_Proyectos!$AR506),"")</f>
        <v/>
      </c>
      <c r="C1519" s="5" t="str">
        <f>IFERROR(IF(Portafolio_Proyectos!$AR506="","","Distintiva"),"")</f>
        <v/>
      </c>
      <c r="D1519" s="5" t="str">
        <f>IFERROR(IF(Portafolio_Proyectos!$AR506="","",Portafolio_Proyectos!$C506),"")</f>
        <v/>
      </c>
      <c r="E1519" s="5" t="str">
        <f>IFERROR(IF(Portafolio_Proyectos!$AR506="","",Portafolio_Proyectos!$B506),"")</f>
        <v/>
      </c>
      <c r="F1519" s="5" t="str">
        <f>IFERROR(IF(Portafolio_Proyectos!$AR506="","",Portafolio_Proyectos!$D506),"")</f>
        <v/>
      </c>
      <c r="G1519" s="5" t="str">
        <f>IFERROR(IF(Portafolio_Proyectos!$AR506="","",Portafolio_Proyectos!$A506),"")</f>
        <v/>
      </c>
      <c r="H1519" s="5" t="str">
        <f>IFERROR(IF(Portafolio_Proyectos!$AR506="","",Portafolio_Proyectos!$E506),"")</f>
        <v/>
      </c>
    </row>
    <row r="1520" spans="1:8" x14ac:dyDescent="0.35">
      <c r="A1520" s="5" t="str">
        <f>IFERROR(IF(Portafolio_Proyectos!$AP507="","","CAP-"&amp;ROW()-1),"")</f>
        <v/>
      </c>
      <c r="B1520" s="5" t="str">
        <f>IFERROR(IF(Portafolio_Proyectos!$AP507="","",Portafolio_Proyectos!$AP507),"")</f>
        <v/>
      </c>
      <c r="C1520" s="5" t="str">
        <f>IFERROR(IF(Portafolio_Proyectos!$AP507="","","Emergente"),"")</f>
        <v/>
      </c>
      <c r="D1520" s="5" t="str">
        <f>IFERROR(IF(Portafolio_Proyectos!$AP507="","",Portafolio_Proyectos!$C507),"")</f>
        <v/>
      </c>
      <c r="E1520" s="5" t="str">
        <f>IFERROR(IF(Portafolio_Proyectos!$AP507="","",Portafolio_Proyectos!$B507),"")</f>
        <v/>
      </c>
      <c r="F1520" s="5" t="str">
        <f>IFERROR(IF(Portafolio_Proyectos!$AP507="","",Portafolio_Proyectos!$D507),"")</f>
        <v/>
      </c>
      <c r="G1520" s="5" t="str">
        <f>IFERROR(IF(Portafolio_Proyectos!$AP507="","",Portafolio_Proyectos!$A507),"")</f>
        <v/>
      </c>
      <c r="H1520" s="5" t="str">
        <f>IFERROR(IF(Portafolio_Proyectos!$AP507="","",Portafolio_Proyectos!$E507),"")</f>
        <v/>
      </c>
    </row>
    <row r="1521" spans="1:8" x14ac:dyDescent="0.35">
      <c r="A1521" s="5" t="str">
        <f>IFERROR(IF(Portafolio_Proyectos!$AQ507="","","CAP-"&amp;ROW()-1),"")</f>
        <v/>
      </c>
      <c r="B1521" s="5" t="str">
        <f>IFERROR(IF(Portafolio_Proyectos!$AQ507="","",Portafolio_Proyectos!$AQ507),"")</f>
        <v/>
      </c>
      <c r="C1521" s="5" t="str">
        <f>IFERROR(IF(Portafolio_Proyectos!$AQ507="","","Consolidada"),"")</f>
        <v/>
      </c>
      <c r="D1521" s="5" t="str">
        <f>IFERROR(IF(Portafolio_Proyectos!$AQ507="","",Portafolio_Proyectos!$C507),"")</f>
        <v/>
      </c>
      <c r="E1521" s="5" t="str">
        <f>IFERROR(IF(Portafolio_Proyectos!$AQ507="","",Portafolio_Proyectos!$B507),"")</f>
        <v/>
      </c>
      <c r="F1521" s="5" t="str">
        <f>IFERROR(IF(Portafolio_Proyectos!$AQ507="","",Portafolio_Proyectos!$D507),"")</f>
        <v/>
      </c>
      <c r="G1521" s="5" t="str">
        <f>IFERROR(IF(Portafolio_Proyectos!$AQ507="","",Portafolio_Proyectos!$A507),"")</f>
        <v/>
      </c>
      <c r="H1521" s="5" t="str">
        <f>IFERROR(IF(Portafolio_Proyectos!$AQ507="","",Portafolio_Proyectos!$E507),"")</f>
        <v/>
      </c>
    </row>
    <row r="1522" spans="1:8" x14ac:dyDescent="0.35">
      <c r="A1522" s="5" t="str">
        <f>IFERROR(IF(Portafolio_Proyectos!$AR507="","","CAP-"&amp;ROW()-1),"")</f>
        <v/>
      </c>
      <c r="B1522" s="5" t="str">
        <f>IFERROR(IF(Portafolio_Proyectos!$AR507="","",Portafolio_Proyectos!$AR507),"")</f>
        <v/>
      </c>
      <c r="C1522" s="5" t="str">
        <f>IFERROR(IF(Portafolio_Proyectos!$AR507="","","Distintiva"),"")</f>
        <v/>
      </c>
      <c r="D1522" s="5" t="str">
        <f>IFERROR(IF(Portafolio_Proyectos!$AR507="","",Portafolio_Proyectos!$C507),"")</f>
        <v/>
      </c>
      <c r="E1522" s="5" t="str">
        <f>IFERROR(IF(Portafolio_Proyectos!$AR507="","",Portafolio_Proyectos!$B507),"")</f>
        <v/>
      </c>
      <c r="F1522" s="5" t="str">
        <f>IFERROR(IF(Portafolio_Proyectos!$AR507="","",Portafolio_Proyectos!$D507),"")</f>
        <v/>
      </c>
      <c r="G1522" s="5" t="str">
        <f>IFERROR(IF(Portafolio_Proyectos!$AR507="","",Portafolio_Proyectos!$A507),"")</f>
        <v/>
      </c>
      <c r="H1522" s="5" t="str">
        <f>IFERROR(IF(Portafolio_Proyectos!$AR507="","",Portafolio_Proyectos!$E507),"")</f>
        <v/>
      </c>
    </row>
    <row r="1523" spans="1:8" x14ac:dyDescent="0.35">
      <c r="A1523" s="5" t="str">
        <f>IFERROR(IF(Portafolio_Proyectos!$AP508="","","CAP-"&amp;ROW()-1),"")</f>
        <v/>
      </c>
      <c r="B1523" s="5" t="str">
        <f>IFERROR(IF(Portafolio_Proyectos!$AP508="","",Portafolio_Proyectos!$AP508),"")</f>
        <v/>
      </c>
      <c r="C1523" s="5" t="str">
        <f>IFERROR(IF(Portafolio_Proyectos!$AP508="","","Emergente"),"")</f>
        <v/>
      </c>
      <c r="D1523" s="5" t="str">
        <f>IFERROR(IF(Portafolio_Proyectos!$AP508="","",Portafolio_Proyectos!$C508),"")</f>
        <v/>
      </c>
      <c r="E1523" s="5" t="str">
        <f>IFERROR(IF(Portafolio_Proyectos!$AP508="","",Portafolio_Proyectos!$B508),"")</f>
        <v/>
      </c>
      <c r="F1523" s="5" t="str">
        <f>IFERROR(IF(Portafolio_Proyectos!$AP508="","",Portafolio_Proyectos!$D508),"")</f>
        <v/>
      </c>
      <c r="G1523" s="5" t="str">
        <f>IFERROR(IF(Portafolio_Proyectos!$AP508="","",Portafolio_Proyectos!$A508),"")</f>
        <v/>
      </c>
      <c r="H1523" s="5" t="str">
        <f>IFERROR(IF(Portafolio_Proyectos!$AP508="","",Portafolio_Proyectos!$E508),"")</f>
        <v/>
      </c>
    </row>
    <row r="1524" spans="1:8" x14ac:dyDescent="0.35">
      <c r="A1524" s="5" t="str">
        <f>IFERROR(IF(Portafolio_Proyectos!$AQ508="","","CAP-"&amp;ROW()-1),"")</f>
        <v/>
      </c>
      <c r="B1524" s="5" t="str">
        <f>IFERROR(IF(Portafolio_Proyectos!$AQ508="","",Portafolio_Proyectos!$AQ508),"")</f>
        <v/>
      </c>
      <c r="C1524" s="5" t="str">
        <f>IFERROR(IF(Portafolio_Proyectos!$AQ508="","","Consolidada"),"")</f>
        <v/>
      </c>
      <c r="D1524" s="5" t="str">
        <f>IFERROR(IF(Portafolio_Proyectos!$AQ508="","",Portafolio_Proyectos!$C508),"")</f>
        <v/>
      </c>
      <c r="E1524" s="5" t="str">
        <f>IFERROR(IF(Portafolio_Proyectos!$AQ508="","",Portafolio_Proyectos!$B508),"")</f>
        <v/>
      </c>
      <c r="F1524" s="5" t="str">
        <f>IFERROR(IF(Portafolio_Proyectos!$AQ508="","",Portafolio_Proyectos!$D508),"")</f>
        <v/>
      </c>
      <c r="G1524" s="5" t="str">
        <f>IFERROR(IF(Portafolio_Proyectos!$AQ508="","",Portafolio_Proyectos!$A508),"")</f>
        <v/>
      </c>
      <c r="H1524" s="5" t="str">
        <f>IFERROR(IF(Portafolio_Proyectos!$AQ508="","",Portafolio_Proyectos!$E508),"")</f>
        <v/>
      </c>
    </row>
    <row r="1525" spans="1:8" x14ac:dyDescent="0.35">
      <c r="A1525" s="5" t="str">
        <f>IFERROR(IF(Portafolio_Proyectos!$AR508="","","CAP-"&amp;ROW()-1),"")</f>
        <v/>
      </c>
      <c r="B1525" s="5" t="str">
        <f>IFERROR(IF(Portafolio_Proyectos!$AR508="","",Portafolio_Proyectos!$AR508),"")</f>
        <v/>
      </c>
      <c r="C1525" s="5" t="str">
        <f>IFERROR(IF(Portafolio_Proyectos!$AR508="","","Distintiva"),"")</f>
        <v/>
      </c>
      <c r="D1525" s="5" t="str">
        <f>IFERROR(IF(Portafolio_Proyectos!$AR508="","",Portafolio_Proyectos!$C508),"")</f>
        <v/>
      </c>
      <c r="E1525" s="5" t="str">
        <f>IFERROR(IF(Portafolio_Proyectos!$AR508="","",Portafolio_Proyectos!$B508),"")</f>
        <v/>
      </c>
      <c r="F1525" s="5" t="str">
        <f>IFERROR(IF(Portafolio_Proyectos!$AR508="","",Portafolio_Proyectos!$D508),"")</f>
        <v/>
      </c>
      <c r="G1525" s="5" t="str">
        <f>IFERROR(IF(Portafolio_Proyectos!$AR508="","",Portafolio_Proyectos!$A508),"")</f>
        <v/>
      </c>
      <c r="H1525" s="5" t="str">
        <f>IFERROR(IF(Portafolio_Proyectos!$AR508="","",Portafolio_Proyectos!$E508),"")</f>
        <v/>
      </c>
    </row>
    <row r="1526" spans="1:8" x14ac:dyDescent="0.35">
      <c r="A1526" s="5" t="str">
        <f>IFERROR(IF(Portafolio_Proyectos!$AP509="","","CAP-"&amp;ROW()-1),"")</f>
        <v/>
      </c>
      <c r="B1526" s="5" t="str">
        <f>IFERROR(IF(Portafolio_Proyectos!$AP509="","",Portafolio_Proyectos!$AP509),"")</f>
        <v/>
      </c>
      <c r="C1526" s="5" t="str">
        <f>IFERROR(IF(Portafolio_Proyectos!$AP509="","","Emergente"),"")</f>
        <v/>
      </c>
      <c r="D1526" s="5" t="str">
        <f>IFERROR(IF(Portafolio_Proyectos!$AP509="","",Portafolio_Proyectos!$C509),"")</f>
        <v/>
      </c>
      <c r="E1526" s="5" t="str">
        <f>IFERROR(IF(Portafolio_Proyectos!$AP509="","",Portafolio_Proyectos!$B509),"")</f>
        <v/>
      </c>
      <c r="F1526" s="5" t="str">
        <f>IFERROR(IF(Portafolio_Proyectos!$AP509="","",Portafolio_Proyectos!$D509),"")</f>
        <v/>
      </c>
      <c r="G1526" s="5" t="str">
        <f>IFERROR(IF(Portafolio_Proyectos!$AP509="","",Portafolio_Proyectos!$A509),"")</f>
        <v/>
      </c>
      <c r="H1526" s="5" t="str">
        <f>IFERROR(IF(Portafolio_Proyectos!$AP509="","",Portafolio_Proyectos!$E509),"")</f>
        <v/>
      </c>
    </row>
    <row r="1527" spans="1:8" x14ac:dyDescent="0.35">
      <c r="A1527" s="5" t="str">
        <f>IFERROR(IF(Portafolio_Proyectos!$AQ509="","","CAP-"&amp;ROW()-1),"")</f>
        <v/>
      </c>
      <c r="B1527" s="5" t="str">
        <f>IFERROR(IF(Portafolio_Proyectos!$AQ509="","",Portafolio_Proyectos!$AQ509),"")</f>
        <v/>
      </c>
      <c r="C1527" s="5" t="str">
        <f>IFERROR(IF(Portafolio_Proyectos!$AQ509="","","Consolidada"),"")</f>
        <v/>
      </c>
      <c r="D1527" s="5" t="str">
        <f>IFERROR(IF(Portafolio_Proyectos!$AQ509="","",Portafolio_Proyectos!$C509),"")</f>
        <v/>
      </c>
      <c r="E1527" s="5" t="str">
        <f>IFERROR(IF(Portafolio_Proyectos!$AQ509="","",Portafolio_Proyectos!$B509),"")</f>
        <v/>
      </c>
      <c r="F1527" s="5" t="str">
        <f>IFERROR(IF(Portafolio_Proyectos!$AQ509="","",Portafolio_Proyectos!$D509),"")</f>
        <v/>
      </c>
      <c r="G1527" s="5" t="str">
        <f>IFERROR(IF(Portafolio_Proyectos!$AQ509="","",Portafolio_Proyectos!$A509),"")</f>
        <v/>
      </c>
      <c r="H1527" s="5" t="str">
        <f>IFERROR(IF(Portafolio_Proyectos!$AQ509="","",Portafolio_Proyectos!$E509),"")</f>
        <v/>
      </c>
    </row>
    <row r="1528" spans="1:8" x14ac:dyDescent="0.35">
      <c r="A1528" s="5" t="str">
        <f>IFERROR(IF(Portafolio_Proyectos!$AR509="","","CAP-"&amp;ROW()-1),"")</f>
        <v/>
      </c>
      <c r="B1528" s="5" t="str">
        <f>IFERROR(IF(Portafolio_Proyectos!$AR509="","",Portafolio_Proyectos!$AR509),"")</f>
        <v/>
      </c>
      <c r="C1528" s="5" t="str">
        <f>IFERROR(IF(Portafolio_Proyectos!$AR509="","","Distintiva"),"")</f>
        <v/>
      </c>
      <c r="D1528" s="5" t="str">
        <f>IFERROR(IF(Portafolio_Proyectos!$AR509="","",Portafolio_Proyectos!$C509),"")</f>
        <v/>
      </c>
      <c r="E1528" s="5" t="str">
        <f>IFERROR(IF(Portafolio_Proyectos!$AR509="","",Portafolio_Proyectos!$B509),"")</f>
        <v/>
      </c>
      <c r="F1528" s="5" t="str">
        <f>IFERROR(IF(Portafolio_Proyectos!$AR509="","",Portafolio_Proyectos!$D509),"")</f>
        <v/>
      </c>
      <c r="G1528" s="5" t="str">
        <f>IFERROR(IF(Portafolio_Proyectos!$AR509="","",Portafolio_Proyectos!$A509),"")</f>
        <v/>
      </c>
      <c r="H1528" s="5" t="str">
        <f>IFERROR(IF(Portafolio_Proyectos!$AR509="","",Portafolio_Proyectos!$E509),"")</f>
        <v/>
      </c>
    </row>
    <row r="1529" spans="1:8" x14ac:dyDescent="0.35">
      <c r="A1529" s="5" t="str">
        <f>IFERROR(IF(Portafolio_Proyectos!$AP510="","","CAP-"&amp;ROW()-1),"")</f>
        <v/>
      </c>
      <c r="B1529" s="5" t="str">
        <f>IFERROR(IF(Portafolio_Proyectos!$AP510="","",Portafolio_Proyectos!$AP510),"")</f>
        <v/>
      </c>
      <c r="C1529" s="5" t="str">
        <f>IFERROR(IF(Portafolio_Proyectos!$AP510="","","Emergente"),"")</f>
        <v/>
      </c>
      <c r="D1529" s="5" t="str">
        <f>IFERROR(IF(Portafolio_Proyectos!$AP510="","",Portafolio_Proyectos!$C510),"")</f>
        <v/>
      </c>
      <c r="E1529" s="5" t="str">
        <f>IFERROR(IF(Portafolio_Proyectos!$AP510="","",Portafolio_Proyectos!$B510),"")</f>
        <v/>
      </c>
      <c r="F1529" s="5" t="str">
        <f>IFERROR(IF(Portafolio_Proyectos!$AP510="","",Portafolio_Proyectos!$D510),"")</f>
        <v/>
      </c>
      <c r="G1529" s="5" t="str">
        <f>IFERROR(IF(Portafolio_Proyectos!$AP510="","",Portafolio_Proyectos!$A510),"")</f>
        <v/>
      </c>
      <c r="H1529" s="5" t="str">
        <f>IFERROR(IF(Portafolio_Proyectos!$AP510="","",Portafolio_Proyectos!$E510),"")</f>
        <v/>
      </c>
    </row>
    <row r="1530" spans="1:8" x14ac:dyDescent="0.35">
      <c r="A1530" s="5" t="str">
        <f>IFERROR(IF(Portafolio_Proyectos!$AQ510="","","CAP-"&amp;ROW()-1),"")</f>
        <v/>
      </c>
      <c r="B1530" s="5" t="str">
        <f>IFERROR(IF(Portafolio_Proyectos!$AQ510="","",Portafolio_Proyectos!$AQ510),"")</f>
        <v/>
      </c>
      <c r="C1530" s="5" t="str">
        <f>IFERROR(IF(Portafolio_Proyectos!$AQ510="","","Consolidada"),"")</f>
        <v/>
      </c>
      <c r="D1530" s="5" t="str">
        <f>IFERROR(IF(Portafolio_Proyectos!$AQ510="","",Portafolio_Proyectos!$C510),"")</f>
        <v/>
      </c>
      <c r="E1530" s="5" t="str">
        <f>IFERROR(IF(Portafolio_Proyectos!$AQ510="","",Portafolio_Proyectos!$B510),"")</f>
        <v/>
      </c>
      <c r="F1530" s="5" t="str">
        <f>IFERROR(IF(Portafolio_Proyectos!$AQ510="","",Portafolio_Proyectos!$D510),"")</f>
        <v/>
      </c>
      <c r="G1530" s="5" t="str">
        <f>IFERROR(IF(Portafolio_Proyectos!$AQ510="","",Portafolio_Proyectos!$A510),"")</f>
        <v/>
      </c>
      <c r="H1530" s="5" t="str">
        <f>IFERROR(IF(Portafolio_Proyectos!$AQ510="","",Portafolio_Proyectos!$E510),"")</f>
        <v/>
      </c>
    </row>
    <row r="1531" spans="1:8" x14ac:dyDescent="0.35">
      <c r="A1531" s="5" t="str">
        <f>IFERROR(IF(Portafolio_Proyectos!$AR510="","","CAP-"&amp;ROW()-1),"")</f>
        <v/>
      </c>
      <c r="B1531" s="5" t="str">
        <f>IFERROR(IF(Portafolio_Proyectos!$AR510="","",Portafolio_Proyectos!$AR510),"")</f>
        <v/>
      </c>
      <c r="C1531" s="5" t="str">
        <f>IFERROR(IF(Portafolio_Proyectos!$AR510="","","Distintiva"),"")</f>
        <v/>
      </c>
      <c r="D1531" s="5" t="str">
        <f>IFERROR(IF(Portafolio_Proyectos!$AR510="","",Portafolio_Proyectos!$C510),"")</f>
        <v/>
      </c>
      <c r="E1531" s="5" t="str">
        <f>IFERROR(IF(Portafolio_Proyectos!$AR510="","",Portafolio_Proyectos!$B510),"")</f>
        <v/>
      </c>
      <c r="F1531" s="5" t="str">
        <f>IFERROR(IF(Portafolio_Proyectos!$AR510="","",Portafolio_Proyectos!$D510),"")</f>
        <v/>
      </c>
      <c r="G1531" s="5" t="str">
        <f>IFERROR(IF(Portafolio_Proyectos!$AR510="","",Portafolio_Proyectos!$A510),"")</f>
        <v/>
      </c>
      <c r="H1531" s="5" t="str">
        <f>IFERROR(IF(Portafolio_Proyectos!$AR510="","",Portafolio_Proyectos!$E510),"")</f>
        <v/>
      </c>
    </row>
    <row r="1532" spans="1:8" x14ac:dyDescent="0.35">
      <c r="A1532" s="5" t="str">
        <f>IFERROR(IF(Portafolio_Proyectos!$AP511="","","CAP-"&amp;ROW()-1),"")</f>
        <v/>
      </c>
      <c r="B1532" s="5" t="str">
        <f>IFERROR(IF(Portafolio_Proyectos!$AP511="","",Portafolio_Proyectos!$AP511),"")</f>
        <v/>
      </c>
      <c r="C1532" s="5" t="str">
        <f>IFERROR(IF(Portafolio_Proyectos!$AP511="","","Emergente"),"")</f>
        <v/>
      </c>
      <c r="D1532" s="5" t="str">
        <f>IFERROR(IF(Portafolio_Proyectos!$AP511="","",Portafolio_Proyectos!$C511),"")</f>
        <v/>
      </c>
      <c r="E1532" s="5" t="str">
        <f>IFERROR(IF(Portafolio_Proyectos!$AP511="","",Portafolio_Proyectos!$B511),"")</f>
        <v/>
      </c>
      <c r="F1532" s="5" t="str">
        <f>IFERROR(IF(Portafolio_Proyectos!$AP511="","",Portafolio_Proyectos!$D511),"")</f>
        <v/>
      </c>
      <c r="G1532" s="5" t="str">
        <f>IFERROR(IF(Portafolio_Proyectos!$AP511="","",Portafolio_Proyectos!$A511),"")</f>
        <v/>
      </c>
      <c r="H1532" s="5" t="str">
        <f>IFERROR(IF(Portafolio_Proyectos!$AP511="","",Portafolio_Proyectos!$E511),"")</f>
        <v/>
      </c>
    </row>
    <row r="1533" spans="1:8" x14ac:dyDescent="0.35">
      <c r="A1533" s="5" t="str">
        <f>IFERROR(IF(Portafolio_Proyectos!$AQ511="","","CAP-"&amp;ROW()-1),"")</f>
        <v/>
      </c>
      <c r="B1533" s="5" t="str">
        <f>IFERROR(IF(Portafolio_Proyectos!$AQ511="","",Portafolio_Proyectos!$AQ511),"")</f>
        <v/>
      </c>
      <c r="C1533" s="5" t="str">
        <f>IFERROR(IF(Portafolio_Proyectos!$AQ511="","","Consolidada"),"")</f>
        <v/>
      </c>
      <c r="D1533" s="5" t="str">
        <f>IFERROR(IF(Portafolio_Proyectos!$AQ511="","",Portafolio_Proyectos!$C511),"")</f>
        <v/>
      </c>
      <c r="E1533" s="5" t="str">
        <f>IFERROR(IF(Portafolio_Proyectos!$AQ511="","",Portafolio_Proyectos!$B511),"")</f>
        <v/>
      </c>
      <c r="F1533" s="5" t="str">
        <f>IFERROR(IF(Portafolio_Proyectos!$AQ511="","",Portafolio_Proyectos!$D511),"")</f>
        <v/>
      </c>
      <c r="G1533" s="5" t="str">
        <f>IFERROR(IF(Portafolio_Proyectos!$AQ511="","",Portafolio_Proyectos!$A511),"")</f>
        <v/>
      </c>
      <c r="H1533" s="5" t="str">
        <f>IFERROR(IF(Portafolio_Proyectos!$AQ511="","",Portafolio_Proyectos!$E511),"")</f>
        <v/>
      </c>
    </row>
    <row r="1534" spans="1:8" x14ac:dyDescent="0.35">
      <c r="A1534" s="5" t="str">
        <f>IFERROR(IF(Portafolio_Proyectos!$AR511="","","CAP-"&amp;ROW()-1),"")</f>
        <v/>
      </c>
      <c r="B1534" s="5" t="str">
        <f>IFERROR(IF(Portafolio_Proyectos!$AR511="","",Portafolio_Proyectos!$AR511),"")</f>
        <v/>
      </c>
      <c r="C1534" s="5" t="str">
        <f>IFERROR(IF(Portafolio_Proyectos!$AR511="","","Distintiva"),"")</f>
        <v/>
      </c>
      <c r="D1534" s="5" t="str">
        <f>IFERROR(IF(Portafolio_Proyectos!$AR511="","",Portafolio_Proyectos!$C511),"")</f>
        <v/>
      </c>
      <c r="E1534" s="5" t="str">
        <f>IFERROR(IF(Portafolio_Proyectos!$AR511="","",Portafolio_Proyectos!$B511),"")</f>
        <v/>
      </c>
      <c r="F1534" s="5" t="str">
        <f>IFERROR(IF(Portafolio_Proyectos!$AR511="","",Portafolio_Proyectos!$D511),"")</f>
        <v/>
      </c>
      <c r="G1534" s="5" t="str">
        <f>IFERROR(IF(Portafolio_Proyectos!$AR511="","",Portafolio_Proyectos!$A511),"")</f>
        <v/>
      </c>
      <c r="H1534" s="5" t="str">
        <f>IFERROR(IF(Portafolio_Proyectos!$AR511="","",Portafolio_Proyectos!$E511),"")</f>
        <v/>
      </c>
    </row>
    <row r="1535" spans="1:8" x14ac:dyDescent="0.35">
      <c r="A1535" s="5" t="str">
        <f>IFERROR(IF(Portafolio_Proyectos!$AP512="","","CAP-"&amp;ROW()-1),"")</f>
        <v/>
      </c>
      <c r="B1535" s="5" t="str">
        <f>IFERROR(IF(Portafolio_Proyectos!$AP512="","",Portafolio_Proyectos!$AP512),"")</f>
        <v/>
      </c>
      <c r="C1535" s="5" t="str">
        <f>IFERROR(IF(Portafolio_Proyectos!$AP512="","","Emergente"),"")</f>
        <v/>
      </c>
      <c r="D1535" s="5" t="str">
        <f>IFERROR(IF(Portafolio_Proyectos!$AP512="","",Portafolio_Proyectos!$C512),"")</f>
        <v/>
      </c>
      <c r="E1535" s="5" t="str">
        <f>IFERROR(IF(Portafolio_Proyectos!$AP512="","",Portafolio_Proyectos!$B512),"")</f>
        <v/>
      </c>
      <c r="F1535" s="5" t="str">
        <f>IFERROR(IF(Portafolio_Proyectos!$AP512="","",Portafolio_Proyectos!$D512),"")</f>
        <v/>
      </c>
      <c r="G1535" s="5" t="str">
        <f>IFERROR(IF(Portafolio_Proyectos!$AP512="","",Portafolio_Proyectos!$A512),"")</f>
        <v/>
      </c>
      <c r="H1535" s="5" t="str">
        <f>IFERROR(IF(Portafolio_Proyectos!$AP512="","",Portafolio_Proyectos!$E512),"")</f>
        <v/>
      </c>
    </row>
    <row r="1536" spans="1:8" x14ac:dyDescent="0.35">
      <c r="A1536" s="5" t="str">
        <f>IFERROR(IF(Portafolio_Proyectos!$AQ512="","","CAP-"&amp;ROW()-1),"")</f>
        <v/>
      </c>
      <c r="B1536" s="5" t="str">
        <f>IFERROR(IF(Portafolio_Proyectos!$AQ512="","",Portafolio_Proyectos!$AQ512),"")</f>
        <v/>
      </c>
      <c r="C1536" s="5" t="str">
        <f>IFERROR(IF(Portafolio_Proyectos!$AQ512="","","Consolidada"),"")</f>
        <v/>
      </c>
      <c r="D1536" s="5" t="str">
        <f>IFERROR(IF(Portafolio_Proyectos!$AQ512="","",Portafolio_Proyectos!$C512),"")</f>
        <v/>
      </c>
      <c r="E1536" s="5" t="str">
        <f>IFERROR(IF(Portafolio_Proyectos!$AQ512="","",Portafolio_Proyectos!$B512),"")</f>
        <v/>
      </c>
      <c r="F1536" s="5" t="str">
        <f>IFERROR(IF(Portafolio_Proyectos!$AQ512="","",Portafolio_Proyectos!$D512),"")</f>
        <v/>
      </c>
      <c r="G1536" s="5" t="str">
        <f>IFERROR(IF(Portafolio_Proyectos!$AQ512="","",Portafolio_Proyectos!$A512),"")</f>
        <v/>
      </c>
      <c r="H1536" s="5" t="str">
        <f>IFERROR(IF(Portafolio_Proyectos!$AQ512="","",Portafolio_Proyectos!$E512),"")</f>
        <v/>
      </c>
    </row>
    <row r="1537" spans="1:8" x14ac:dyDescent="0.35">
      <c r="A1537" s="5" t="str">
        <f>IFERROR(IF(Portafolio_Proyectos!$AR512="","","CAP-"&amp;ROW()-1),"")</f>
        <v/>
      </c>
      <c r="B1537" s="5" t="str">
        <f>IFERROR(IF(Portafolio_Proyectos!$AR512="","",Portafolio_Proyectos!$AR512),"")</f>
        <v/>
      </c>
      <c r="C1537" s="5" t="str">
        <f>IFERROR(IF(Portafolio_Proyectos!$AR512="","","Distintiva"),"")</f>
        <v/>
      </c>
      <c r="D1537" s="5" t="str">
        <f>IFERROR(IF(Portafolio_Proyectos!$AR512="","",Portafolio_Proyectos!$C512),"")</f>
        <v/>
      </c>
      <c r="E1537" s="5" t="str">
        <f>IFERROR(IF(Portafolio_Proyectos!$AR512="","",Portafolio_Proyectos!$B512),"")</f>
        <v/>
      </c>
      <c r="F1537" s="5" t="str">
        <f>IFERROR(IF(Portafolio_Proyectos!$AR512="","",Portafolio_Proyectos!$D512),"")</f>
        <v/>
      </c>
      <c r="G1537" s="5" t="str">
        <f>IFERROR(IF(Portafolio_Proyectos!$AR512="","",Portafolio_Proyectos!$A512),"")</f>
        <v/>
      </c>
      <c r="H1537" s="5" t="str">
        <f>IFERROR(IF(Portafolio_Proyectos!$AR512="","",Portafolio_Proyectos!$E512),"")</f>
        <v/>
      </c>
    </row>
    <row r="1538" spans="1:8" x14ac:dyDescent="0.35">
      <c r="A1538" s="5" t="str">
        <f>IFERROR(IF(Portafolio_Proyectos!$AP513="","","CAP-"&amp;ROW()-1),"")</f>
        <v/>
      </c>
      <c r="B1538" s="5" t="str">
        <f>IFERROR(IF(Portafolio_Proyectos!$AP513="","",Portafolio_Proyectos!$AP513),"")</f>
        <v/>
      </c>
      <c r="C1538" s="5" t="str">
        <f>IFERROR(IF(Portafolio_Proyectos!$AP513="","","Emergente"),"")</f>
        <v/>
      </c>
      <c r="D1538" s="5" t="str">
        <f>IFERROR(IF(Portafolio_Proyectos!$AP513="","",Portafolio_Proyectos!$C513),"")</f>
        <v/>
      </c>
      <c r="E1538" s="5" t="str">
        <f>IFERROR(IF(Portafolio_Proyectos!$AP513="","",Portafolio_Proyectos!$B513),"")</f>
        <v/>
      </c>
      <c r="F1538" s="5" t="str">
        <f>IFERROR(IF(Portafolio_Proyectos!$AP513="","",Portafolio_Proyectos!$D513),"")</f>
        <v/>
      </c>
      <c r="G1538" s="5" t="str">
        <f>IFERROR(IF(Portafolio_Proyectos!$AP513="","",Portafolio_Proyectos!$A513),"")</f>
        <v/>
      </c>
      <c r="H1538" s="5" t="str">
        <f>IFERROR(IF(Portafolio_Proyectos!$AP513="","",Portafolio_Proyectos!$E513),"")</f>
        <v/>
      </c>
    </row>
    <row r="1539" spans="1:8" x14ac:dyDescent="0.35">
      <c r="A1539" s="5" t="str">
        <f>IFERROR(IF(Portafolio_Proyectos!$AQ513="","","CAP-"&amp;ROW()-1),"")</f>
        <v/>
      </c>
      <c r="B1539" s="5" t="str">
        <f>IFERROR(IF(Portafolio_Proyectos!$AQ513="","",Portafolio_Proyectos!$AQ513),"")</f>
        <v/>
      </c>
      <c r="C1539" s="5" t="str">
        <f>IFERROR(IF(Portafolio_Proyectos!$AQ513="","","Consolidada"),"")</f>
        <v/>
      </c>
      <c r="D1539" s="5" t="str">
        <f>IFERROR(IF(Portafolio_Proyectos!$AQ513="","",Portafolio_Proyectos!$C513),"")</f>
        <v/>
      </c>
      <c r="E1539" s="5" t="str">
        <f>IFERROR(IF(Portafolio_Proyectos!$AQ513="","",Portafolio_Proyectos!$B513),"")</f>
        <v/>
      </c>
      <c r="F1539" s="5" t="str">
        <f>IFERROR(IF(Portafolio_Proyectos!$AQ513="","",Portafolio_Proyectos!$D513),"")</f>
        <v/>
      </c>
      <c r="G1539" s="5" t="str">
        <f>IFERROR(IF(Portafolio_Proyectos!$AQ513="","",Portafolio_Proyectos!$A513),"")</f>
        <v/>
      </c>
      <c r="H1539" s="5" t="str">
        <f>IFERROR(IF(Portafolio_Proyectos!$AQ513="","",Portafolio_Proyectos!$E513),"")</f>
        <v/>
      </c>
    </row>
    <row r="1540" spans="1:8" x14ac:dyDescent="0.35">
      <c r="A1540" s="5" t="str">
        <f>IFERROR(IF(Portafolio_Proyectos!$AR513="","","CAP-"&amp;ROW()-1),"")</f>
        <v/>
      </c>
      <c r="B1540" s="5" t="str">
        <f>IFERROR(IF(Portafolio_Proyectos!$AR513="","",Portafolio_Proyectos!$AR513),"")</f>
        <v/>
      </c>
      <c r="C1540" s="5" t="str">
        <f>IFERROR(IF(Portafolio_Proyectos!$AR513="","","Distintiva"),"")</f>
        <v/>
      </c>
      <c r="D1540" s="5" t="str">
        <f>IFERROR(IF(Portafolio_Proyectos!$AR513="","",Portafolio_Proyectos!$C513),"")</f>
        <v/>
      </c>
      <c r="E1540" s="5" t="str">
        <f>IFERROR(IF(Portafolio_Proyectos!$AR513="","",Portafolio_Proyectos!$B513),"")</f>
        <v/>
      </c>
      <c r="F1540" s="5" t="str">
        <f>IFERROR(IF(Portafolio_Proyectos!$AR513="","",Portafolio_Proyectos!$D513),"")</f>
        <v/>
      </c>
      <c r="G1540" s="5" t="str">
        <f>IFERROR(IF(Portafolio_Proyectos!$AR513="","",Portafolio_Proyectos!$A513),"")</f>
        <v/>
      </c>
      <c r="H1540" s="5" t="str">
        <f>IFERROR(IF(Portafolio_Proyectos!$AR513="","",Portafolio_Proyectos!$E513),"")</f>
        <v/>
      </c>
    </row>
    <row r="1541" spans="1:8" x14ac:dyDescent="0.35">
      <c r="A1541" s="5" t="str">
        <f>IFERROR(IF(Portafolio_Proyectos!$AP514="","","CAP-"&amp;ROW()-1),"")</f>
        <v/>
      </c>
      <c r="B1541" s="5" t="str">
        <f>IFERROR(IF(Portafolio_Proyectos!$AP514="","",Portafolio_Proyectos!$AP514),"")</f>
        <v/>
      </c>
      <c r="C1541" s="5" t="str">
        <f>IFERROR(IF(Portafolio_Proyectos!$AP514="","","Emergente"),"")</f>
        <v/>
      </c>
      <c r="D1541" s="5" t="str">
        <f>IFERROR(IF(Portafolio_Proyectos!$AP514="","",Portafolio_Proyectos!$C514),"")</f>
        <v/>
      </c>
      <c r="E1541" s="5" t="str">
        <f>IFERROR(IF(Portafolio_Proyectos!$AP514="","",Portafolio_Proyectos!$B514),"")</f>
        <v/>
      </c>
      <c r="F1541" s="5" t="str">
        <f>IFERROR(IF(Portafolio_Proyectos!$AP514="","",Portafolio_Proyectos!$D514),"")</f>
        <v/>
      </c>
      <c r="G1541" s="5" t="str">
        <f>IFERROR(IF(Portafolio_Proyectos!$AP514="","",Portafolio_Proyectos!$A514),"")</f>
        <v/>
      </c>
      <c r="H1541" s="5" t="str">
        <f>IFERROR(IF(Portafolio_Proyectos!$AP514="","",Portafolio_Proyectos!$E514),"")</f>
        <v/>
      </c>
    </row>
    <row r="1542" spans="1:8" x14ac:dyDescent="0.35">
      <c r="A1542" s="5" t="str">
        <f>IFERROR(IF(Portafolio_Proyectos!$AQ514="","","CAP-"&amp;ROW()-1),"")</f>
        <v/>
      </c>
      <c r="B1542" s="5" t="str">
        <f>IFERROR(IF(Portafolio_Proyectos!$AQ514="","",Portafolio_Proyectos!$AQ514),"")</f>
        <v/>
      </c>
      <c r="C1542" s="5" t="str">
        <f>IFERROR(IF(Portafolio_Proyectos!$AQ514="","","Consolidada"),"")</f>
        <v/>
      </c>
      <c r="D1542" s="5" t="str">
        <f>IFERROR(IF(Portafolio_Proyectos!$AQ514="","",Portafolio_Proyectos!$C514),"")</f>
        <v/>
      </c>
      <c r="E1542" s="5" t="str">
        <f>IFERROR(IF(Portafolio_Proyectos!$AQ514="","",Portafolio_Proyectos!$B514),"")</f>
        <v/>
      </c>
      <c r="F1542" s="5" t="str">
        <f>IFERROR(IF(Portafolio_Proyectos!$AQ514="","",Portafolio_Proyectos!$D514),"")</f>
        <v/>
      </c>
      <c r="G1542" s="5" t="str">
        <f>IFERROR(IF(Portafolio_Proyectos!$AQ514="","",Portafolio_Proyectos!$A514),"")</f>
        <v/>
      </c>
      <c r="H1542" s="5" t="str">
        <f>IFERROR(IF(Portafolio_Proyectos!$AQ514="","",Portafolio_Proyectos!$E514),"")</f>
        <v/>
      </c>
    </row>
    <row r="1543" spans="1:8" x14ac:dyDescent="0.35">
      <c r="A1543" s="5" t="str">
        <f>IFERROR(IF(Portafolio_Proyectos!$AR514="","","CAP-"&amp;ROW()-1),"")</f>
        <v/>
      </c>
      <c r="B1543" s="5" t="str">
        <f>IFERROR(IF(Portafolio_Proyectos!$AR514="","",Portafolio_Proyectos!$AR514),"")</f>
        <v/>
      </c>
      <c r="C1543" s="5" t="str">
        <f>IFERROR(IF(Portafolio_Proyectos!$AR514="","","Distintiva"),"")</f>
        <v/>
      </c>
      <c r="D1543" s="5" t="str">
        <f>IFERROR(IF(Portafolio_Proyectos!$AR514="","",Portafolio_Proyectos!$C514),"")</f>
        <v/>
      </c>
      <c r="E1543" s="5" t="str">
        <f>IFERROR(IF(Portafolio_Proyectos!$AR514="","",Portafolio_Proyectos!$B514),"")</f>
        <v/>
      </c>
      <c r="F1543" s="5" t="str">
        <f>IFERROR(IF(Portafolio_Proyectos!$AR514="","",Portafolio_Proyectos!$D514),"")</f>
        <v/>
      </c>
      <c r="G1543" s="5" t="str">
        <f>IFERROR(IF(Portafolio_Proyectos!$AR514="","",Portafolio_Proyectos!$A514),"")</f>
        <v/>
      </c>
      <c r="H1543" s="5" t="str">
        <f>IFERROR(IF(Portafolio_Proyectos!$AR514="","",Portafolio_Proyectos!$E514),"")</f>
        <v/>
      </c>
    </row>
    <row r="1544" spans="1:8" x14ac:dyDescent="0.35">
      <c r="A1544" s="5" t="str">
        <f>IFERROR(IF(Portafolio_Proyectos!$AP515="","","CAP-"&amp;ROW()-1),"")</f>
        <v/>
      </c>
      <c r="B1544" s="5" t="str">
        <f>IFERROR(IF(Portafolio_Proyectos!$AP515="","",Portafolio_Proyectos!$AP515),"")</f>
        <v/>
      </c>
      <c r="C1544" s="5" t="str">
        <f>IFERROR(IF(Portafolio_Proyectos!$AP515="","","Emergente"),"")</f>
        <v/>
      </c>
      <c r="D1544" s="5" t="str">
        <f>IFERROR(IF(Portafolio_Proyectos!$AP515="","",Portafolio_Proyectos!$C515),"")</f>
        <v/>
      </c>
      <c r="E1544" s="5" t="str">
        <f>IFERROR(IF(Portafolio_Proyectos!$AP515="","",Portafolio_Proyectos!$B515),"")</f>
        <v/>
      </c>
      <c r="F1544" s="5" t="str">
        <f>IFERROR(IF(Portafolio_Proyectos!$AP515="","",Portafolio_Proyectos!$D515),"")</f>
        <v/>
      </c>
      <c r="G1544" s="5" t="str">
        <f>IFERROR(IF(Portafolio_Proyectos!$AP515="","",Portafolio_Proyectos!$A515),"")</f>
        <v/>
      </c>
      <c r="H1544" s="5" t="str">
        <f>IFERROR(IF(Portafolio_Proyectos!$AP515="","",Portafolio_Proyectos!$E515),"")</f>
        <v/>
      </c>
    </row>
    <row r="1545" spans="1:8" x14ac:dyDescent="0.35">
      <c r="A1545" s="5" t="str">
        <f>IFERROR(IF(Portafolio_Proyectos!$AQ515="","","CAP-"&amp;ROW()-1),"")</f>
        <v/>
      </c>
      <c r="B1545" s="5" t="str">
        <f>IFERROR(IF(Portafolio_Proyectos!$AQ515="","",Portafolio_Proyectos!$AQ515),"")</f>
        <v/>
      </c>
      <c r="C1545" s="5" t="str">
        <f>IFERROR(IF(Portafolio_Proyectos!$AQ515="","","Consolidada"),"")</f>
        <v/>
      </c>
      <c r="D1545" s="5" t="str">
        <f>IFERROR(IF(Portafolio_Proyectos!$AQ515="","",Portafolio_Proyectos!$C515),"")</f>
        <v/>
      </c>
      <c r="E1545" s="5" t="str">
        <f>IFERROR(IF(Portafolio_Proyectos!$AQ515="","",Portafolio_Proyectos!$B515),"")</f>
        <v/>
      </c>
      <c r="F1545" s="5" t="str">
        <f>IFERROR(IF(Portafolio_Proyectos!$AQ515="","",Portafolio_Proyectos!$D515),"")</f>
        <v/>
      </c>
      <c r="G1545" s="5" t="str">
        <f>IFERROR(IF(Portafolio_Proyectos!$AQ515="","",Portafolio_Proyectos!$A515),"")</f>
        <v/>
      </c>
      <c r="H1545" s="5" t="str">
        <f>IFERROR(IF(Portafolio_Proyectos!$AQ515="","",Portafolio_Proyectos!$E515),"")</f>
        <v/>
      </c>
    </row>
    <row r="1546" spans="1:8" x14ac:dyDescent="0.35">
      <c r="A1546" s="5" t="str">
        <f>IFERROR(IF(Portafolio_Proyectos!$AR515="","","CAP-"&amp;ROW()-1),"")</f>
        <v/>
      </c>
      <c r="B1546" s="5" t="str">
        <f>IFERROR(IF(Portafolio_Proyectos!$AR515="","",Portafolio_Proyectos!$AR515),"")</f>
        <v/>
      </c>
      <c r="C1546" s="5" t="str">
        <f>IFERROR(IF(Portafolio_Proyectos!$AR515="","","Distintiva"),"")</f>
        <v/>
      </c>
      <c r="D1546" s="5" t="str">
        <f>IFERROR(IF(Portafolio_Proyectos!$AR515="","",Portafolio_Proyectos!$C515),"")</f>
        <v/>
      </c>
      <c r="E1546" s="5" t="str">
        <f>IFERROR(IF(Portafolio_Proyectos!$AR515="","",Portafolio_Proyectos!$B515),"")</f>
        <v/>
      </c>
      <c r="F1546" s="5" t="str">
        <f>IFERROR(IF(Portafolio_Proyectos!$AR515="","",Portafolio_Proyectos!$D515),"")</f>
        <v/>
      </c>
      <c r="G1546" s="5" t="str">
        <f>IFERROR(IF(Portafolio_Proyectos!$AR515="","",Portafolio_Proyectos!$A515),"")</f>
        <v/>
      </c>
      <c r="H1546" s="5" t="str">
        <f>IFERROR(IF(Portafolio_Proyectos!$AR515="","",Portafolio_Proyectos!$E515),"")</f>
        <v/>
      </c>
    </row>
    <row r="1547" spans="1:8" x14ac:dyDescent="0.35">
      <c r="A1547" s="5" t="str">
        <f>IFERROR(IF(Portafolio_Proyectos!$AP516="","","CAP-"&amp;ROW()-1),"")</f>
        <v/>
      </c>
      <c r="B1547" s="5" t="str">
        <f>IFERROR(IF(Portafolio_Proyectos!$AP516="","",Portafolio_Proyectos!$AP516),"")</f>
        <v/>
      </c>
      <c r="C1547" s="5" t="str">
        <f>IFERROR(IF(Portafolio_Proyectos!$AP516="","","Emergente"),"")</f>
        <v/>
      </c>
      <c r="D1547" s="5" t="str">
        <f>IFERROR(IF(Portafolio_Proyectos!$AP516="","",Portafolio_Proyectos!$C516),"")</f>
        <v/>
      </c>
      <c r="E1547" s="5" t="str">
        <f>IFERROR(IF(Portafolio_Proyectos!$AP516="","",Portafolio_Proyectos!$B516),"")</f>
        <v/>
      </c>
      <c r="F1547" s="5" t="str">
        <f>IFERROR(IF(Portafolio_Proyectos!$AP516="","",Portafolio_Proyectos!$D516),"")</f>
        <v/>
      </c>
      <c r="G1547" s="5" t="str">
        <f>IFERROR(IF(Portafolio_Proyectos!$AP516="","",Portafolio_Proyectos!$A516),"")</f>
        <v/>
      </c>
      <c r="H1547" s="5" t="str">
        <f>IFERROR(IF(Portafolio_Proyectos!$AP516="","",Portafolio_Proyectos!$E516),"")</f>
        <v/>
      </c>
    </row>
    <row r="1548" spans="1:8" x14ac:dyDescent="0.35">
      <c r="A1548" s="5" t="str">
        <f>IFERROR(IF(Portafolio_Proyectos!$AQ516="","","CAP-"&amp;ROW()-1),"")</f>
        <v/>
      </c>
      <c r="B1548" s="5" t="str">
        <f>IFERROR(IF(Portafolio_Proyectos!$AQ516="","",Portafolio_Proyectos!$AQ516),"")</f>
        <v/>
      </c>
      <c r="C1548" s="5" t="str">
        <f>IFERROR(IF(Portafolio_Proyectos!$AQ516="","","Consolidada"),"")</f>
        <v/>
      </c>
      <c r="D1548" s="5" t="str">
        <f>IFERROR(IF(Portafolio_Proyectos!$AQ516="","",Portafolio_Proyectos!$C516),"")</f>
        <v/>
      </c>
      <c r="E1548" s="5" t="str">
        <f>IFERROR(IF(Portafolio_Proyectos!$AQ516="","",Portafolio_Proyectos!$B516),"")</f>
        <v/>
      </c>
      <c r="F1548" s="5" t="str">
        <f>IFERROR(IF(Portafolio_Proyectos!$AQ516="","",Portafolio_Proyectos!$D516),"")</f>
        <v/>
      </c>
      <c r="G1548" s="5" t="str">
        <f>IFERROR(IF(Portafolio_Proyectos!$AQ516="","",Portafolio_Proyectos!$A516),"")</f>
        <v/>
      </c>
      <c r="H1548" s="5" t="str">
        <f>IFERROR(IF(Portafolio_Proyectos!$AQ516="","",Portafolio_Proyectos!$E516),"")</f>
        <v/>
      </c>
    </row>
    <row r="1549" spans="1:8" x14ac:dyDescent="0.35">
      <c r="A1549" s="5" t="str">
        <f>IFERROR(IF(Portafolio_Proyectos!$AR516="","","CAP-"&amp;ROW()-1),"")</f>
        <v/>
      </c>
      <c r="B1549" s="5" t="str">
        <f>IFERROR(IF(Portafolio_Proyectos!$AR516="","",Portafolio_Proyectos!$AR516),"")</f>
        <v/>
      </c>
      <c r="C1549" s="5" t="str">
        <f>IFERROR(IF(Portafolio_Proyectos!$AR516="","","Distintiva"),"")</f>
        <v/>
      </c>
      <c r="D1549" s="5" t="str">
        <f>IFERROR(IF(Portafolio_Proyectos!$AR516="","",Portafolio_Proyectos!$C516),"")</f>
        <v/>
      </c>
      <c r="E1549" s="5" t="str">
        <f>IFERROR(IF(Portafolio_Proyectos!$AR516="","",Portafolio_Proyectos!$B516),"")</f>
        <v/>
      </c>
      <c r="F1549" s="5" t="str">
        <f>IFERROR(IF(Portafolio_Proyectos!$AR516="","",Portafolio_Proyectos!$D516),"")</f>
        <v/>
      </c>
      <c r="G1549" s="5" t="str">
        <f>IFERROR(IF(Portafolio_Proyectos!$AR516="","",Portafolio_Proyectos!$A516),"")</f>
        <v/>
      </c>
      <c r="H1549" s="5" t="str">
        <f>IFERROR(IF(Portafolio_Proyectos!$AR516="","",Portafolio_Proyectos!$E516),"")</f>
        <v/>
      </c>
    </row>
    <row r="1550" spans="1:8" x14ac:dyDescent="0.35">
      <c r="A1550" s="5" t="str">
        <f>IFERROR(IF(Portafolio_Proyectos!$AP517="","","CAP-"&amp;ROW()-1),"")</f>
        <v/>
      </c>
      <c r="B1550" s="5" t="str">
        <f>IFERROR(IF(Portafolio_Proyectos!$AP517="","",Portafolio_Proyectos!$AP517),"")</f>
        <v/>
      </c>
      <c r="C1550" s="5" t="str">
        <f>IFERROR(IF(Portafolio_Proyectos!$AP517="","","Emergente"),"")</f>
        <v/>
      </c>
      <c r="D1550" s="5" t="str">
        <f>IFERROR(IF(Portafolio_Proyectos!$AP517="","",Portafolio_Proyectos!$C517),"")</f>
        <v/>
      </c>
      <c r="E1550" s="5" t="str">
        <f>IFERROR(IF(Portafolio_Proyectos!$AP517="","",Portafolio_Proyectos!$B517),"")</f>
        <v/>
      </c>
      <c r="F1550" s="5" t="str">
        <f>IFERROR(IF(Portafolio_Proyectos!$AP517="","",Portafolio_Proyectos!$D517),"")</f>
        <v/>
      </c>
      <c r="G1550" s="5" t="str">
        <f>IFERROR(IF(Portafolio_Proyectos!$AP517="","",Portafolio_Proyectos!$A517),"")</f>
        <v/>
      </c>
      <c r="H1550" s="5" t="str">
        <f>IFERROR(IF(Portafolio_Proyectos!$AP517="","",Portafolio_Proyectos!$E517),"")</f>
        <v/>
      </c>
    </row>
    <row r="1551" spans="1:8" x14ac:dyDescent="0.35">
      <c r="A1551" s="5" t="str">
        <f>IFERROR(IF(Portafolio_Proyectos!$AQ517="","","CAP-"&amp;ROW()-1),"")</f>
        <v/>
      </c>
      <c r="B1551" s="5" t="str">
        <f>IFERROR(IF(Portafolio_Proyectos!$AQ517="","",Portafolio_Proyectos!$AQ517),"")</f>
        <v/>
      </c>
      <c r="C1551" s="5" t="str">
        <f>IFERROR(IF(Portafolio_Proyectos!$AQ517="","","Consolidada"),"")</f>
        <v/>
      </c>
      <c r="D1551" s="5" t="str">
        <f>IFERROR(IF(Portafolio_Proyectos!$AQ517="","",Portafolio_Proyectos!$C517),"")</f>
        <v/>
      </c>
      <c r="E1551" s="5" t="str">
        <f>IFERROR(IF(Portafolio_Proyectos!$AQ517="","",Portafolio_Proyectos!$B517),"")</f>
        <v/>
      </c>
      <c r="F1551" s="5" t="str">
        <f>IFERROR(IF(Portafolio_Proyectos!$AQ517="","",Portafolio_Proyectos!$D517),"")</f>
        <v/>
      </c>
      <c r="G1551" s="5" t="str">
        <f>IFERROR(IF(Portafolio_Proyectos!$AQ517="","",Portafolio_Proyectos!$A517),"")</f>
        <v/>
      </c>
      <c r="H1551" s="5" t="str">
        <f>IFERROR(IF(Portafolio_Proyectos!$AQ517="","",Portafolio_Proyectos!$E517),"")</f>
        <v/>
      </c>
    </row>
    <row r="1552" spans="1:8" x14ac:dyDescent="0.35">
      <c r="A1552" s="5" t="str">
        <f>IFERROR(IF(Portafolio_Proyectos!$AR517="","","CAP-"&amp;ROW()-1),"")</f>
        <v/>
      </c>
      <c r="B1552" s="5" t="str">
        <f>IFERROR(IF(Portafolio_Proyectos!$AR517="","",Portafolio_Proyectos!$AR517),"")</f>
        <v/>
      </c>
      <c r="C1552" s="5" t="str">
        <f>IFERROR(IF(Portafolio_Proyectos!$AR517="","","Distintiva"),"")</f>
        <v/>
      </c>
      <c r="D1552" s="5" t="str">
        <f>IFERROR(IF(Portafolio_Proyectos!$AR517="","",Portafolio_Proyectos!$C517),"")</f>
        <v/>
      </c>
      <c r="E1552" s="5" t="str">
        <f>IFERROR(IF(Portafolio_Proyectos!$AR517="","",Portafolio_Proyectos!$B517),"")</f>
        <v/>
      </c>
      <c r="F1552" s="5" t="str">
        <f>IFERROR(IF(Portafolio_Proyectos!$AR517="","",Portafolio_Proyectos!$D517),"")</f>
        <v/>
      </c>
      <c r="G1552" s="5" t="str">
        <f>IFERROR(IF(Portafolio_Proyectos!$AR517="","",Portafolio_Proyectos!$A517),"")</f>
        <v/>
      </c>
      <c r="H1552" s="5" t="str">
        <f>IFERROR(IF(Portafolio_Proyectos!$AR517="","",Portafolio_Proyectos!$E517),"")</f>
        <v/>
      </c>
    </row>
    <row r="1553" spans="1:8" x14ac:dyDescent="0.35">
      <c r="A1553" s="5" t="str">
        <f>IFERROR(IF(Portafolio_Proyectos!$AP518="","","CAP-"&amp;ROW()-1),"")</f>
        <v/>
      </c>
      <c r="B1553" s="5" t="str">
        <f>IFERROR(IF(Portafolio_Proyectos!$AP518="","",Portafolio_Proyectos!$AP518),"")</f>
        <v/>
      </c>
      <c r="C1553" s="5" t="str">
        <f>IFERROR(IF(Portafolio_Proyectos!$AP518="","","Emergente"),"")</f>
        <v/>
      </c>
      <c r="D1553" s="5" t="str">
        <f>IFERROR(IF(Portafolio_Proyectos!$AP518="","",Portafolio_Proyectos!$C518),"")</f>
        <v/>
      </c>
      <c r="E1553" s="5" t="str">
        <f>IFERROR(IF(Portafolio_Proyectos!$AP518="","",Portafolio_Proyectos!$B518),"")</f>
        <v/>
      </c>
      <c r="F1553" s="5" t="str">
        <f>IFERROR(IF(Portafolio_Proyectos!$AP518="","",Portafolio_Proyectos!$D518),"")</f>
        <v/>
      </c>
      <c r="G1553" s="5" t="str">
        <f>IFERROR(IF(Portafolio_Proyectos!$AP518="","",Portafolio_Proyectos!$A518),"")</f>
        <v/>
      </c>
      <c r="H1553" s="5" t="str">
        <f>IFERROR(IF(Portafolio_Proyectos!$AP518="","",Portafolio_Proyectos!$E518),"")</f>
        <v/>
      </c>
    </row>
    <row r="1554" spans="1:8" x14ac:dyDescent="0.35">
      <c r="A1554" s="5" t="str">
        <f>IFERROR(IF(Portafolio_Proyectos!$AQ518="","","CAP-"&amp;ROW()-1),"")</f>
        <v/>
      </c>
      <c r="B1554" s="5" t="str">
        <f>IFERROR(IF(Portafolio_Proyectos!$AQ518="","",Portafolio_Proyectos!$AQ518),"")</f>
        <v/>
      </c>
      <c r="C1554" s="5" t="str">
        <f>IFERROR(IF(Portafolio_Proyectos!$AQ518="","","Consolidada"),"")</f>
        <v/>
      </c>
      <c r="D1554" s="5" t="str">
        <f>IFERROR(IF(Portafolio_Proyectos!$AQ518="","",Portafolio_Proyectos!$C518),"")</f>
        <v/>
      </c>
      <c r="E1554" s="5" t="str">
        <f>IFERROR(IF(Portafolio_Proyectos!$AQ518="","",Portafolio_Proyectos!$B518),"")</f>
        <v/>
      </c>
      <c r="F1554" s="5" t="str">
        <f>IFERROR(IF(Portafolio_Proyectos!$AQ518="","",Portafolio_Proyectos!$D518),"")</f>
        <v/>
      </c>
      <c r="G1554" s="5" t="str">
        <f>IFERROR(IF(Portafolio_Proyectos!$AQ518="","",Portafolio_Proyectos!$A518),"")</f>
        <v/>
      </c>
      <c r="H1554" s="5" t="str">
        <f>IFERROR(IF(Portafolio_Proyectos!$AQ518="","",Portafolio_Proyectos!$E518),"")</f>
        <v/>
      </c>
    </row>
    <row r="1555" spans="1:8" x14ac:dyDescent="0.35">
      <c r="A1555" s="5" t="str">
        <f>IFERROR(IF(Portafolio_Proyectos!$AR518="","","CAP-"&amp;ROW()-1),"")</f>
        <v/>
      </c>
      <c r="B1555" s="5" t="str">
        <f>IFERROR(IF(Portafolio_Proyectos!$AR518="","",Portafolio_Proyectos!$AR518),"")</f>
        <v/>
      </c>
      <c r="C1555" s="5" t="str">
        <f>IFERROR(IF(Portafolio_Proyectos!$AR518="","","Distintiva"),"")</f>
        <v/>
      </c>
      <c r="D1555" s="5" t="str">
        <f>IFERROR(IF(Portafolio_Proyectos!$AR518="","",Portafolio_Proyectos!$C518),"")</f>
        <v/>
      </c>
      <c r="E1555" s="5" t="str">
        <f>IFERROR(IF(Portafolio_Proyectos!$AR518="","",Portafolio_Proyectos!$B518),"")</f>
        <v/>
      </c>
      <c r="F1555" s="5" t="str">
        <f>IFERROR(IF(Portafolio_Proyectos!$AR518="","",Portafolio_Proyectos!$D518),"")</f>
        <v/>
      </c>
      <c r="G1555" s="5" t="str">
        <f>IFERROR(IF(Portafolio_Proyectos!$AR518="","",Portafolio_Proyectos!$A518),"")</f>
        <v/>
      </c>
      <c r="H1555" s="5" t="str">
        <f>IFERROR(IF(Portafolio_Proyectos!$AR518="","",Portafolio_Proyectos!$E518),"")</f>
        <v/>
      </c>
    </row>
    <row r="1556" spans="1:8" x14ac:dyDescent="0.35">
      <c r="A1556" s="5" t="str">
        <f>IFERROR(IF(Portafolio_Proyectos!$AP519="","","CAP-"&amp;ROW()-1),"")</f>
        <v/>
      </c>
      <c r="B1556" s="5" t="str">
        <f>IFERROR(IF(Portafolio_Proyectos!$AP519="","",Portafolio_Proyectos!$AP519),"")</f>
        <v/>
      </c>
      <c r="C1556" s="5" t="str">
        <f>IFERROR(IF(Portafolio_Proyectos!$AP519="","","Emergente"),"")</f>
        <v/>
      </c>
      <c r="D1556" s="5" t="str">
        <f>IFERROR(IF(Portafolio_Proyectos!$AP519="","",Portafolio_Proyectos!$C519),"")</f>
        <v/>
      </c>
      <c r="E1556" s="5" t="str">
        <f>IFERROR(IF(Portafolio_Proyectos!$AP519="","",Portafolio_Proyectos!$B519),"")</f>
        <v/>
      </c>
      <c r="F1556" s="5" t="str">
        <f>IFERROR(IF(Portafolio_Proyectos!$AP519="","",Portafolio_Proyectos!$D519),"")</f>
        <v/>
      </c>
      <c r="G1556" s="5" t="str">
        <f>IFERROR(IF(Portafolio_Proyectos!$AP519="","",Portafolio_Proyectos!$A519),"")</f>
        <v/>
      </c>
      <c r="H1556" s="5" t="str">
        <f>IFERROR(IF(Portafolio_Proyectos!$AP519="","",Portafolio_Proyectos!$E519),"")</f>
        <v/>
      </c>
    </row>
    <row r="1557" spans="1:8" x14ac:dyDescent="0.35">
      <c r="A1557" s="5" t="str">
        <f>IFERROR(IF(Portafolio_Proyectos!$AQ519="","","CAP-"&amp;ROW()-1),"")</f>
        <v/>
      </c>
      <c r="B1557" s="5" t="str">
        <f>IFERROR(IF(Portafolio_Proyectos!$AQ519="","",Portafolio_Proyectos!$AQ519),"")</f>
        <v/>
      </c>
      <c r="C1557" s="5" t="str">
        <f>IFERROR(IF(Portafolio_Proyectos!$AQ519="","","Consolidada"),"")</f>
        <v/>
      </c>
      <c r="D1557" s="5" t="str">
        <f>IFERROR(IF(Portafolio_Proyectos!$AQ519="","",Portafolio_Proyectos!$C519),"")</f>
        <v/>
      </c>
      <c r="E1557" s="5" t="str">
        <f>IFERROR(IF(Portafolio_Proyectos!$AQ519="","",Portafolio_Proyectos!$B519),"")</f>
        <v/>
      </c>
      <c r="F1557" s="5" t="str">
        <f>IFERROR(IF(Portafolio_Proyectos!$AQ519="","",Portafolio_Proyectos!$D519),"")</f>
        <v/>
      </c>
      <c r="G1557" s="5" t="str">
        <f>IFERROR(IF(Portafolio_Proyectos!$AQ519="","",Portafolio_Proyectos!$A519),"")</f>
        <v/>
      </c>
      <c r="H1557" s="5" t="str">
        <f>IFERROR(IF(Portafolio_Proyectos!$AQ519="","",Portafolio_Proyectos!$E519),"")</f>
        <v/>
      </c>
    </row>
    <row r="1558" spans="1:8" x14ac:dyDescent="0.35">
      <c r="A1558" s="5" t="str">
        <f>IFERROR(IF(Portafolio_Proyectos!$AR519="","","CAP-"&amp;ROW()-1),"")</f>
        <v/>
      </c>
      <c r="B1558" s="5" t="str">
        <f>IFERROR(IF(Portafolio_Proyectos!$AR519="","",Portafolio_Proyectos!$AR519),"")</f>
        <v/>
      </c>
      <c r="C1558" s="5" t="str">
        <f>IFERROR(IF(Portafolio_Proyectos!$AR519="","","Distintiva"),"")</f>
        <v/>
      </c>
      <c r="D1558" s="5" t="str">
        <f>IFERROR(IF(Portafolio_Proyectos!$AR519="","",Portafolio_Proyectos!$C519),"")</f>
        <v/>
      </c>
      <c r="E1558" s="5" t="str">
        <f>IFERROR(IF(Portafolio_Proyectos!$AR519="","",Portafolio_Proyectos!$B519),"")</f>
        <v/>
      </c>
      <c r="F1558" s="5" t="str">
        <f>IFERROR(IF(Portafolio_Proyectos!$AR519="","",Portafolio_Proyectos!$D519),"")</f>
        <v/>
      </c>
      <c r="G1558" s="5" t="str">
        <f>IFERROR(IF(Portafolio_Proyectos!$AR519="","",Portafolio_Proyectos!$A519),"")</f>
        <v/>
      </c>
      <c r="H1558" s="5" t="str">
        <f>IFERROR(IF(Portafolio_Proyectos!$AR519="","",Portafolio_Proyectos!$E519),"")</f>
        <v/>
      </c>
    </row>
    <row r="1559" spans="1:8" x14ac:dyDescent="0.35">
      <c r="A1559" s="5" t="str">
        <f>IFERROR(IF(Portafolio_Proyectos!$AP520="","","CAP-"&amp;ROW()-1),"")</f>
        <v/>
      </c>
      <c r="B1559" s="5" t="str">
        <f>IFERROR(IF(Portafolio_Proyectos!$AP520="","",Portafolio_Proyectos!$AP520),"")</f>
        <v/>
      </c>
      <c r="C1559" s="5" t="str">
        <f>IFERROR(IF(Portafolio_Proyectos!$AP520="","","Emergente"),"")</f>
        <v/>
      </c>
      <c r="D1559" s="5" t="str">
        <f>IFERROR(IF(Portafolio_Proyectos!$AP520="","",Portafolio_Proyectos!$C520),"")</f>
        <v/>
      </c>
      <c r="E1559" s="5" t="str">
        <f>IFERROR(IF(Portafolio_Proyectos!$AP520="","",Portafolio_Proyectos!$B520),"")</f>
        <v/>
      </c>
      <c r="F1559" s="5" t="str">
        <f>IFERROR(IF(Portafolio_Proyectos!$AP520="","",Portafolio_Proyectos!$D520),"")</f>
        <v/>
      </c>
      <c r="G1559" s="5" t="str">
        <f>IFERROR(IF(Portafolio_Proyectos!$AP520="","",Portafolio_Proyectos!$A520),"")</f>
        <v/>
      </c>
      <c r="H1559" s="5" t="str">
        <f>IFERROR(IF(Portafolio_Proyectos!$AP520="","",Portafolio_Proyectos!$E520),"")</f>
        <v/>
      </c>
    </row>
    <row r="1560" spans="1:8" x14ac:dyDescent="0.35">
      <c r="A1560" s="5" t="str">
        <f>IFERROR(IF(Portafolio_Proyectos!$AQ520="","","CAP-"&amp;ROW()-1),"")</f>
        <v/>
      </c>
      <c r="B1560" s="5" t="str">
        <f>IFERROR(IF(Portafolio_Proyectos!$AQ520="","",Portafolio_Proyectos!$AQ520),"")</f>
        <v/>
      </c>
      <c r="C1560" s="5" t="str">
        <f>IFERROR(IF(Portafolio_Proyectos!$AQ520="","","Consolidada"),"")</f>
        <v/>
      </c>
      <c r="D1560" s="5" t="str">
        <f>IFERROR(IF(Portafolio_Proyectos!$AQ520="","",Portafolio_Proyectos!$C520),"")</f>
        <v/>
      </c>
      <c r="E1560" s="5" t="str">
        <f>IFERROR(IF(Portafolio_Proyectos!$AQ520="","",Portafolio_Proyectos!$B520),"")</f>
        <v/>
      </c>
      <c r="F1560" s="5" t="str">
        <f>IFERROR(IF(Portafolio_Proyectos!$AQ520="","",Portafolio_Proyectos!$D520),"")</f>
        <v/>
      </c>
      <c r="G1560" s="5" t="str">
        <f>IFERROR(IF(Portafolio_Proyectos!$AQ520="","",Portafolio_Proyectos!$A520),"")</f>
        <v/>
      </c>
      <c r="H1560" s="5" t="str">
        <f>IFERROR(IF(Portafolio_Proyectos!$AQ520="","",Portafolio_Proyectos!$E520),"")</f>
        <v/>
      </c>
    </row>
    <row r="1561" spans="1:8" x14ac:dyDescent="0.35">
      <c r="A1561" s="5" t="str">
        <f>IFERROR(IF(Portafolio_Proyectos!$AR520="","","CAP-"&amp;ROW()-1),"")</f>
        <v/>
      </c>
      <c r="B1561" s="5" t="str">
        <f>IFERROR(IF(Portafolio_Proyectos!$AR520="","",Portafolio_Proyectos!$AR520),"")</f>
        <v/>
      </c>
      <c r="C1561" s="5" t="str">
        <f>IFERROR(IF(Portafolio_Proyectos!$AR520="","","Distintiva"),"")</f>
        <v/>
      </c>
      <c r="D1561" s="5" t="str">
        <f>IFERROR(IF(Portafolio_Proyectos!$AR520="","",Portafolio_Proyectos!$C520),"")</f>
        <v/>
      </c>
      <c r="E1561" s="5" t="str">
        <f>IFERROR(IF(Portafolio_Proyectos!$AR520="","",Portafolio_Proyectos!$B520),"")</f>
        <v/>
      </c>
      <c r="F1561" s="5" t="str">
        <f>IFERROR(IF(Portafolio_Proyectos!$AR520="","",Portafolio_Proyectos!$D520),"")</f>
        <v/>
      </c>
      <c r="G1561" s="5" t="str">
        <f>IFERROR(IF(Portafolio_Proyectos!$AR520="","",Portafolio_Proyectos!$A520),"")</f>
        <v/>
      </c>
      <c r="H1561" s="5" t="str">
        <f>IFERROR(IF(Portafolio_Proyectos!$AR520="","",Portafolio_Proyectos!$E520),"")</f>
        <v/>
      </c>
    </row>
    <row r="1562" spans="1:8" x14ac:dyDescent="0.35">
      <c r="A1562" s="5" t="str">
        <f>IFERROR(IF(Portafolio_Proyectos!$AP521="","","CAP-"&amp;ROW()-1),"")</f>
        <v/>
      </c>
      <c r="B1562" s="5" t="str">
        <f>IFERROR(IF(Portafolio_Proyectos!$AP521="","",Portafolio_Proyectos!$AP521),"")</f>
        <v/>
      </c>
      <c r="C1562" s="5" t="str">
        <f>IFERROR(IF(Portafolio_Proyectos!$AP521="","","Emergente"),"")</f>
        <v/>
      </c>
      <c r="D1562" s="5" t="str">
        <f>IFERROR(IF(Portafolio_Proyectos!$AP521="","",Portafolio_Proyectos!$C521),"")</f>
        <v/>
      </c>
      <c r="E1562" s="5" t="str">
        <f>IFERROR(IF(Portafolio_Proyectos!$AP521="","",Portafolio_Proyectos!$B521),"")</f>
        <v/>
      </c>
      <c r="F1562" s="5" t="str">
        <f>IFERROR(IF(Portafolio_Proyectos!$AP521="","",Portafolio_Proyectos!$D521),"")</f>
        <v/>
      </c>
      <c r="G1562" s="5" t="str">
        <f>IFERROR(IF(Portafolio_Proyectos!$AP521="","",Portafolio_Proyectos!$A521),"")</f>
        <v/>
      </c>
      <c r="H1562" s="5" t="str">
        <f>IFERROR(IF(Portafolio_Proyectos!$AP521="","",Portafolio_Proyectos!$E521),"")</f>
        <v/>
      </c>
    </row>
    <row r="1563" spans="1:8" x14ac:dyDescent="0.35">
      <c r="A1563" s="5" t="str">
        <f>IFERROR(IF(Portafolio_Proyectos!$AQ521="","","CAP-"&amp;ROW()-1),"")</f>
        <v/>
      </c>
      <c r="B1563" s="5" t="str">
        <f>IFERROR(IF(Portafolio_Proyectos!$AQ521="","",Portafolio_Proyectos!$AQ521),"")</f>
        <v/>
      </c>
      <c r="C1563" s="5" t="str">
        <f>IFERROR(IF(Portafolio_Proyectos!$AQ521="","","Consolidada"),"")</f>
        <v/>
      </c>
      <c r="D1563" s="5" t="str">
        <f>IFERROR(IF(Portafolio_Proyectos!$AQ521="","",Portafolio_Proyectos!$C521),"")</f>
        <v/>
      </c>
      <c r="E1563" s="5" t="str">
        <f>IFERROR(IF(Portafolio_Proyectos!$AQ521="","",Portafolio_Proyectos!$B521),"")</f>
        <v/>
      </c>
      <c r="F1563" s="5" t="str">
        <f>IFERROR(IF(Portafolio_Proyectos!$AQ521="","",Portafolio_Proyectos!$D521),"")</f>
        <v/>
      </c>
      <c r="G1563" s="5" t="str">
        <f>IFERROR(IF(Portafolio_Proyectos!$AQ521="","",Portafolio_Proyectos!$A521),"")</f>
        <v/>
      </c>
      <c r="H1563" s="5" t="str">
        <f>IFERROR(IF(Portafolio_Proyectos!$AQ521="","",Portafolio_Proyectos!$E521),"")</f>
        <v/>
      </c>
    </row>
    <row r="1564" spans="1:8" x14ac:dyDescent="0.35">
      <c r="A1564" s="5" t="str">
        <f>IFERROR(IF(Portafolio_Proyectos!$AR521="","","CAP-"&amp;ROW()-1),"")</f>
        <v/>
      </c>
      <c r="B1564" s="5" t="str">
        <f>IFERROR(IF(Portafolio_Proyectos!$AR521="","",Portafolio_Proyectos!$AR521),"")</f>
        <v/>
      </c>
      <c r="C1564" s="5" t="str">
        <f>IFERROR(IF(Portafolio_Proyectos!$AR521="","","Distintiva"),"")</f>
        <v/>
      </c>
      <c r="D1564" s="5" t="str">
        <f>IFERROR(IF(Portafolio_Proyectos!$AR521="","",Portafolio_Proyectos!$C521),"")</f>
        <v/>
      </c>
      <c r="E1564" s="5" t="str">
        <f>IFERROR(IF(Portafolio_Proyectos!$AR521="","",Portafolio_Proyectos!$B521),"")</f>
        <v/>
      </c>
      <c r="F1564" s="5" t="str">
        <f>IFERROR(IF(Portafolio_Proyectos!$AR521="","",Portafolio_Proyectos!$D521),"")</f>
        <v/>
      </c>
      <c r="G1564" s="5" t="str">
        <f>IFERROR(IF(Portafolio_Proyectos!$AR521="","",Portafolio_Proyectos!$A521),"")</f>
        <v/>
      </c>
      <c r="H1564" s="5" t="str">
        <f>IFERROR(IF(Portafolio_Proyectos!$AR521="","",Portafolio_Proyectos!$E521),"")</f>
        <v/>
      </c>
    </row>
    <row r="1565" spans="1:8" x14ac:dyDescent="0.35">
      <c r="A1565" s="5" t="str">
        <f>IFERROR(IF(Portafolio_Proyectos!$AP522="","","CAP-"&amp;ROW()-1),"")</f>
        <v/>
      </c>
      <c r="B1565" s="5" t="str">
        <f>IFERROR(IF(Portafolio_Proyectos!$AP522="","",Portafolio_Proyectos!$AP522),"")</f>
        <v/>
      </c>
      <c r="C1565" s="5" t="str">
        <f>IFERROR(IF(Portafolio_Proyectos!$AP522="","","Emergente"),"")</f>
        <v/>
      </c>
      <c r="D1565" s="5" t="str">
        <f>IFERROR(IF(Portafolio_Proyectos!$AP522="","",Portafolio_Proyectos!$C522),"")</f>
        <v/>
      </c>
      <c r="E1565" s="5" t="str">
        <f>IFERROR(IF(Portafolio_Proyectos!$AP522="","",Portafolio_Proyectos!$B522),"")</f>
        <v/>
      </c>
      <c r="F1565" s="5" t="str">
        <f>IFERROR(IF(Portafolio_Proyectos!$AP522="","",Portafolio_Proyectos!$D522),"")</f>
        <v/>
      </c>
      <c r="G1565" s="5" t="str">
        <f>IFERROR(IF(Portafolio_Proyectos!$AP522="","",Portafolio_Proyectos!$A522),"")</f>
        <v/>
      </c>
      <c r="H1565" s="5" t="str">
        <f>IFERROR(IF(Portafolio_Proyectos!$AP522="","",Portafolio_Proyectos!$E522),"")</f>
        <v/>
      </c>
    </row>
    <row r="1566" spans="1:8" x14ac:dyDescent="0.35">
      <c r="A1566" s="5" t="str">
        <f>IFERROR(IF(Portafolio_Proyectos!$AQ522="","","CAP-"&amp;ROW()-1),"")</f>
        <v/>
      </c>
      <c r="B1566" s="5" t="str">
        <f>IFERROR(IF(Portafolio_Proyectos!$AQ522="","",Portafolio_Proyectos!$AQ522),"")</f>
        <v/>
      </c>
      <c r="C1566" s="5" t="str">
        <f>IFERROR(IF(Portafolio_Proyectos!$AQ522="","","Consolidada"),"")</f>
        <v/>
      </c>
      <c r="D1566" s="5" t="str">
        <f>IFERROR(IF(Portafolio_Proyectos!$AQ522="","",Portafolio_Proyectos!$C522),"")</f>
        <v/>
      </c>
      <c r="E1566" s="5" t="str">
        <f>IFERROR(IF(Portafolio_Proyectos!$AQ522="","",Portafolio_Proyectos!$B522),"")</f>
        <v/>
      </c>
      <c r="F1566" s="5" t="str">
        <f>IFERROR(IF(Portafolio_Proyectos!$AQ522="","",Portafolio_Proyectos!$D522),"")</f>
        <v/>
      </c>
      <c r="G1566" s="5" t="str">
        <f>IFERROR(IF(Portafolio_Proyectos!$AQ522="","",Portafolio_Proyectos!$A522),"")</f>
        <v/>
      </c>
      <c r="H1566" s="5" t="str">
        <f>IFERROR(IF(Portafolio_Proyectos!$AQ522="","",Portafolio_Proyectos!$E522),"")</f>
        <v/>
      </c>
    </row>
    <row r="1567" spans="1:8" x14ac:dyDescent="0.35">
      <c r="A1567" s="5" t="str">
        <f>IFERROR(IF(Portafolio_Proyectos!$AR522="","","CAP-"&amp;ROW()-1),"")</f>
        <v/>
      </c>
      <c r="B1567" s="5" t="str">
        <f>IFERROR(IF(Portafolio_Proyectos!$AR522="","",Portafolio_Proyectos!$AR522),"")</f>
        <v/>
      </c>
      <c r="C1567" s="5" t="str">
        <f>IFERROR(IF(Portafolio_Proyectos!$AR522="","","Distintiva"),"")</f>
        <v/>
      </c>
      <c r="D1567" s="5" t="str">
        <f>IFERROR(IF(Portafolio_Proyectos!$AR522="","",Portafolio_Proyectos!$C522),"")</f>
        <v/>
      </c>
      <c r="E1567" s="5" t="str">
        <f>IFERROR(IF(Portafolio_Proyectos!$AR522="","",Portafolio_Proyectos!$B522),"")</f>
        <v/>
      </c>
      <c r="F1567" s="5" t="str">
        <f>IFERROR(IF(Portafolio_Proyectos!$AR522="","",Portafolio_Proyectos!$D522),"")</f>
        <v/>
      </c>
      <c r="G1567" s="5" t="str">
        <f>IFERROR(IF(Portafolio_Proyectos!$AR522="","",Portafolio_Proyectos!$A522),"")</f>
        <v/>
      </c>
      <c r="H1567" s="5" t="str">
        <f>IFERROR(IF(Portafolio_Proyectos!$AR522="","",Portafolio_Proyectos!$E522),"")</f>
        <v/>
      </c>
    </row>
    <row r="1568" spans="1:8" x14ac:dyDescent="0.35">
      <c r="A1568" s="5" t="str">
        <f>IFERROR(IF(Portafolio_Proyectos!$AP523="","","CAP-"&amp;ROW()-1),"")</f>
        <v/>
      </c>
      <c r="B1568" s="5" t="str">
        <f>IFERROR(IF(Portafolio_Proyectos!$AP523="","",Portafolio_Proyectos!$AP523),"")</f>
        <v/>
      </c>
      <c r="C1568" s="5" t="str">
        <f>IFERROR(IF(Portafolio_Proyectos!$AP523="","","Emergente"),"")</f>
        <v/>
      </c>
      <c r="D1568" s="5" t="str">
        <f>IFERROR(IF(Portafolio_Proyectos!$AP523="","",Portafolio_Proyectos!$C523),"")</f>
        <v/>
      </c>
      <c r="E1568" s="5" t="str">
        <f>IFERROR(IF(Portafolio_Proyectos!$AP523="","",Portafolio_Proyectos!$B523),"")</f>
        <v/>
      </c>
      <c r="F1568" s="5" t="str">
        <f>IFERROR(IF(Portafolio_Proyectos!$AP523="","",Portafolio_Proyectos!$D523),"")</f>
        <v/>
      </c>
      <c r="G1568" s="5" t="str">
        <f>IFERROR(IF(Portafolio_Proyectos!$AP523="","",Portafolio_Proyectos!$A523),"")</f>
        <v/>
      </c>
      <c r="H1568" s="5" t="str">
        <f>IFERROR(IF(Portafolio_Proyectos!$AP523="","",Portafolio_Proyectos!$E523),"")</f>
        <v/>
      </c>
    </row>
    <row r="1569" spans="1:8" x14ac:dyDescent="0.35">
      <c r="A1569" s="5" t="str">
        <f>IFERROR(IF(Portafolio_Proyectos!$AQ523="","","CAP-"&amp;ROW()-1),"")</f>
        <v/>
      </c>
      <c r="B1569" s="5" t="str">
        <f>IFERROR(IF(Portafolio_Proyectos!$AQ523="","",Portafolio_Proyectos!$AQ523),"")</f>
        <v/>
      </c>
      <c r="C1569" s="5" t="str">
        <f>IFERROR(IF(Portafolio_Proyectos!$AQ523="","","Consolidada"),"")</f>
        <v/>
      </c>
      <c r="D1569" s="5" t="str">
        <f>IFERROR(IF(Portafolio_Proyectos!$AQ523="","",Portafolio_Proyectos!$C523),"")</f>
        <v/>
      </c>
      <c r="E1569" s="5" t="str">
        <f>IFERROR(IF(Portafolio_Proyectos!$AQ523="","",Portafolio_Proyectos!$B523),"")</f>
        <v/>
      </c>
      <c r="F1569" s="5" t="str">
        <f>IFERROR(IF(Portafolio_Proyectos!$AQ523="","",Portafolio_Proyectos!$D523),"")</f>
        <v/>
      </c>
      <c r="G1569" s="5" t="str">
        <f>IFERROR(IF(Portafolio_Proyectos!$AQ523="","",Portafolio_Proyectos!$A523),"")</f>
        <v/>
      </c>
      <c r="H1569" s="5" t="str">
        <f>IFERROR(IF(Portafolio_Proyectos!$AQ523="","",Portafolio_Proyectos!$E523),"")</f>
        <v/>
      </c>
    </row>
    <row r="1570" spans="1:8" x14ac:dyDescent="0.35">
      <c r="A1570" s="5" t="str">
        <f>IFERROR(IF(Portafolio_Proyectos!$AR523="","","CAP-"&amp;ROW()-1),"")</f>
        <v/>
      </c>
      <c r="B1570" s="5" t="str">
        <f>IFERROR(IF(Portafolio_Proyectos!$AR523="","",Portafolio_Proyectos!$AR523),"")</f>
        <v/>
      </c>
      <c r="C1570" s="5" t="str">
        <f>IFERROR(IF(Portafolio_Proyectos!$AR523="","","Distintiva"),"")</f>
        <v/>
      </c>
      <c r="D1570" s="5" t="str">
        <f>IFERROR(IF(Portafolio_Proyectos!$AR523="","",Portafolio_Proyectos!$C523),"")</f>
        <v/>
      </c>
      <c r="E1570" s="5" t="str">
        <f>IFERROR(IF(Portafolio_Proyectos!$AR523="","",Portafolio_Proyectos!$B523),"")</f>
        <v/>
      </c>
      <c r="F1570" s="5" t="str">
        <f>IFERROR(IF(Portafolio_Proyectos!$AR523="","",Portafolio_Proyectos!$D523),"")</f>
        <v/>
      </c>
      <c r="G1570" s="5" t="str">
        <f>IFERROR(IF(Portafolio_Proyectos!$AR523="","",Portafolio_Proyectos!$A523),"")</f>
        <v/>
      </c>
      <c r="H1570" s="5" t="str">
        <f>IFERROR(IF(Portafolio_Proyectos!$AR523="","",Portafolio_Proyectos!$E523),"")</f>
        <v/>
      </c>
    </row>
    <row r="1571" spans="1:8" x14ac:dyDescent="0.35">
      <c r="A1571" s="5" t="str">
        <f>IFERROR(IF(Portafolio_Proyectos!$AP524="","","CAP-"&amp;ROW()-1),"")</f>
        <v/>
      </c>
      <c r="B1571" s="5" t="str">
        <f>IFERROR(IF(Portafolio_Proyectos!$AP524="","",Portafolio_Proyectos!$AP524),"")</f>
        <v/>
      </c>
      <c r="C1571" s="5" t="str">
        <f>IFERROR(IF(Portafolio_Proyectos!$AP524="","","Emergente"),"")</f>
        <v/>
      </c>
      <c r="D1571" s="5" t="str">
        <f>IFERROR(IF(Portafolio_Proyectos!$AP524="","",Portafolio_Proyectos!$C524),"")</f>
        <v/>
      </c>
      <c r="E1571" s="5" t="str">
        <f>IFERROR(IF(Portafolio_Proyectos!$AP524="","",Portafolio_Proyectos!$B524),"")</f>
        <v/>
      </c>
      <c r="F1571" s="5" t="str">
        <f>IFERROR(IF(Portafolio_Proyectos!$AP524="","",Portafolio_Proyectos!$D524),"")</f>
        <v/>
      </c>
      <c r="G1571" s="5" t="str">
        <f>IFERROR(IF(Portafolio_Proyectos!$AP524="","",Portafolio_Proyectos!$A524),"")</f>
        <v/>
      </c>
      <c r="H1571" s="5" t="str">
        <f>IFERROR(IF(Portafolio_Proyectos!$AP524="","",Portafolio_Proyectos!$E524),"")</f>
        <v/>
      </c>
    </row>
    <row r="1572" spans="1:8" x14ac:dyDescent="0.35">
      <c r="A1572" s="5" t="str">
        <f>IFERROR(IF(Portafolio_Proyectos!$AQ524="","","CAP-"&amp;ROW()-1),"")</f>
        <v/>
      </c>
      <c r="B1572" s="5" t="str">
        <f>IFERROR(IF(Portafolio_Proyectos!$AQ524="","",Portafolio_Proyectos!$AQ524),"")</f>
        <v/>
      </c>
      <c r="C1572" s="5" t="str">
        <f>IFERROR(IF(Portafolio_Proyectos!$AQ524="","","Consolidada"),"")</f>
        <v/>
      </c>
      <c r="D1572" s="5" t="str">
        <f>IFERROR(IF(Portafolio_Proyectos!$AQ524="","",Portafolio_Proyectos!$C524),"")</f>
        <v/>
      </c>
      <c r="E1572" s="5" t="str">
        <f>IFERROR(IF(Portafolio_Proyectos!$AQ524="","",Portafolio_Proyectos!$B524),"")</f>
        <v/>
      </c>
      <c r="F1572" s="5" t="str">
        <f>IFERROR(IF(Portafolio_Proyectos!$AQ524="","",Portafolio_Proyectos!$D524),"")</f>
        <v/>
      </c>
      <c r="G1572" s="5" t="str">
        <f>IFERROR(IF(Portafolio_Proyectos!$AQ524="","",Portafolio_Proyectos!$A524),"")</f>
        <v/>
      </c>
      <c r="H1572" s="5" t="str">
        <f>IFERROR(IF(Portafolio_Proyectos!$AQ524="","",Portafolio_Proyectos!$E524),"")</f>
        <v/>
      </c>
    </row>
    <row r="1573" spans="1:8" x14ac:dyDescent="0.35">
      <c r="A1573" s="5" t="str">
        <f>IFERROR(IF(Portafolio_Proyectos!$AR524="","","CAP-"&amp;ROW()-1),"")</f>
        <v/>
      </c>
      <c r="B1573" s="5" t="str">
        <f>IFERROR(IF(Portafolio_Proyectos!$AR524="","",Portafolio_Proyectos!$AR524),"")</f>
        <v/>
      </c>
      <c r="C1573" s="5" t="str">
        <f>IFERROR(IF(Portafolio_Proyectos!$AR524="","","Distintiva"),"")</f>
        <v/>
      </c>
      <c r="D1573" s="5" t="str">
        <f>IFERROR(IF(Portafolio_Proyectos!$AR524="","",Portafolio_Proyectos!$C524),"")</f>
        <v/>
      </c>
      <c r="E1573" s="5" t="str">
        <f>IFERROR(IF(Portafolio_Proyectos!$AR524="","",Portafolio_Proyectos!$B524),"")</f>
        <v/>
      </c>
      <c r="F1573" s="5" t="str">
        <f>IFERROR(IF(Portafolio_Proyectos!$AR524="","",Portafolio_Proyectos!$D524),"")</f>
        <v/>
      </c>
      <c r="G1573" s="5" t="str">
        <f>IFERROR(IF(Portafolio_Proyectos!$AR524="","",Portafolio_Proyectos!$A524),"")</f>
        <v/>
      </c>
      <c r="H1573" s="5" t="str">
        <f>IFERROR(IF(Portafolio_Proyectos!$AR524="","",Portafolio_Proyectos!$E524),"")</f>
        <v/>
      </c>
    </row>
    <row r="1574" spans="1:8" x14ac:dyDescent="0.35">
      <c r="A1574" s="5" t="str">
        <f>IFERROR(IF(Portafolio_Proyectos!$AP525="","","CAP-"&amp;ROW()-1),"")</f>
        <v/>
      </c>
      <c r="B1574" s="5" t="str">
        <f>IFERROR(IF(Portafolio_Proyectos!$AP525="","",Portafolio_Proyectos!$AP525),"")</f>
        <v/>
      </c>
      <c r="C1574" s="5" t="str">
        <f>IFERROR(IF(Portafolio_Proyectos!$AP525="","","Emergente"),"")</f>
        <v/>
      </c>
      <c r="D1574" s="5" t="str">
        <f>IFERROR(IF(Portafolio_Proyectos!$AP525="","",Portafolio_Proyectos!$C525),"")</f>
        <v/>
      </c>
      <c r="E1574" s="5" t="str">
        <f>IFERROR(IF(Portafolio_Proyectos!$AP525="","",Portafolio_Proyectos!$B525),"")</f>
        <v/>
      </c>
      <c r="F1574" s="5" t="str">
        <f>IFERROR(IF(Portafolio_Proyectos!$AP525="","",Portafolio_Proyectos!$D525),"")</f>
        <v/>
      </c>
      <c r="G1574" s="5" t="str">
        <f>IFERROR(IF(Portafolio_Proyectos!$AP525="","",Portafolio_Proyectos!$A525),"")</f>
        <v/>
      </c>
      <c r="H1574" s="5" t="str">
        <f>IFERROR(IF(Portafolio_Proyectos!$AP525="","",Portafolio_Proyectos!$E525),"")</f>
        <v/>
      </c>
    </row>
    <row r="1575" spans="1:8" x14ac:dyDescent="0.35">
      <c r="A1575" s="5" t="str">
        <f>IFERROR(IF(Portafolio_Proyectos!$AQ525="","","CAP-"&amp;ROW()-1),"")</f>
        <v/>
      </c>
      <c r="B1575" s="5" t="str">
        <f>IFERROR(IF(Portafolio_Proyectos!$AQ525="","",Portafolio_Proyectos!$AQ525),"")</f>
        <v/>
      </c>
      <c r="C1575" s="5" t="str">
        <f>IFERROR(IF(Portafolio_Proyectos!$AQ525="","","Consolidada"),"")</f>
        <v/>
      </c>
      <c r="D1575" s="5" t="str">
        <f>IFERROR(IF(Portafolio_Proyectos!$AQ525="","",Portafolio_Proyectos!$C525),"")</f>
        <v/>
      </c>
      <c r="E1575" s="5" t="str">
        <f>IFERROR(IF(Portafolio_Proyectos!$AQ525="","",Portafolio_Proyectos!$B525),"")</f>
        <v/>
      </c>
      <c r="F1575" s="5" t="str">
        <f>IFERROR(IF(Portafolio_Proyectos!$AQ525="","",Portafolio_Proyectos!$D525),"")</f>
        <v/>
      </c>
      <c r="G1575" s="5" t="str">
        <f>IFERROR(IF(Portafolio_Proyectos!$AQ525="","",Portafolio_Proyectos!$A525),"")</f>
        <v/>
      </c>
      <c r="H1575" s="5" t="str">
        <f>IFERROR(IF(Portafolio_Proyectos!$AQ525="","",Portafolio_Proyectos!$E525),"")</f>
        <v/>
      </c>
    </row>
    <row r="1576" spans="1:8" x14ac:dyDescent="0.35">
      <c r="A1576" s="5" t="str">
        <f>IFERROR(IF(Portafolio_Proyectos!$AR525="","","CAP-"&amp;ROW()-1),"")</f>
        <v/>
      </c>
      <c r="B1576" s="5" t="str">
        <f>IFERROR(IF(Portafolio_Proyectos!$AR525="","",Portafolio_Proyectos!$AR525),"")</f>
        <v/>
      </c>
      <c r="C1576" s="5" t="str">
        <f>IFERROR(IF(Portafolio_Proyectos!$AR525="","","Distintiva"),"")</f>
        <v/>
      </c>
      <c r="D1576" s="5" t="str">
        <f>IFERROR(IF(Portafolio_Proyectos!$AR525="","",Portafolio_Proyectos!$C525),"")</f>
        <v/>
      </c>
      <c r="E1576" s="5" t="str">
        <f>IFERROR(IF(Portafolio_Proyectos!$AR525="","",Portafolio_Proyectos!$B525),"")</f>
        <v/>
      </c>
      <c r="F1576" s="5" t="str">
        <f>IFERROR(IF(Portafolio_Proyectos!$AR525="","",Portafolio_Proyectos!$D525),"")</f>
        <v/>
      </c>
      <c r="G1576" s="5" t="str">
        <f>IFERROR(IF(Portafolio_Proyectos!$AR525="","",Portafolio_Proyectos!$A525),"")</f>
        <v/>
      </c>
      <c r="H1576" s="5" t="str">
        <f>IFERROR(IF(Portafolio_Proyectos!$AR525="","",Portafolio_Proyectos!$E525),"")</f>
        <v/>
      </c>
    </row>
    <row r="1577" spans="1:8" x14ac:dyDescent="0.35">
      <c r="A1577" s="5" t="str">
        <f>IFERROR(IF(Portafolio_Proyectos!$AP526="","","CAP-"&amp;ROW()-1),"")</f>
        <v/>
      </c>
      <c r="B1577" s="5" t="str">
        <f>IFERROR(IF(Portafolio_Proyectos!$AP526="","",Portafolio_Proyectos!$AP526),"")</f>
        <v/>
      </c>
      <c r="C1577" s="5" t="str">
        <f>IFERROR(IF(Portafolio_Proyectos!$AP526="","","Emergente"),"")</f>
        <v/>
      </c>
      <c r="D1577" s="5" t="str">
        <f>IFERROR(IF(Portafolio_Proyectos!$AP526="","",Portafolio_Proyectos!$C526),"")</f>
        <v/>
      </c>
      <c r="E1577" s="5" t="str">
        <f>IFERROR(IF(Portafolio_Proyectos!$AP526="","",Portafolio_Proyectos!$B526),"")</f>
        <v/>
      </c>
      <c r="F1577" s="5" t="str">
        <f>IFERROR(IF(Portafolio_Proyectos!$AP526="","",Portafolio_Proyectos!$D526),"")</f>
        <v/>
      </c>
      <c r="G1577" s="5" t="str">
        <f>IFERROR(IF(Portafolio_Proyectos!$AP526="","",Portafolio_Proyectos!$A526),"")</f>
        <v/>
      </c>
      <c r="H1577" s="5" t="str">
        <f>IFERROR(IF(Portafolio_Proyectos!$AP526="","",Portafolio_Proyectos!$E526),"")</f>
        <v/>
      </c>
    </row>
    <row r="1578" spans="1:8" x14ac:dyDescent="0.35">
      <c r="A1578" s="5" t="str">
        <f>IFERROR(IF(Portafolio_Proyectos!$AQ526="","","CAP-"&amp;ROW()-1),"")</f>
        <v/>
      </c>
      <c r="B1578" s="5" t="str">
        <f>IFERROR(IF(Portafolio_Proyectos!$AQ526="","",Portafolio_Proyectos!$AQ526),"")</f>
        <v/>
      </c>
      <c r="C1578" s="5" t="str">
        <f>IFERROR(IF(Portafolio_Proyectos!$AQ526="","","Consolidada"),"")</f>
        <v/>
      </c>
      <c r="D1578" s="5" t="str">
        <f>IFERROR(IF(Portafolio_Proyectos!$AQ526="","",Portafolio_Proyectos!$C526),"")</f>
        <v/>
      </c>
      <c r="E1578" s="5" t="str">
        <f>IFERROR(IF(Portafolio_Proyectos!$AQ526="","",Portafolio_Proyectos!$B526),"")</f>
        <v/>
      </c>
      <c r="F1578" s="5" t="str">
        <f>IFERROR(IF(Portafolio_Proyectos!$AQ526="","",Portafolio_Proyectos!$D526),"")</f>
        <v/>
      </c>
      <c r="G1578" s="5" t="str">
        <f>IFERROR(IF(Portafolio_Proyectos!$AQ526="","",Portafolio_Proyectos!$A526),"")</f>
        <v/>
      </c>
      <c r="H1578" s="5" t="str">
        <f>IFERROR(IF(Portafolio_Proyectos!$AQ526="","",Portafolio_Proyectos!$E526),"")</f>
        <v/>
      </c>
    </row>
    <row r="1579" spans="1:8" x14ac:dyDescent="0.35">
      <c r="A1579" s="5" t="str">
        <f>IFERROR(IF(Portafolio_Proyectos!$AR526="","","CAP-"&amp;ROW()-1),"")</f>
        <v/>
      </c>
      <c r="B1579" s="5" t="str">
        <f>IFERROR(IF(Portafolio_Proyectos!$AR526="","",Portafolio_Proyectos!$AR526),"")</f>
        <v/>
      </c>
      <c r="C1579" s="5" t="str">
        <f>IFERROR(IF(Portafolio_Proyectos!$AR526="","","Distintiva"),"")</f>
        <v/>
      </c>
      <c r="D1579" s="5" t="str">
        <f>IFERROR(IF(Portafolio_Proyectos!$AR526="","",Portafolio_Proyectos!$C526),"")</f>
        <v/>
      </c>
      <c r="E1579" s="5" t="str">
        <f>IFERROR(IF(Portafolio_Proyectos!$AR526="","",Portafolio_Proyectos!$B526),"")</f>
        <v/>
      </c>
      <c r="F1579" s="5" t="str">
        <f>IFERROR(IF(Portafolio_Proyectos!$AR526="","",Portafolio_Proyectos!$D526),"")</f>
        <v/>
      </c>
      <c r="G1579" s="5" t="str">
        <f>IFERROR(IF(Portafolio_Proyectos!$AR526="","",Portafolio_Proyectos!$A526),"")</f>
        <v/>
      </c>
      <c r="H1579" s="5" t="str">
        <f>IFERROR(IF(Portafolio_Proyectos!$AR526="","",Portafolio_Proyectos!$E526),"")</f>
        <v/>
      </c>
    </row>
    <row r="1580" spans="1:8" x14ac:dyDescent="0.35">
      <c r="A1580" s="5" t="str">
        <f>IFERROR(IF(Portafolio_Proyectos!$AP527="","","CAP-"&amp;ROW()-1),"")</f>
        <v/>
      </c>
      <c r="B1580" s="5" t="str">
        <f>IFERROR(IF(Portafolio_Proyectos!$AP527="","",Portafolio_Proyectos!$AP527),"")</f>
        <v/>
      </c>
      <c r="C1580" s="5" t="str">
        <f>IFERROR(IF(Portafolio_Proyectos!$AP527="","","Emergente"),"")</f>
        <v/>
      </c>
      <c r="D1580" s="5" t="str">
        <f>IFERROR(IF(Portafolio_Proyectos!$AP527="","",Portafolio_Proyectos!$C527),"")</f>
        <v/>
      </c>
      <c r="E1580" s="5" t="str">
        <f>IFERROR(IF(Portafolio_Proyectos!$AP527="","",Portafolio_Proyectos!$B527),"")</f>
        <v/>
      </c>
      <c r="F1580" s="5" t="str">
        <f>IFERROR(IF(Portafolio_Proyectos!$AP527="","",Portafolio_Proyectos!$D527),"")</f>
        <v/>
      </c>
      <c r="G1580" s="5" t="str">
        <f>IFERROR(IF(Portafolio_Proyectos!$AP527="","",Portafolio_Proyectos!$A527),"")</f>
        <v/>
      </c>
      <c r="H1580" s="5" t="str">
        <f>IFERROR(IF(Portafolio_Proyectos!$AP527="","",Portafolio_Proyectos!$E527),"")</f>
        <v/>
      </c>
    </row>
    <row r="1581" spans="1:8" x14ac:dyDescent="0.35">
      <c r="A1581" s="5" t="str">
        <f>IFERROR(IF(Portafolio_Proyectos!$AQ527="","","CAP-"&amp;ROW()-1),"")</f>
        <v/>
      </c>
      <c r="B1581" s="5" t="str">
        <f>IFERROR(IF(Portafolio_Proyectos!$AQ527="","",Portafolio_Proyectos!$AQ527),"")</f>
        <v/>
      </c>
      <c r="C1581" s="5" t="str">
        <f>IFERROR(IF(Portafolio_Proyectos!$AQ527="","","Consolidada"),"")</f>
        <v/>
      </c>
      <c r="D1581" s="5" t="str">
        <f>IFERROR(IF(Portafolio_Proyectos!$AQ527="","",Portafolio_Proyectos!$C527),"")</f>
        <v/>
      </c>
      <c r="E1581" s="5" t="str">
        <f>IFERROR(IF(Portafolio_Proyectos!$AQ527="","",Portafolio_Proyectos!$B527),"")</f>
        <v/>
      </c>
      <c r="F1581" s="5" t="str">
        <f>IFERROR(IF(Portafolio_Proyectos!$AQ527="","",Portafolio_Proyectos!$D527),"")</f>
        <v/>
      </c>
      <c r="G1581" s="5" t="str">
        <f>IFERROR(IF(Portafolio_Proyectos!$AQ527="","",Portafolio_Proyectos!$A527),"")</f>
        <v/>
      </c>
      <c r="H1581" s="5" t="str">
        <f>IFERROR(IF(Portafolio_Proyectos!$AQ527="","",Portafolio_Proyectos!$E527),"")</f>
        <v/>
      </c>
    </row>
    <row r="1582" spans="1:8" x14ac:dyDescent="0.35">
      <c r="A1582" s="5" t="str">
        <f>IFERROR(IF(Portafolio_Proyectos!$AR527="","","CAP-"&amp;ROW()-1),"")</f>
        <v/>
      </c>
      <c r="B1582" s="5" t="str">
        <f>IFERROR(IF(Portafolio_Proyectos!$AR527="","",Portafolio_Proyectos!$AR527),"")</f>
        <v/>
      </c>
      <c r="C1582" s="5" t="str">
        <f>IFERROR(IF(Portafolio_Proyectos!$AR527="","","Distintiva"),"")</f>
        <v/>
      </c>
      <c r="D1582" s="5" t="str">
        <f>IFERROR(IF(Portafolio_Proyectos!$AR527="","",Portafolio_Proyectos!$C527),"")</f>
        <v/>
      </c>
      <c r="E1582" s="5" t="str">
        <f>IFERROR(IF(Portafolio_Proyectos!$AR527="","",Portafolio_Proyectos!$B527),"")</f>
        <v/>
      </c>
      <c r="F1582" s="5" t="str">
        <f>IFERROR(IF(Portafolio_Proyectos!$AR527="","",Portafolio_Proyectos!$D527),"")</f>
        <v/>
      </c>
      <c r="G1582" s="5" t="str">
        <f>IFERROR(IF(Portafolio_Proyectos!$AR527="","",Portafolio_Proyectos!$A527),"")</f>
        <v/>
      </c>
      <c r="H1582" s="5" t="str">
        <f>IFERROR(IF(Portafolio_Proyectos!$AR527="","",Portafolio_Proyectos!$E527),"")</f>
        <v/>
      </c>
    </row>
    <row r="1583" spans="1:8" x14ac:dyDescent="0.35">
      <c r="A1583" s="5" t="str">
        <f>IFERROR(IF(Portafolio_Proyectos!$AP528="","","CAP-"&amp;ROW()-1),"")</f>
        <v/>
      </c>
      <c r="B1583" s="5" t="str">
        <f>IFERROR(IF(Portafolio_Proyectos!$AP528="","",Portafolio_Proyectos!$AP528),"")</f>
        <v/>
      </c>
      <c r="C1583" s="5" t="str">
        <f>IFERROR(IF(Portafolio_Proyectos!$AP528="","","Emergente"),"")</f>
        <v/>
      </c>
      <c r="D1583" s="5" t="str">
        <f>IFERROR(IF(Portafolio_Proyectos!$AP528="","",Portafolio_Proyectos!$C528),"")</f>
        <v/>
      </c>
      <c r="E1583" s="5" t="str">
        <f>IFERROR(IF(Portafolio_Proyectos!$AP528="","",Portafolio_Proyectos!$B528),"")</f>
        <v/>
      </c>
      <c r="F1583" s="5" t="str">
        <f>IFERROR(IF(Portafolio_Proyectos!$AP528="","",Portafolio_Proyectos!$D528),"")</f>
        <v/>
      </c>
      <c r="G1583" s="5" t="str">
        <f>IFERROR(IF(Portafolio_Proyectos!$AP528="","",Portafolio_Proyectos!$A528),"")</f>
        <v/>
      </c>
      <c r="H1583" s="5" t="str">
        <f>IFERROR(IF(Portafolio_Proyectos!$AP528="","",Portafolio_Proyectos!$E528),"")</f>
        <v/>
      </c>
    </row>
    <row r="1584" spans="1:8" x14ac:dyDescent="0.35">
      <c r="A1584" s="5" t="str">
        <f>IFERROR(IF(Portafolio_Proyectos!$AQ528="","","CAP-"&amp;ROW()-1),"")</f>
        <v/>
      </c>
      <c r="B1584" s="5" t="str">
        <f>IFERROR(IF(Portafolio_Proyectos!$AQ528="","",Portafolio_Proyectos!$AQ528),"")</f>
        <v/>
      </c>
      <c r="C1584" s="5" t="str">
        <f>IFERROR(IF(Portafolio_Proyectos!$AQ528="","","Consolidada"),"")</f>
        <v/>
      </c>
      <c r="D1584" s="5" t="str">
        <f>IFERROR(IF(Portafolio_Proyectos!$AQ528="","",Portafolio_Proyectos!$C528),"")</f>
        <v/>
      </c>
      <c r="E1584" s="5" t="str">
        <f>IFERROR(IF(Portafolio_Proyectos!$AQ528="","",Portafolio_Proyectos!$B528),"")</f>
        <v/>
      </c>
      <c r="F1584" s="5" t="str">
        <f>IFERROR(IF(Portafolio_Proyectos!$AQ528="","",Portafolio_Proyectos!$D528),"")</f>
        <v/>
      </c>
      <c r="G1584" s="5" t="str">
        <f>IFERROR(IF(Portafolio_Proyectos!$AQ528="","",Portafolio_Proyectos!$A528),"")</f>
        <v/>
      </c>
      <c r="H1584" s="5" t="str">
        <f>IFERROR(IF(Portafolio_Proyectos!$AQ528="","",Portafolio_Proyectos!$E528),"")</f>
        <v/>
      </c>
    </row>
    <row r="1585" spans="1:8" x14ac:dyDescent="0.35">
      <c r="A1585" s="5" t="str">
        <f>IFERROR(IF(Portafolio_Proyectos!$AR528="","","CAP-"&amp;ROW()-1),"")</f>
        <v/>
      </c>
      <c r="B1585" s="5" t="str">
        <f>IFERROR(IF(Portafolio_Proyectos!$AR528="","",Portafolio_Proyectos!$AR528),"")</f>
        <v/>
      </c>
      <c r="C1585" s="5" t="str">
        <f>IFERROR(IF(Portafolio_Proyectos!$AR528="","","Distintiva"),"")</f>
        <v/>
      </c>
      <c r="D1585" s="5" t="str">
        <f>IFERROR(IF(Portafolio_Proyectos!$AR528="","",Portafolio_Proyectos!$C528),"")</f>
        <v/>
      </c>
      <c r="E1585" s="5" t="str">
        <f>IFERROR(IF(Portafolio_Proyectos!$AR528="","",Portafolio_Proyectos!$B528),"")</f>
        <v/>
      </c>
      <c r="F1585" s="5" t="str">
        <f>IFERROR(IF(Portafolio_Proyectos!$AR528="","",Portafolio_Proyectos!$D528),"")</f>
        <v/>
      </c>
      <c r="G1585" s="5" t="str">
        <f>IFERROR(IF(Portafolio_Proyectos!$AR528="","",Portafolio_Proyectos!$A528),"")</f>
        <v/>
      </c>
      <c r="H1585" s="5" t="str">
        <f>IFERROR(IF(Portafolio_Proyectos!$AR528="","",Portafolio_Proyectos!$E528),"")</f>
        <v/>
      </c>
    </row>
    <row r="1586" spans="1:8" x14ac:dyDescent="0.35">
      <c r="A1586" s="5" t="str">
        <f>IFERROR(IF(Portafolio_Proyectos!$AP529="","","CAP-"&amp;ROW()-1),"")</f>
        <v/>
      </c>
      <c r="B1586" s="5" t="str">
        <f>IFERROR(IF(Portafolio_Proyectos!$AP529="","",Portafolio_Proyectos!$AP529),"")</f>
        <v/>
      </c>
      <c r="C1586" s="5" t="str">
        <f>IFERROR(IF(Portafolio_Proyectos!$AP529="","","Emergente"),"")</f>
        <v/>
      </c>
      <c r="D1586" s="5" t="str">
        <f>IFERROR(IF(Portafolio_Proyectos!$AP529="","",Portafolio_Proyectos!$C529),"")</f>
        <v/>
      </c>
      <c r="E1586" s="5" t="str">
        <f>IFERROR(IF(Portafolio_Proyectos!$AP529="","",Portafolio_Proyectos!$B529),"")</f>
        <v/>
      </c>
      <c r="F1586" s="5" t="str">
        <f>IFERROR(IF(Portafolio_Proyectos!$AP529="","",Portafolio_Proyectos!$D529),"")</f>
        <v/>
      </c>
      <c r="G1586" s="5" t="str">
        <f>IFERROR(IF(Portafolio_Proyectos!$AP529="","",Portafolio_Proyectos!$A529),"")</f>
        <v/>
      </c>
      <c r="H1586" s="5" t="str">
        <f>IFERROR(IF(Portafolio_Proyectos!$AP529="","",Portafolio_Proyectos!$E529),"")</f>
        <v/>
      </c>
    </row>
    <row r="1587" spans="1:8" x14ac:dyDescent="0.35">
      <c r="A1587" s="5" t="str">
        <f>IFERROR(IF(Portafolio_Proyectos!$AQ529="","","CAP-"&amp;ROW()-1),"")</f>
        <v/>
      </c>
      <c r="B1587" s="5" t="str">
        <f>IFERROR(IF(Portafolio_Proyectos!$AQ529="","",Portafolio_Proyectos!$AQ529),"")</f>
        <v/>
      </c>
      <c r="C1587" s="5" t="str">
        <f>IFERROR(IF(Portafolio_Proyectos!$AQ529="","","Consolidada"),"")</f>
        <v/>
      </c>
      <c r="D1587" s="5" t="str">
        <f>IFERROR(IF(Portafolio_Proyectos!$AQ529="","",Portafolio_Proyectos!$C529),"")</f>
        <v/>
      </c>
      <c r="E1587" s="5" t="str">
        <f>IFERROR(IF(Portafolio_Proyectos!$AQ529="","",Portafolio_Proyectos!$B529),"")</f>
        <v/>
      </c>
      <c r="F1587" s="5" t="str">
        <f>IFERROR(IF(Portafolio_Proyectos!$AQ529="","",Portafolio_Proyectos!$D529),"")</f>
        <v/>
      </c>
      <c r="G1587" s="5" t="str">
        <f>IFERROR(IF(Portafolio_Proyectos!$AQ529="","",Portafolio_Proyectos!$A529),"")</f>
        <v/>
      </c>
      <c r="H1587" s="5" t="str">
        <f>IFERROR(IF(Portafolio_Proyectos!$AQ529="","",Portafolio_Proyectos!$E529),"")</f>
        <v/>
      </c>
    </row>
    <row r="1588" spans="1:8" x14ac:dyDescent="0.35">
      <c r="A1588" s="5" t="str">
        <f>IFERROR(IF(Portafolio_Proyectos!$AR529="","","CAP-"&amp;ROW()-1),"")</f>
        <v/>
      </c>
      <c r="B1588" s="5" t="str">
        <f>IFERROR(IF(Portafolio_Proyectos!$AR529="","",Portafolio_Proyectos!$AR529),"")</f>
        <v/>
      </c>
      <c r="C1588" s="5" t="str">
        <f>IFERROR(IF(Portafolio_Proyectos!$AR529="","","Distintiva"),"")</f>
        <v/>
      </c>
      <c r="D1588" s="5" t="str">
        <f>IFERROR(IF(Portafolio_Proyectos!$AR529="","",Portafolio_Proyectos!$C529),"")</f>
        <v/>
      </c>
      <c r="E1588" s="5" t="str">
        <f>IFERROR(IF(Portafolio_Proyectos!$AR529="","",Portafolio_Proyectos!$B529),"")</f>
        <v/>
      </c>
      <c r="F1588" s="5" t="str">
        <f>IFERROR(IF(Portafolio_Proyectos!$AR529="","",Portafolio_Proyectos!$D529),"")</f>
        <v/>
      </c>
      <c r="G1588" s="5" t="str">
        <f>IFERROR(IF(Portafolio_Proyectos!$AR529="","",Portafolio_Proyectos!$A529),"")</f>
        <v/>
      </c>
      <c r="H1588" s="5" t="str">
        <f>IFERROR(IF(Portafolio_Proyectos!$AR529="","",Portafolio_Proyectos!$E529),"")</f>
        <v/>
      </c>
    </row>
    <row r="1589" spans="1:8" x14ac:dyDescent="0.35">
      <c r="A1589" s="5" t="str">
        <f>IFERROR(IF(Portafolio_Proyectos!$AP530="","","CAP-"&amp;ROW()-1),"")</f>
        <v/>
      </c>
      <c r="B1589" s="5" t="str">
        <f>IFERROR(IF(Portafolio_Proyectos!$AP530="","",Portafolio_Proyectos!$AP530),"")</f>
        <v/>
      </c>
      <c r="C1589" s="5" t="str">
        <f>IFERROR(IF(Portafolio_Proyectos!$AP530="","","Emergente"),"")</f>
        <v/>
      </c>
      <c r="D1589" s="5" t="str">
        <f>IFERROR(IF(Portafolio_Proyectos!$AP530="","",Portafolio_Proyectos!$C530),"")</f>
        <v/>
      </c>
      <c r="E1589" s="5" t="str">
        <f>IFERROR(IF(Portafolio_Proyectos!$AP530="","",Portafolio_Proyectos!$B530),"")</f>
        <v/>
      </c>
      <c r="F1589" s="5" t="str">
        <f>IFERROR(IF(Portafolio_Proyectos!$AP530="","",Portafolio_Proyectos!$D530),"")</f>
        <v/>
      </c>
      <c r="G1589" s="5" t="str">
        <f>IFERROR(IF(Portafolio_Proyectos!$AP530="","",Portafolio_Proyectos!$A530),"")</f>
        <v/>
      </c>
      <c r="H1589" s="5" t="str">
        <f>IFERROR(IF(Portafolio_Proyectos!$AP530="","",Portafolio_Proyectos!$E530),"")</f>
        <v/>
      </c>
    </row>
    <row r="1590" spans="1:8" x14ac:dyDescent="0.35">
      <c r="A1590" s="5" t="str">
        <f>IFERROR(IF(Portafolio_Proyectos!$AQ530="","","CAP-"&amp;ROW()-1),"")</f>
        <v/>
      </c>
      <c r="B1590" s="5" t="str">
        <f>IFERROR(IF(Portafolio_Proyectos!$AQ530="","",Portafolio_Proyectos!$AQ530),"")</f>
        <v/>
      </c>
      <c r="C1590" s="5" t="str">
        <f>IFERROR(IF(Portafolio_Proyectos!$AQ530="","","Consolidada"),"")</f>
        <v/>
      </c>
      <c r="D1590" s="5" t="str">
        <f>IFERROR(IF(Portafolio_Proyectos!$AQ530="","",Portafolio_Proyectos!$C530),"")</f>
        <v/>
      </c>
      <c r="E1590" s="5" t="str">
        <f>IFERROR(IF(Portafolio_Proyectos!$AQ530="","",Portafolio_Proyectos!$B530),"")</f>
        <v/>
      </c>
      <c r="F1590" s="5" t="str">
        <f>IFERROR(IF(Portafolio_Proyectos!$AQ530="","",Portafolio_Proyectos!$D530),"")</f>
        <v/>
      </c>
      <c r="G1590" s="5" t="str">
        <f>IFERROR(IF(Portafolio_Proyectos!$AQ530="","",Portafolio_Proyectos!$A530),"")</f>
        <v/>
      </c>
      <c r="H1590" s="5" t="str">
        <f>IFERROR(IF(Portafolio_Proyectos!$AQ530="","",Portafolio_Proyectos!$E530),"")</f>
        <v/>
      </c>
    </row>
    <row r="1591" spans="1:8" x14ac:dyDescent="0.35">
      <c r="A1591" s="5" t="str">
        <f>IFERROR(IF(Portafolio_Proyectos!$AR530="","","CAP-"&amp;ROW()-1),"")</f>
        <v/>
      </c>
      <c r="B1591" s="5" t="str">
        <f>IFERROR(IF(Portafolio_Proyectos!$AR530="","",Portafolio_Proyectos!$AR530),"")</f>
        <v/>
      </c>
      <c r="C1591" s="5" t="str">
        <f>IFERROR(IF(Portafolio_Proyectos!$AR530="","","Distintiva"),"")</f>
        <v/>
      </c>
      <c r="D1591" s="5" t="str">
        <f>IFERROR(IF(Portafolio_Proyectos!$AR530="","",Portafolio_Proyectos!$C530),"")</f>
        <v/>
      </c>
      <c r="E1591" s="5" t="str">
        <f>IFERROR(IF(Portafolio_Proyectos!$AR530="","",Portafolio_Proyectos!$B530),"")</f>
        <v/>
      </c>
      <c r="F1591" s="5" t="str">
        <f>IFERROR(IF(Portafolio_Proyectos!$AR530="","",Portafolio_Proyectos!$D530),"")</f>
        <v/>
      </c>
      <c r="G1591" s="5" t="str">
        <f>IFERROR(IF(Portafolio_Proyectos!$AR530="","",Portafolio_Proyectos!$A530),"")</f>
        <v/>
      </c>
      <c r="H1591" s="5" t="str">
        <f>IFERROR(IF(Portafolio_Proyectos!$AR530="","",Portafolio_Proyectos!$E530),"")</f>
        <v/>
      </c>
    </row>
    <row r="1592" spans="1:8" x14ac:dyDescent="0.35">
      <c r="A1592" s="5" t="str">
        <f>IFERROR(IF(Portafolio_Proyectos!$AP531="","","CAP-"&amp;ROW()-1),"")</f>
        <v/>
      </c>
      <c r="B1592" s="5" t="str">
        <f>IFERROR(IF(Portafolio_Proyectos!$AP531="","",Portafolio_Proyectos!$AP531),"")</f>
        <v/>
      </c>
      <c r="C1592" s="5" t="str">
        <f>IFERROR(IF(Portafolio_Proyectos!$AP531="","","Emergente"),"")</f>
        <v/>
      </c>
      <c r="D1592" s="5" t="str">
        <f>IFERROR(IF(Portafolio_Proyectos!$AP531="","",Portafolio_Proyectos!$C531),"")</f>
        <v/>
      </c>
      <c r="E1592" s="5" t="str">
        <f>IFERROR(IF(Portafolio_Proyectos!$AP531="","",Portafolio_Proyectos!$B531),"")</f>
        <v/>
      </c>
      <c r="F1592" s="5" t="str">
        <f>IFERROR(IF(Portafolio_Proyectos!$AP531="","",Portafolio_Proyectos!$D531),"")</f>
        <v/>
      </c>
      <c r="G1592" s="5" t="str">
        <f>IFERROR(IF(Portafolio_Proyectos!$AP531="","",Portafolio_Proyectos!$A531),"")</f>
        <v/>
      </c>
      <c r="H1592" s="5" t="str">
        <f>IFERROR(IF(Portafolio_Proyectos!$AP531="","",Portafolio_Proyectos!$E531),"")</f>
        <v/>
      </c>
    </row>
    <row r="1593" spans="1:8" x14ac:dyDescent="0.35">
      <c r="A1593" s="5" t="str">
        <f>IFERROR(IF(Portafolio_Proyectos!$AQ531="","","CAP-"&amp;ROW()-1),"")</f>
        <v/>
      </c>
      <c r="B1593" s="5" t="str">
        <f>IFERROR(IF(Portafolio_Proyectos!$AQ531="","",Portafolio_Proyectos!$AQ531),"")</f>
        <v/>
      </c>
      <c r="C1593" s="5" t="str">
        <f>IFERROR(IF(Portafolio_Proyectos!$AQ531="","","Consolidada"),"")</f>
        <v/>
      </c>
      <c r="D1593" s="5" t="str">
        <f>IFERROR(IF(Portafolio_Proyectos!$AQ531="","",Portafolio_Proyectos!$C531),"")</f>
        <v/>
      </c>
      <c r="E1593" s="5" t="str">
        <f>IFERROR(IF(Portafolio_Proyectos!$AQ531="","",Portafolio_Proyectos!$B531),"")</f>
        <v/>
      </c>
      <c r="F1593" s="5" t="str">
        <f>IFERROR(IF(Portafolio_Proyectos!$AQ531="","",Portafolio_Proyectos!$D531),"")</f>
        <v/>
      </c>
      <c r="G1593" s="5" t="str">
        <f>IFERROR(IF(Portafolio_Proyectos!$AQ531="","",Portafolio_Proyectos!$A531),"")</f>
        <v/>
      </c>
      <c r="H1593" s="5" t="str">
        <f>IFERROR(IF(Portafolio_Proyectos!$AQ531="","",Portafolio_Proyectos!$E531),"")</f>
        <v/>
      </c>
    </row>
    <row r="1594" spans="1:8" x14ac:dyDescent="0.35">
      <c r="A1594" s="5" t="str">
        <f>IFERROR(IF(Portafolio_Proyectos!$AR531="","","CAP-"&amp;ROW()-1),"")</f>
        <v/>
      </c>
      <c r="B1594" s="5" t="str">
        <f>IFERROR(IF(Portafolio_Proyectos!$AR531="","",Portafolio_Proyectos!$AR531),"")</f>
        <v/>
      </c>
      <c r="C1594" s="5" t="str">
        <f>IFERROR(IF(Portafolio_Proyectos!$AR531="","","Distintiva"),"")</f>
        <v/>
      </c>
      <c r="D1594" s="5" t="str">
        <f>IFERROR(IF(Portafolio_Proyectos!$AR531="","",Portafolio_Proyectos!$C531),"")</f>
        <v/>
      </c>
      <c r="E1594" s="5" t="str">
        <f>IFERROR(IF(Portafolio_Proyectos!$AR531="","",Portafolio_Proyectos!$B531),"")</f>
        <v/>
      </c>
      <c r="F1594" s="5" t="str">
        <f>IFERROR(IF(Portafolio_Proyectos!$AR531="","",Portafolio_Proyectos!$D531),"")</f>
        <v/>
      </c>
      <c r="G1594" s="5" t="str">
        <f>IFERROR(IF(Portafolio_Proyectos!$AR531="","",Portafolio_Proyectos!$A531),"")</f>
        <v/>
      </c>
      <c r="H1594" s="5" t="str">
        <f>IFERROR(IF(Portafolio_Proyectos!$AR531="","",Portafolio_Proyectos!$E531),"")</f>
        <v/>
      </c>
    </row>
    <row r="1595" spans="1:8" x14ac:dyDescent="0.35">
      <c r="A1595" s="5" t="str">
        <f>IFERROR(IF(Portafolio_Proyectos!$AP532="","","CAP-"&amp;ROW()-1),"")</f>
        <v/>
      </c>
      <c r="B1595" s="5" t="str">
        <f>IFERROR(IF(Portafolio_Proyectos!$AP532="","",Portafolio_Proyectos!$AP532),"")</f>
        <v/>
      </c>
      <c r="C1595" s="5" t="str">
        <f>IFERROR(IF(Portafolio_Proyectos!$AP532="","","Emergente"),"")</f>
        <v/>
      </c>
      <c r="D1595" s="5" t="str">
        <f>IFERROR(IF(Portafolio_Proyectos!$AP532="","",Portafolio_Proyectos!$C532),"")</f>
        <v/>
      </c>
      <c r="E1595" s="5" t="str">
        <f>IFERROR(IF(Portafolio_Proyectos!$AP532="","",Portafolio_Proyectos!$B532),"")</f>
        <v/>
      </c>
      <c r="F1595" s="5" t="str">
        <f>IFERROR(IF(Portafolio_Proyectos!$AP532="","",Portafolio_Proyectos!$D532),"")</f>
        <v/>
      </c>
      <c r="G1595" s="5" t="str">
        <f>IFERROR(IF(Portafolio_Proyectos!$AP532="","",Portafolio_Proyectos!$A532),"")</f>
        <v/>
      </c>
      <c r="H1595" s="5" t="str">
        <f>IFERROR(IF(Portafolio_Proyectos!$AP532="","",Portafolio_Proyectos!$E532),"")</f>
        <v/>
      </c>
    </row>
    <row r="1596" spans="1:8" x14ac:dyDescent="0.35">
      <c r="A1596" s="5" t="str">
        <f>IFERROR(IF(Portafolio_Proyectos!$AQ532="","","CAP-"&amp;ROW()-1),"")</f>
        <v/>
      </c>
      <c r="B1596" s="5" t="str">
        <f>IFERROR(IF(Portafolio_Proyectos!$AQ532="","",Portafolio_Proyectos!$AQ532),"")</f>
        <v/>
      </c>
      <c r="C1596" s="5" t="str">
        <f>IFERROR(IF(Portafolio_Proyectos!$AQ532="","","Consolidada"),"")</f>
        <v/>
      </c>
      <c r="D1596" s="5" t="str">
        <f>IFERROR(IF(Portafolio_Proyectos!$AQ532="","",Portafolio_Proyectos!$C532),"")</f>
        <v/>
      </c>
      <c r="E1596" s="5" t="str">
        <f>IFERROR(IF(Portafolio_Proyectos!$AQ532="","",Portafolio_Proyectos!$B532),"")</f>
        <v/>
      </c>
      <c r="F1596" s="5" t="str">
        <f>IFERROR(IF(Portafolio_Proyectos!$AQ532="","",Portafolio_Proyectos!$D532),"")</f>
        <v/>
      </c>
      <c r="G1596" s="5" t="str">
        <f>IFERROR(IF(Portafolio_Proyectos!$AQ532="","",Portafolio_Proyectos!$A532),"")</f>
        <v/>
      </c>
      <c r="H1596" s="5" t="str">
        <f>IFERROR(IF(Portafolio_Proyectos!$AQ532="","",Portafolio_Proyectos!$E532),"")</f>
        <v/>
      </c>
    </row>
    <row r="1597" spans="1:8" x14ac:dyDescent="0.35">
      <c r="A1597" s="5" t="str">
        <f>IFERROR(IF(Portafolio_Proyectos!$AR532="","","CAP-"&amp;ROW()-1),"")</f>
        <v/>
      </c>
      <c r="B1597" s="5" t="str">
        <f>IFERROR(IF(Portafolio_Proyectos!$AR532="","",Portafolio_Proyectos!$AR532),"")</f>
        <v/>
      </c>
      <c r="C1597" s="5" t="str">
        <f>IFERROR(IF(Portafolio_Proyectos!$AR532="","","Distintiva"),"")</f>
        <v/>
      </c>
      <c r="D1597" s="5" t="str">
        <f>IFERROR(IF(Portafolio_Proyectos!$AR532="","",Portafolio_Proyectos!$C532),"")</f>
        <v/>
      </c>
      <c r="E1597" s="5" t="str">
        <f>IFERROR(IF(Portafolio_Proyectos!$AR532="","",Portafolio_Proyectos!$B532),"")</f>
        <v/>
      </c>
      <c r="F1597" s="5" t="str">
        <f>IFERROR(IF(Portafolio_Proyectos!$AR532="","",Portafolio_Proyectos!$D532),"")</f>
        <v/>
      </c>
      <c r="G1597" s="5" t="str">
        <f>IFERROR(IF(Portafolio_Proyectos!$AR532="","",Portafolio_Proyectos!$A532),"")</f>
        <v/>
      </c>
      <c r="H1597" s="5" t="str">
        <f>IFERROR(IF(Portafolio_Proyectos!$AR532="","",Portafolio_Proyectos!$E532),"")</f>
        <v/>
      </c>
    </row>
    <row r="1598" spans="1:8" x14ac:dyDescent="0.35">
      <c r="A1598" s="5" t="str">
        <f>IFERROR(IF(Portafolio_Proyectos!$AP533="","","CAP-"&amp;ROW()-1),"")</f>
        <v/>
      </c>
      <c r="B1598" s="5" t="str">
        <f>IFERROR(IF(Portafolio_Proyectos!$AP533="","",Portafolio_Proyectos!$AP533),"")</f>
        <v/>
      </c>
      <c r="C1598" s="5" t="str">
        <f>IFERROR(IF(Portafolio_Proyectos!$AP533="","","Emergente"),"")</f>
        <v/>
      </c>
      <c r="D1598" s="5" t="str">
        <f>IFERROR(IF(Portafolio_Proyectos!$AP533="","",Portafolio_Proyectos!$C533),"")</f>
        <v/>
      </c>
      <c r="E1598" s="5" t="str">
        <f>IFERROR(IF(Portafolio_Proyectos!$AP533="","",Portafolio_Proyectos!$B533),"")</f>
        <v/>
      </c>
      <c r="F1598" s="5" t="str">
        <f>IFERROR(IF(Portafolio_Proyectos!$AP533="","",Portafolio_Proyectos!$D533),"")</f>
        <v/>
      </c>
      <c r="G1598" s="5" t="str">
        <f>IFERROR(IF(Portafolio_Proyectos!$AP533="","",Portafolio_Proyectos!$A533),"")</f>
        <v/>
      </c>
      <c r="H1598" s="5" t="str">
        <f>IFERROR(IF(Portafolio_Proyectos!$AP533="","",Portafolio_Proyectos!$E533),"")</f>
        <v/>
      </c>
    </row>
    <row r="1599" spans="1:8" x14ac:dyDescent="0.35">
      <c r="A1599" s="5" t="str">
        <f>IFERROR(IF(Portafolio_Proyectos!$AQ533="","","CAP-"&amp;ROW()-1),"")</f>
        <v/>
      </c>
      <c r="B1599" s="5" t="str">
        <f>IFERROR(IF(Portafolio_Proyectos!$AQ533="","",Portafolio_Proyectos!$AQ533),"")</f>
        <v/>
      </c>
      <c r="C1599" s="5" t="str">
        <f>IFERROR(IF(Portafolio_Proyectos!$AQ533="","","Consolidada"),"")</f>
        <v/>
      </c>
      <c r="D1599" s="5" t="str">
        <f>IFERROR(IF(Portafolio_Proyectos!$AQ533="","",Portafolio_Proyectos!$C533),"")</f>
        <v/>
      </c>
      <c r="E1599" s="5" t="str">
        <f>IFERROR(IF(Portafolio_Proyectos!$AQ533="","",Portafolio_Proyectos!$B533),"")</f>
        <v/>
      </c>
      <c r="F1599" s="5" t="str">
        <f>IFERROR(IF(Portafolio_Proyectos!$AQ533="","",Portafolio_Proyectos!$D533),"")</f>
        <v/>
      </c>
      <c r="G1599" s="5" t="str">
        <f>IFERROR(IF(Portafolio_Proyectos!$AQ533="","",Portafolio_Proyectos!$A533),"")</f>
        <v/>
      </c>
      <c r="H1599" s="5" t="str">
        <f>IFERROR(IF(Portafolio_Proyectos!$AQ533="","",Portafolio_Proyectos!$E533),"")</f>
        <v/>
      </c>
    </row>
    <row r="1600" spans="1:8" x14ac:dyDescent="0.35">
      <c r="A1600" s="5" t="str">
        <f>IFERROR(IF(Portafolio_Proyectos!$AR533="","","CAP-"&amp;ROW()-1),"")</f>
        <v/>
      </c>
      <c r="B1600" s="5" t="str">
        <f>IFERROR(IF(Portafolio_Proyectos!$AR533="","",Portafolio_Proyectos!$AR533),"")</f>
        <v/>
      </c>
      <c r="C1600" s="5" t="str">
        <f>IFERROR(IF(Portafolio_Proyectos!$AR533="","","Distintiva"),"")</f>
        <v/>
      </c>
      <c r="D1600" s="5" t="str">
        <f>IFERROR(IF(Portafolio_Proyectos!$AR533="","",Portafolio_Proyectos!$C533),"")</f>
        <v/>
      </c>
      <c r="E1600" s="5" t="str">
        <f>IFERROR(IF(Portafolio_Proyectos!$AR533="","",Portafolio_Proyectos!$B533),"")</f>
        <v/>
      </c>
      <c r="F1600" s="5" t="str">
        <f>IFERROR(IF(Portafolio_Proyectos!$AR533="","",Portafolio_Proyectos!$D533),"")</f>
        <v/>
      </c>
      <c r="G1600" s="5" t="str">
        <f>IFERROR(IF(Portafolio_Proyectos!$AR533="","",Portafolio_Proyectos!$A533),"")</f>
        <v/>
      </c>
      <c r="H1600" s="5" t="str">
        <f>IFERROR(IF(Portafolio_Proyectos!$AR533="","",Portafolio_Proyectos!$E533),"")</f>
        <v/>
      </c>
    </row>
    <row r="1601" spans="1:8" x14ac:dyDescent="0.35">
      <c r="A1601" s="5" t="str">
        <f>IFERROR(IF(Portafolio_Proyectos!$AP534="","","CAP-"&amp;ROW()-1),"")</f>
        <v/>
      </c>
      <c r="B1601" s="5" t="str">
        <f>IFERROR(IF(Portafolio_Proyectos!$AP534="","",Portafolio_Proyectos!$AP534),"")</f>
        <v/>
      </c>
      <c r="C1601" s="5" t="str">
        <f>IFERROR(IF(Portafolio_Proyectos!$AP534="","","Emergente"),"")</f>
        <v/>
      </c>
      <c r="D1601" s="5" t="str">
        <f>IFERROR(IF(Portafolio_Proyectos!$AP534="","",Portafolio_Proyectos!$C534),"")</f>
        <v/>
      </c>
      <c r="E1601" s="5" t="str">
        <f>IFERROR(IF(Portafolio_Proyectos!$AP534="","",Portafolio_Proyectos!$B534),"")</f>
        <v/>
      </c>
      <c r="F1601" s="5" t="str">
        <f>IFERROR(IF(Portafolio_Proyectos!$AP534="","",Portafolio_Proyectos!$D534),"")</f>
        <v/>
      </c>
      <c r="G1601" s="5" t="str">
        <f>IFERROR(IF(Portafolio_Proyectos!$AP534="","",Portafolio_Proyectos!$A534),"")</f>
        <v/>
      </c>
      <c r="H1601" s="5" t="str">
        <f>IFERROR(IF(Portafolio_Proyectos!$AP534="","",Portafolio_Proyectos!$E534),"")</f>
        <v/>
      </c>
    </row>
    <row r="1602" spans="1:8" x14ac:dyDescent="0.35">
      <c r="A1602" s="5" t="str">
        <f>IFERROR(IF(Portafolio_Proyectos!$AQ534="","","CAP-"&amp;ROW()-1),"")</f>
        <v/>
      </c>
      <c r="B1602" s="5" t="str">
        <f>IFERROR(IF(Portafolio_Proyectos!$AQ534="","",Portafolio_Proyectos!$AQ534),"")</f>
        <v/>
      </c>
      <c r="C1602" s="5" t="str">
        <f>IFERROR(IF(Portafolio_Proyectos!$AQ534="","","Consolidada"),"")</f>
        <v/>
      </c>
      <c r="D1602" s="5" t="str">
        <f>IFERROR(IF(Portafolio_Proyectos!$AQ534="","",Portafolio_Proyectos!$C534),"")</f>
        <v/>
      </c>
      <c r="E1602" s="5" t="str">
        <f>IFERROR(IF(Portafolio_Proyectos!$AQ534="","",Portafolio_Proyectos!$B534),"")</f>
        <v/>
      </c>
      <c r="F1602" s="5" t="str">
        <f>IFERROR(IF(Portafolio_Proyectos!$AQ534="","",Portafolio_Proyectos!$D534),"")</f>
        <v/>
      </c>
      <c r="G1602" s="5" t="str">
        <f>IFERROR(IF(Portafolio_Proyectos!$AQ534="","",Portafolio_Proyectos!$A534),"")</f>
        <v/>
      </c>
      <c r="H1602" s="5" t="str">
        <f>IFERROR(IF(Portafolio_Proyectos!$AQ534="","",Portafolio_Proyectos!$E534),"")</f>
        <v/>
      </c>
    </row>
    <row r="1603" spans="1:8" x14ac:dyDescent="0.35">
      <c r="A1603" s="5" t="str">
        <f>IFERROR(IF(Portafolio_Proyectos!$AR534="","","CAP-"&amp;ROW()-1),"")</f>
        <v/>
      </c>
      <c r="B1603" s="5" t="str">
        <f>IFERROR(IF(Portafolio_Proyectos!$AR534="","",Portafolio_Proyectos!$AR534),"")</f>
        <v/>
      </c>
      <c r="C1603" s="5" t="str">
        <f>IFERROR(IF(Portafolio_Proyectos!$AR534="","","Distintiva"),"")</f>
        <v/>
      </c>
      <c r="D1603" s="5" t="str">
        <f>IFERROR(IF(Portafolio_Proyectos!$AR534="","",Portafolio_Proyectos!$C534),"")</f>
        <v/>
      </c>
      <c r="E1603" s="5" t="str">
        <f>IFERROR(IF(Portafolio_Proyectos!$AR534="","",Portafolio_Proyectos!$B534),"")</f>
        <v/>
      </c>
      <c r="F1603" s="5" t="str">
        <f>IFERROR(IF(Portafolio_Proyectos!$AR534="","",Portafolio_Proyectos!$D534),"")</f>
        <v/>
      </c>
      <c r="G1603" s="5" t="str">
        <f>IFERROR(IF(Portafolio_Proyectos!$AR534="","",Portafolio_Proyectos!$A534),"")</f>
        <v/>
      </c>
      <c r="H1603" s="5" t="str">
        <f>IFERROR(IF(Portafolio_Proyectos!$AR534="","",Portafolio_Proyectos!$E534),"")</f>
        <v/>
      </c>
    </row>
    <row r="1604" spans="1:8" x14ac:dyDescent="0.35">
      <c r="A1604" s="5" t="str">
        <f>IFERROR(IF(Portafolio_Proyectos!$AP535="","","CAP-"&amp;ROW()-1),"")</f>
        <v/>
      </c>
      <c r="B1604" s="5" t="str">
        <f>IFERROR(IF(Portafolio_Proyectos!$AP535="","",Portafolio_Proyectos!$AP535),"")</f>
        <v/>
      </c>
      <c r="C1604" s="5" t="str">
        <f>IFERROR(IF(Portafolio_Proyectos!$AP535="","","Emergente"),"")</f>
        <v/>
      </c>
      <c r="D1604" s="5" t="str">
        <f>IFERROR(IF(Portafolio_Proyectos!$AP535="","",Portafolio_Proyectos!$C535),"")</f>
        <v/>
      </c>
      <c r="E1604" s="5" t="str">
        <f>IFERROR(IF(Portafolio_Proyectos!$AP535="","",Portafolio_Proyectos!$B535),"")</f>
        <v/>
      </c>
      <c r="F1604" s="5" t="str">
        <f>IFERROR(IF(Portafolio_Proyectos!$AP535="","",Portafolio_Proyectos!$D535),"")</f>
        <v/>
      </c>
      <c r="G1604" s="5" t="str">
        <f>IFERROR(IF(Portafolio_Proyectos!$AP535="","",Portafolio_Proyectos!$A535),"")</f>
        <v/>
      </c>
      <c r="H1604" s="5" t="str">
        <f>IFERROR(IF(Portafolio_Proyectos!$AP535="","",Portafolio_Proyectos!$E535),"")</f>
        <v/>
      </c>
    </row>
    <row r="1605" spans="1:8" x14ac:dyDescent="0.35">
      <c r="A1605" s="5" t="str">
        <f>IFERROR(IF(Portafolio_Proyectos!$AQ535="","","CAP-"&amp;ROW()-1),"")</f>
        <v/>
      </c>
      <c r="B1605" s="5" t="str">
        <f>IFERROR(IF(Portafolio_Proyectos!$AQ535="","",Portafolio_Proyectos!$AQ535),"")</f>
        <v/>
      </c>
      <c r="C1605" s="5" t="str">
        <f>IFERROR(IF(Portafolio_Proyectos!$AQ535="","","Consolidada"),"")</f>
        <v/>
      </c>
      <c r="D1605" s="5" t="str">
        <f>IFERROR(IF(Portafolio_Proyectos!$AQ535="","",Portafolio_Proyectos!$C535),"")</f>
        <v/>
      </c>
      <c r="E1605" s="5" t="str">
        <f>IFERROR(IF(Portafolio_Proyectos!$AQ535="","",Portafolio_Proyectos!$B535),"")</f>
        <v/>
      </c>
      <c r="F1605" s="5" t="str">
        <f>IFERROR(IF(Portafolio_Proyectos!$AQ535="","",Portafolio_Proyectos!$D535),"")</f>
        <v/>
      </c>
      <c r="G1605" s="5" t="str">
        <f>IFERROR(IF(Portafolio_Proyectos!$AQ535="","",Portafolio_Proyectos!$A535),"")</f>
        <v/>
      </c>
      <c r="H1605" s="5" t="str">
        <f>IFERROR(IF(Portafolio_Proyectos!$AQ535="","",Portafolio_Proyectos!$E535),"")</f>
        <v/>
      </c>
    </row>
    <row r="1606" spans="1:8" x14ac:dyDescent="0.35">
      <c r="A1606" s="5" t="str">
        <f>IFERROR(IF(Portafolio_Proyectos!$AR535="","","CAP-"&amp;ROW()-1),"")</f>
        <v/>
      </c>
      <c r="B1606" s="5" t="str">
        <f>IFERROR(IF(Portafolio_Proyectos!$AR535="","",Portafolio_Proyectos!$AR535),"")</f>
        <v/>
      </c>
      <c r="C1606" s="5" t="str">
        <f>IFERROR(IF(Portafolio_Proyectos!$AR535="","","Distintiva"),"")</f>
        <v/>
      </c>
      <c r="D1606" s="5" t="str">
        <f>IFERROR(IF(Portafolio_Proyectos!$AR535="","",Portafolio_Proyectos!$C535),"")</f>
        <v/>
      </c>
      <c r="E1606" s="5" t="str">
        <f>IFERROR(IF(Portafolio_Proyectos!$AR535="","",Portafolio_Proyectos!$B535),"")</f>
        <v/>
      </c>
      <c r="F1606" s="5" t="str">
        <f>IFERROR(IF(Portafolio_Proyectos!$AR535="","",Portafolio_Proyectos!$D535),"")</f>
        <v/>
      </c>
      <c r="G1606" s="5" t="str">
        <f>IFERROR(IF(Portafolio_Proyectos!$AR535="","",Portafolio_Proyectos!$A535),"")</f>
        <v/>
      </c>
      <c r="H1606" s="5" t="str">
        <f>IFERROR(IF(Portafolio_Proyectos!$AR535="","",Portafolio_Proyectos!$E535),"")</f>
        <v/>
      </c>
    </row>
    <row r="1607" spans="1:8" x14ac:dyDescent="0.35">
      <c r="A1607" s="5" t="str">
        <f>IFERROR(IF(Portafolio_Proyectos!$AP536="","","CAP-"&amp;ROW()-1),"")</f>
        <v/>
      </c>
      <c r="B1607" s="5" t="str">
        <f>IFERROR(IF(Portafolio_Proyectos!$AP536="","",Portafolio_Proyectos!$AP536),"")</f>
        <v/>
      </c>
      <c r="C1607" s="5" t="str">
        <f>IFERROR(IF(Portafolio_Proyectos!$AP536="","","Emergente"),"")</f>
        <v/>
      </c>
      <c r="D1607" s="5" t="str">
        <f>IFERROR(IF(Portafolio_Proyectos!$AP536="","",Portafolio_Proyectos!$C536),"")</f>
        <v/>
      </c>
      <c r="E1607" s="5" t="str">
        <f>IFERROR(IF(Portafolio_Proyectos!$AP536="","",Portafolio_Proyectos!$B536),"")</f>
        <v/>
      </c>
      <c r="F1607" s="5" t="str">
        <f>IFERROR(IF(Portafolio_Proyectos!$AP536="","",Portafolio_Proyectos!$D536),"")</f>
        <v/>
      </c>
      <c r="G1607" s="5" t="str">
        <f>IFERROR(IF(Portafolio_Proyectos!$AP536="","",Portafolio_Proyectos!$A536),"")</f>
        <v/>
      </c>
      <c r="H1607" s="5" t="str">
        <f>IFERROR(IF(Portafolio_Proyectos!$AP536="","",Portafolio_Proyectos!$E536),"")</f>
        <v/>
      </c>
    </row>
    <row r="1608" spans="1:8" x14ac:dyDescent="0.35">
      <c r="A1608" s="5" t="str">
        <f>IFERROR(IF(Portafolio_Proyectos!$AQ536="","","CAP-"&amp;ROW()-1),"")</f>
        <v/>
      </c>
      <c r="B1608" s="5" t="str">
        <f>IFERROR(IF(Portafolio_Proyectos!$AQ536="","",Portafolio_Proyectos!$AQ536),"")</f>
        <v/>
      </c>
      <c r="C1608" s="5" t="str">
        <f>IFERROR(IF(Portafolio_Proyectos!$AQ536="","","Consolidada"),"")</f>
        <v/>
      </c>
      <c r="D1608" s="5" t="str">
        <f>IFERROR(IF(Portafolio_Proyectos!$AQ536="","",Portafolio_Proyectos!$C536),"")</f>
        <v/>
      </c>
      <c r="E1608" s="5" t="str">
        <f>IFERROR(IF(Portafolio_Proyectos!$AQ536="","",Portafolio_Proyectos!$B536),"")</f>
        <v/>
      </c>
      <c r="F1608" s="5" t="str">
        <f>IFERROR(IF(Portafolio_Proyectos!$AQ536="","",Portafolio_Proyectos!$D536),"")</f>
        <v/>
      </c>
      <c r="G1608" s="5" t="str">
        <f>IFERROR(IF(Portafolio_Proyectos!$AQ536="","",Portafolio_Proyectos!$A536),"")</f>
        <v/>
      </c>
      <c r="H1608" s="5" t="str">
        <f>IFERROR(IF(Portafolio_Proyectos!$AQ536="","",Portafolio_Proyectos!$E536),"")</f>
        <v/>
      </c>
    </row>
    <row r="1609" spans="1:8" x14ac:dyDescent="0.35">
      <c r="A1609" s="5" t="str">
        <f>IFERROR(IF(Portafolio_Proyectos!$AR536="","","CAP-"&amp;ROW()-1),"")</f>
        <v/>
      </c>
      <c r="B1609" s="5" t="str">
        <f>IFERROR(IF(Portafolio_Proyectos!$AR536="","",Portafolio_Proyectos!$AR536),"")</f>
        <v/>
      </c>
      <c r="C1609" s="5" t="str">
        <f>IFERROR(IF(Portafolio_Proyectos!$AR536="","","Distintiva"),"")</f>
        <v/>
      </c>
      <c r="D1609" s="5" t="str">
        <f>IFERROR(IF(Portafolio_Proyectos!$AR536="","",Portafolio_Proyectos!$C536),"")</f>
        <v/>
      </c>
      <c r="E1609" s="5" t="str">
        <f>IFERROR(IF(Portafolio_Proyectos!$AR536="","",Portafolio_Proyectos!$B536),"")</f>
        <v/>
      </c>
      <c r="F1609" s="5" t="str">
        <f>IFERROR(IF(Portafolio_Proyectos!$AR536="","",Portafolio_Proyectos!$D536),"")</f>
        <v/>
      </c>
      <c r="G1609" s="5" t="str">
        <f>IFERROR(IF(Portafolio_Proyectos!$AR536="","",Portafolio_Proyectos!$A536),"")</f>
        <v/>
      </c>
      <c r="H1609" s="5" t="str">
        <f>IFERROR(IF(Portafolio_Proyectos!$AR536="","",Portafolio_Proyectos!$E536),"")</f>
        <v/>
      </c>
    </row>
    <row r="1610" spans="1:8" x14ac:dyDescent="0.35">
      <c r="A1610" s="5" t="str">
        <f>IFERROR(IF(Portafolio_Proyectos!$AP537="","","CAP-"&amp;ROW()-1),"")</f>
        <v/>
      </c>
      <c r="B1610" s="5" t="str">
        <f>IFERROR(IF(Portafolio_Proyectos!$AP537="","",Portafolio_Proyectos!$AP537),"")</f>
        <v/>
      </c>
      <c r="C1610" s="5" t="str">
        <f>IFERROR(IF(Portafolio_Proyectos!$AP537="","","Emergente"),"")</f>
        <v/>
      </c>
      <c r="D1610" s="5" t="str">
        <f>IFERROR(IF(Portafolio_Proyectos!$AP537="","",Portafolio_Proyectos!$C537),"")</f>
        <v/>
      </c>
      <c r="E1610" s="5" t="str">
        <f>IFERROR(IF(Portafolio_Proyectos!$AP537="","",Portafolio_Proyectos!$B537),"")</f>
        <v/>
      </c>
      <c r="F1610" s="5" t="str">
        <f>IFERROR(IF(Portafolio_Proyectos!$AP537="","",Portafolio_Proyectos!$D537),"")</f>
        <v/>
      </c>
      <c r="G1610" s="5" t="str">
        <f>IFERROR(IF(Portafolio_Proyectos!$AP537="","",Portafolio_Proyectos!$A537),"")</f>
        <v/>
      </c>
      <c r="H1610" s="5" t="str">
        <f>IFERROR(IF(Portafolio_Proyectos!$AP537="","",Portafolio_Proyectos!$E537),"")</f>
        <v/>
      </c>
    </row>
    <row r="1611" spans="1:8" x14ac:dyDescent="0.35">
      <c r="A1611" s="5" t="str">
        <f>IFERROR(IF(Portafolio_Proyectos!$AQ537="","","CAP-"&amp;ROW()-1),"")</f>
        <v/>
      </c>
      <c r="B1611" s="5" t="str">
        <f>IFERROR(IF(Portafolio_Proyectos!$AQ537="","",Portafolio_Proyectos!$AQ537),"")</f>
        <v/>
      </c>
      <c r="C1611" s="5" t="str">
        <f>IFERROR(IF(Portafolio_Proyectos!$AQ537="","","Consolidada"),"")</f>
        <v/>
      </c>
      <c r="D1611" s="5" t="str">
        <f>IFERROR(IF(Portafolio_Proyectos!$AQ537="","",Portafolio_Proyectos!$C537),"")</f>
        <v/>
      </c>
      <c r="E1611" s="5" t="str">
        <f>IFERROR(IF(Portafolio_Proyectos!$AQ537="","",Portafolio_Proyectos!$B537),"")</f>
        <v/>
      </c>
      <c r="F1611" s="5" t="str">
        <f>IFERROR(IF(Portafolio_Proyectos!$AQ537="","",Portafolio_Proyectos!$D537),"")</f>
        <v/>
      </c>
      <c r="G1611" s="5" t="str">
        <f>IFERROR(IF(Portafolio_Proyectos!$AQ537="","",Portafolio_Proyectos!$A537),"")</f>
        <v/>
      </c>
      <c r="H1611" s="5" t="str">
        <f>IFERROR(IF(Portafolio_Proyectos!$AQ537="","",Portafolio_Proyectos!$E537),"")</f>
        <v/>
      </c>
    </row>
    <row r="1612" spans="1:8" x14ac:dyDescent="0.35">
      <c r="A1612" s="5" t="str">
        <f>IFERROR(IF(Portafolio_Proyectos!$AR537="","","CAP-"&amp;ROW()-1),"")</f>
        <v/>
      </c>
      <c r="B1612" s="5" t="str">
        <f>IFERROR(IF(Portafolio_Proyectos!$AR537="","",Portafolio_Proyectos!$AR537),"")</f>
        <v/>
      </c>
      <c r="C1612" s="5" t="str">
        <f>IFERROR(IF(Portafolio_Proyectos!$AR537="","","Distintiva"),"")</f>
        <v/>
      </c>
      <c r="D1612" s="5" t="str">
        <f>IFERROR(IF(Portafolio_Proyectos!$AR537="","",Portafolio_Proyectos!$C537),"")</f>
        <v/>
      </c>
      <c r="E1612" s="5" t="str">
        <f>IFERROR(IF(Portafolio_Proyectos!$AR537="","",Portafolio_Proyectos!$B537),"")</f>
        <v/>
      </c>
      <c r="F1612" s="5" t="str">
        <f>IFERROR(IF(Portafolio_Proyectos!$AR537="","",Portafolio_Proyectos!$D537),"")</f>
        <v/>
      </c>
      <c r="G1612" s="5" t="str">
        <f>IFERROR(IF(Portafolio_Proyectos!$AR537="","",Portafolio_Proyectos!$A537),"")</f>
        <v/>
      </c>
      <c r="H1612" s="5" t="str">
        <f>IFERROR(IF(Portafolio_Proyectos!$AR537="","",Portafolio_Proyectos!$E537),"")</f>
        <v/>
      </c>
    </row>
    <row r="1613" spans="1:8" x14ac:dyDescent="0.35">
      <c r="A1613" s="5" t="str">
        <f>IFERROR(IF(Portafolio_Proyectos!$AP538="","","CAP-"&amp;ROW()-1),"")</f>
        <v/>
      </c>
      <c r="B1613" s="5" t="str">
        <f>IFERROR(IF(Portafolio_Proyectos!$AP538="","",Portafolio_Proyectos!$AP538),"")</f>
        <v/>
      </c>
      <c r="C1613" s="5" t="str">
        <f>IFERROR(IF(Portafolio_Proyectos!$AP538="","","Emergente"),"")</f>
        <v/>
      </c>
      <c r="D1613" s="5" t="str">
        <f>IFERROR(IF(Portafolio_Proyectos!$AP538="","",Portafolio_Proyectos!$C538),"")</f>
        <v/>
      </c>
      <c r="E1613" s="5" t="str">
        <f>IFERROR(IF(Portafolio_Proyectos!$AP538="","",Portafolio_Proyectos!$B538),"")</f>
        <v/>
      </c>
      <c r="F1613" s="5" t="str">
        <f>IFERROR(IF(Portafolio_Proyectos!$AP538="","",Portafolio_Proyectos!$D538),"")</f>
        <v/>
      </c>
      <c r="G1613" s="5" t="str">
        <f>IFERROR(IF(Portafolio_Proyectos!$AP538="","",Portafolio_Proyectos!$A538),"")</f>
        <v/>
      </c>
      <c r="H1613" s="5" t="str">
        <f>IFERROR(IF(Portafolio_Proyectos!$AP538="","",Portafolio_Proyectos!$E538),"")</f>
        <v/>
      </c>
    </row>
    <row r="1614" spans="1:8" x14ac:dyDescent="0.35">
      <c r="A1614" s="5" t="str">
        <f>IFERROR(IF(Portafolio_Proyectos!$AQ538="","","CAP-"&amp;ROW()-1),"")</f>
        <v/>
      </c>
      <c r="B1614" s="5" t="str">
        <f>IFERROR(IF(Portafolio_Proyectos!$AQ538="","",Portafolio_Proyectos!$AQ538),"")</f>
        <v/>
      </c>
      <c r="C1614" s="5" t="str">
        <f>IFERROR(IF(Portafolio_Proyectos!$AQ538="","","Consolidada"),"")</f>
        <v/>
      </c>
      <c r="D1614" s="5" t="str">
        <f>IFERROR(IF(Portafolio_Proyectos!$AQ538="","",Portafolio_Proyectos!$C538),"")</f>
        <v/>
      </c>
      <c r="E1614" s="5" t="str">
        <f>IFERROR(IF(Portafolio_Proyectos!$AQ538="","",Portafolio_Proyectos!$B538),"")</f>
        <v/>
      </c>
      <c r="F1614" s="5" t="str">
        <f>IFERROR(IF(Portafolio_Proyectos!$AQ538="","",Portafolio_Proyectos!$D538),"")</f>
        <v/>
      </c>
      <c r="G1614" s="5" t="str">
        <f>IFERROR(IF(Portafolio_Proyectos!$AQ538="","",Portafolio_Proyectos!$A538),"")</f>
        <v/>
      </c>
      <c r="H1614" s="5" t="str">
        <f>IFERROR(IF(Portafolio_Proyectos!$AQ538="","",Portafolio_Proyectos!$E538),"")</f>
        <v/>
      </c>
    </row>
    <row r="1615" spans="1:8" x14ac:dyDescent="0.35">
      <c r="A1615" s="5" t="str">
        <f>IFERROR(IF(Portafolio_Proyectos!$AR538="","","CAP-"&amp;ROW()-1),"")</f>
        <v/>
      </c>
      <c r="B1615" s="5" t="str">
        <f>IFERROR(IF(Portafolio_Proyectos!$AR538="","",Portafolio_Proyectos!$AR538),"")</f>
        <v/>
      </c>
      <c r="C1615" s="5" t="str">
        <f>IFERROR(IF(Portafolio_Proyectos!$AR538="","","Distintiva"),"")</f>
        <v/>
      </c>
      <c r="D1615" s="5" t="str">
        <f>IFERROR(IF(Portafolio_Proyectos!$AR538="","",Portafolio_Proyectos!$C538),"")</f>
        <v/>
      </c>
      <c r="E1615" s="5" t="str">
        <f>IFERROR(IF(Portafolio_Proyectos!$AR538="","",Portafolio_Proyectos!$B538),"")</f>
        <v/>
      </c>
      <c r="F1615" s="5" t="str">
        <f>IFERROR(IF(Portafolio_Proyectos!$AR538="","",Portafolio_Proyectos!$D538),"")</f>
        <v/>
      </c>
      <c r="G1615" s="5" t="str">
        <f>IFERROR(IF(Portafolio_Proyectos!$AR538="","",Portafolio_Proyectos!$A538),"")</f>
        <v/>
      </c>
      <c r="H1615" s="5" t="str">
        <f>IFERROR(IF(Portafolio_Proyectos!$AR538="","",Portafolio_Proyectos!$E538),"")</f>
        <v/>
      </c>
    </row>
    <row r="1616" spans="1:8" x14ac:dyDescent="0.35">
      <c r="A1616" s="5" t="str">
        <f>IFERROR(IF(Portafolio_Proyectos!$AP539="","","CAP-"&amp;ROW()-1),"")</f>
        <v/>
      </c>
      <c r="B1616" s="5" t="str">
        <f>IFERROR(IF(Portafolio_Proyectos!$AP539="","",Portafolio_Proyectos!$AP539),"")</f>
        <v/>
      </c>
      <c r="C1616" s="5" t="str">
        <f>IFERROR(IF(Portafolio_Proyectos!$AP539="","","Emergente"),"")</f>
        <v/>
      </c>
      <c r="D1616" s="5" t="str">
        <f>IFERROR(IF(Portafolio_Proyectos!$AP539="","",Portafolio_Proyectos!$C539),"")</f>
        <v/>
      </c>
      <c r="E1616" s="5" t="str">
        <f>IFERROR(IF(Portafolio_Proyectos!$AP539="","",Portafolio_Proyectos!$B539),"")</f>
        <v/>
      </c>
      <c r="F1616" s="5" t="str">
        <f>IFERROR(IF(Portafolio_Proyectos!$AP539="","",Portafolio_Proyectos!$D539),"")</f>
        <v/>
      </c>
      <c r="G1616" s="5" t="str">
        <f>IFERROR(IF(Portafolio_Proyectos!$AP539="","",Portafolio_Proyectos!$A539),"")</f>
        <v/>
      </c>
      <c r="H1616" s="5" t="str">
        <f>IFERROR(IF(Portafolio_Proyectos!$AP539="","",Portafolio_Proyectos!$E539),"")</f>
        <v/>
      </c>
    </row>
    <row r="1617" spans="1:8" x14ac:dyDescent="0.35">
      <c r="A1617" s="5" t="str">
        <f>IFERROR(IF(Portafolio_Proyectos!$AQ539="","","CAP-"&amp;ROW()-1),"")</f>
        <v/>
      </c>
      <c r="B1617" s="5" t="str">
        <f>IFERROR(IF(Portafolio_Proyectos!$AQ539="","",Portafolio_Proyectos!$AQ539),"")</f>
        <v/>
      </c>
      <c r="C1617" s="5" t="str">
        <f>IFERROR(IF(Portafolio_Proyectos!$AQ539="","","Consolidada"),"")</f>
        <v/>
      </c>
      <c r="D1617" s="5" t="str">
        <f>IFERROR(IF(Portafolio_Proyectos!$AQ539="","",Portafolio_Proyectos!$C539),"")</f>
        <v/>
      </c>
      <c r="E1617" s="5" t="str">
        <f>IFERROR(IF(Portafolio_Proyectos!$AQ539="","",Portafolio_Proyectos!$B539),"")</f>
        <v/>
      </c>
      <c r="F1617" s="5" t="str">
        <f>IFERROR(IF(Portafolio_Proyectos!$AQ539="","",Portafolio_Proyectos!$D539),"")</f>
        <v/>
      </c>
      <c r="G1617" s="5" t="str">
        <f>IFERROR(IF(Portafolio_Proyectos!$AQ539="","",Portafolio_Proyectos!$A539),"")</f>
        <v/>
      </c>
      <c r="H1617" s="5" t="str">
        <f>IFERROR(IF(Portafolio_Proyectos!$AQ539="","",Portafolio_Proyectos!$E539),"")</f>
        <v/>
      </c>
    </row>
    <row r="1618" spans="1:8" x14ac:dyDescent="0.35">
      <c r="A1618" s="5" t="str">
        <f>IFERROR(IF(Portafolio_Proyectos!$AR539="","","CAP-"&amp;ROW()-1),"")</f>
        <v/>
      </c>
      <c r="B1618" s="5" t="str">
        <f>IFERROR(IF(Portafolio_Proyectos!$AR539="","",Portafolio_Proyectos!$AR539),"")</f>
        <v/>
      </c>
      <c r="C1618" s="5" t="str">
        <f>IFERROR(IF(Portafolio_Proyectos!$AR539="","","Distintiva"),"")</f>
        <v/>
      </c>
      <c r="D1618" s="5" t="str">
        <f>IFERROR(IF(Portafolio_Proyectos!$AR539="","",Portafolio_Proyectos!$C539),"")</f>
        <v/>
      </c>
      <c r="E1618" s="5" t="str">
        <f>IFERROR(IF(Portafolio_Proyectos!$AR539="","",Portafolio_Proyectos!$B539),"")</f>
        <v/>
      </c>
      <c r="F1618" s="5" t="str">
        <f>IFERROR(IF(Portafolio_Proyectos!$AR539="","",Portafolio_Proyectos!$D539),"")</f>
        <v/>
      </c>
      <c r="G1618" s="5" t="str">
        <f>IFERROR(IF(Portafolio_Proyectos!$AR539="","",Portafolio_Proyectos!$A539),"")</f>
        <v/>
      </c>
      <c r="H1618" s="5" t="str">
        <f>IFERROR(IF(Portafolio_Proyectos!$AR539="","",Portafolio_Proyectos!$E539),"")</f>
        <v/>
      </c>
    </row>
    <row r="1619" spans="1:8" x14ac:dyDescent="0.35">
      <c r="A1619" s="5" t="str">
        <f>IFERROR(IF(Portafolio_Proyectos!$AP540="","","CAP-"&amp;ROW()-1),"")</f>
        <v/>
      </c>
      <c r="B1619" s="5" t="str">
        <f>IFERROR(IF(Portafolio_Proyectos!$AP540="","",Portafolio_Proyectos!$AP540),"")</f>
        <v/>
      </c>
      <c r="C1619" s="5" t="str">
        <f>IFERROR(IF(Portafolio_Proyectos!$AP540="","","Emergente"),"")</f>
        <v/>
      </c>
      <c r="D1619" s="5" t="str">
        <f>IFERROR(IF(Portafolio_Proyectos!$AP540="","",Portafolio_Proyectos!$C540),"")</f>
        <v/>
      </c>
      <c r="E1619" s="5" t="str">
        <f>IFERROR(IF(Portafolio_Proyectos!$AP540="","",Portafolio_Proyectos!$B540),"")</f>
        <v/>
      </c>
      <c r="F1619" s="5" t="str">
        <f>IFERROR(IF(Portafolio_Proyectos!$AP540="","",Portafolio_Proyectos!$D540),"")</f>
        <v/>
      </c>
      <c r="G1619" s="5" t="str">
        <f>IFERROR(IF(Portafolio_Proyectos!$AP540="","",Portafolio_Proyectos!$A540),"")</f>
        <v/>
      </c>
      <c r="H1619" s="5" t="str">
        <f>IFERROR(IF(Portafolio_Proyectos!$AP540="","",Portafolio_Proyectos!$E540),"")</f>
        <v/>
      </c>
    </row>
    <row r="1620" spans="1:8" x14ac:dyDescent="0.35">
      <c r="A1620" s="5" t="str">
        <f>IFERROR(IF(Portafolio_Proyectos!$AQ540="","","CAP-"&amp;ROW()-1),"")</f>
        <v/>
      </c>
      <c r="B1620" s="5" t="str">
        <f>IFERROR(IF(Portafolio_Proyectos!$AQ540="","",Portafolio_Proyectos!$AQ540),"")</f>
        <v/>
      </c>
      <c r="C1620" s="5" t="str">
        <f>IFERROR(IF(Portafolio_Proyectos!$AQ540="","","Consolidada"),"")</f>
        <v/>
      </c>
      <c r="D1620" s="5" t="str">
        <f>IFERROR(IF(Portafolio_Proyectos!$AQ540="","",Portafolio_Proyectos!$C540),"")</f>
        <v/>
      </c>
      <c r="E1620" s="5" t="str">
        <f>IFERROR(IF(Portafolio_Proyectos!$AQ540="","",Portafolio_Proyectos!$B540),"")</f>
        <v/>
      </c>
      <c r="F1620" s="5" t="str">
        <f>IFERROR(IF(Portafolio_Proyectos!$AQ540="","",Portafolio_Proyectos!$D540),"")</f>
        <v/>
      </c>
      <c r="G1620" s="5" t="str">
        <f>IFERROR(IF(Portafolio_Proyectos!$AQ540="","",Portafolio_Proyectos!$A540),"")</f>
        <v/>
      </c>
      <c r="H1620" s="5" t="str">
        <f>IFERROR(IF(Portafolio_Proyectos!$AQ540="","",Portafolio_Proyectos!$E540),"")</f>
        <v/>
      </c>
    </row>
    <row r="1621" spans="1:8" x14ac:dyDescent="0.35">
      <c r="A1621" s="5" t="str">
        <f>IFERROR(IF(Portafolio_Proyectos!$AR540="","","CAP-"&amp;ROW()-1),"")</f>
        <v/>
      </c>
      <c r="B1621" s="5" t="str">
        <f>IFERROR(IF(Portafolio_Proyectos!$AR540="","",Portafolio_Proyectos!$AR540),"")</f>
        <v/>
      </c>
      <c r="C1621" s="5" t="str">
        <f>IFERROR(IF(Portafolio_Proyectos!$AR540="","","Distintiva"),"")</f>
        <v/>
      </c>
      <c r="D1621" s="5" t="str">
        <f>IFERROR(IF(Portafolio_Proyectos!$AR540="","",Portafolio_Proyectos!$C540),"")</f>
        <v/>
      </c>
      <c r="E1621" s="5" t="str">
        <f>IFERROR(IF(Portafolio_Proyectos!$AR540="","",Portafolio_Proyectos!$B540),"")</f>
        <v/>
      </c>
      <c r="F1621" s="5" t="str">
        <f>IFERROR(IF(Portafolio_Proyectos!$AR540="","",Portafolio_Proyectos!$D540),"")</f>
        <v/>
      </c>
      <c r="G1621" s="5" t="str">
        <f>IFERROR(IF(Portafolio_Proyectos!$AR540="","",Portafolio_Proyectos!$A540),"")</f>
        <v/>
      </c>
      <c r="H1621" s="5" t="str">
        <f>IFERROR(IF(Portafolio_Proyectos!$AR540="","",Portafolio_Proyectos!$E540),"")</f>
        <v/>
      </c>
    </row>
    <row r="1622" spans="1:8" x14ac:dyDescent="0.35">
      <c r="A1622" s="5" t="str">
        <f>IFERROR(IF(Portafolio_Proyectos!$AP541="","","CAP-"&amp;ROW()-1),"")</f>
        <v/>
      </c>
      <c r="B1622" s="5" t="str">
        <f>IFERROR(IF(Portafolio_Proyectos!$AP541="","",Portafolio_Proyectos!$AP541),"")</f>
        <v/>
      </c>
      <c r="C1622" s="5" t="str">
        <f>IFERROR(IF(Portafolio_Proyectos!$AP541="","","Emergente"),"")</f>
        <v/>
      </c>
      <c r="D1622" s="5" t="str">
        <f>IFERROR(IF(Portafolio_Proyectos!$AP541="","",Portafolio_Proyectos!$C541),"")</f>
        <v/>
      </c>
      <c r="E1622" s="5" t="str">
        <f>IFERROR(IF(Portafolio_Proyectos!$AP541="","",Portafolio_Proyectos!$B541),"")</f>
        <v/>
      </c>
      <c r="F1622" s="5" t="str">
        <f>IFERROR(IF(Portafolio_Proyectos!$AP541="","",Portafolio_Proyectos!$D541),"")</f>
        <v/>
      </c>
      <c r="G1622" s="5" t="str">
        <f>IFERROR(IF(Portafolio_Proyectos!$AP541="","",Portafolio_Proyectos!$A541),"")</f>
        <v/>
      </c>
      <c r="H1622" s="5" t="str">
        <f>IFERROR(IF(Portafolio_Proyectos!$AP541="","",Portafolio_Proyectos!$E541),"")</f>
        <v/>
      </c>
    </row>
    <row r="1623" spans="1:8" x14ac:dyDescent="0.35">
      <c r="A1623" s="5" t="str">
        <f>IFERROR(IF(Portafolio_Proyectos!$AQ541="","","CAP-"&amp;ROW()-1),"")</f>
        <v/>
      </c>
      <c r="B1623" s="5" t="str">
        <f>IFERROR(IF(Portafolio_Proyectos!$AQ541="","",Portafolio_Proyectos!$AQ541),"")</f>
        <v/>
      </c>
      <c r="C1623" s="5" t="str">
        <f>IFERROR(IF(Portafolio_Proyectos!$AQ541="","","Consolidada"),"")</f>
        <v/>
      </c>
      <c r="D1623" s="5" t="str">
        <f>IFERROR(IF(Portafolio_Proyectos!$AQ541="","",Portafolio_Proyectos!$C541),"")</f>
        <v/>
      </c>
      <c r="E1623" s="5" t="str">
        <f>IFERROR(IF(Portafolio_Proyectos!$AQ541="","",Portafolio_Proyectos!$B541),"")</f>
        <v/>
      </c>
      <c r="F1623" s="5" t="str">
        <f>IFERROR(IF(Portafolio_Proyectos!$AQ541="","",Portafolio_Proyectos!$D541),"")</f>
        <v/>
      </c>
      <c r="G1623" s="5" t="str">
        <f>IFERROR(IF(Portafolio_Proyectos!$AQ541="","",Portafolio_Proyectos!$A541),"")</f>
        <v/>
      </c>
      <c r="H1623" s="5" t="str">
        <f>IFERROR(IF(Portafolio_Proyectos!$AQ541="","",Portafolio_Proyectos!$E541),"")</f>
        <v/>
      </c>
    </row>
    <row r="1624" spans="1:8" x14ac:dyDescent="0.35">
      <c r="A1624" s="5" t="str">
        <f>IFERROR(IF(Portafolio_Proyectos!$AR541="","","CAP-"&amp;ROW()-1),"")</f>
        <v/>
      </c>
      <c r="B1624" s="5" t="str">
        <f>IFERROR(IF(Portafolio_Proyectos!$AR541="","",Portafolio_Proyectos!$AR541),"")</f>
        <v/>
      </c>
      <c r="C1624" s="5" t="str">
        <f>IFERROR(IF(Portafolio_Proyectos!$AR541="","","Distintiva"),"")</f>
        <v/>
      </c>
      <c r="D1624" s="5" t="str">
        <f>IFERROR(IF(Portafolio_Proyectos!$AR541="","",Portafolio_Proyectos!$C541),"")</f>
        <v/>
      </c>
      <c r="E1624" s="5" t="str">
        <f>IFERROR(IF(Portafolio_Proyectos!$AR541="","",Portafolio_Proyectos!$B541),"")</f>
        <v/>
      </c>
      <c r="F1624" s="5" t="str">
        <f>IFERROR(IF(Portafolio_Proyectos!$AR541="","",Portafolio_Proyectos!$D541),"")</f>
        <v/>
      </c>
      <c r="G1624" s="5" t="str">
        <f>IFERROR(IF(Portafolio_Proyectos!$AR541="","",Portafolio_Proyectos!$A541),"")</f>
        <v/>
      </c>
      <c r="H1624" s="5" t="str">
        <f>IFERROR(IF(Portafolio_Proyectos!$AR541="","",Portafolio_Proyectos!$E541),"")</f>
        <v/>
      </c>
    </row>
    <row r="1625" spans="1:8" x14ac:dyDescent="0.35">
      <c r="A1625" s="5" t="str">
        <f>IFERROR(IF(Portafolio_Proyectos!$AP542="","","CAP-"&amp;ROW()-1),"")</f>
        <v/>
      </c>
      <c r="B1625" s="5" t="str">
        <f>IFERROR(IF(Portafolio_Proyectos!$AP542="","",Portafolio_Proyectos!$AP542),"")</f>
        <v/>
      </c>
      <c r="C1625" s="5" t="str">
        <f>IFERROR(IF(Portafolio_Proyectos!$AP542="","","Emergente"),"")</f>
        <v/>
      </c>
      <c r="D1625" s="5" t="str">
        <f>IFERROR(IF(Portafolio_Proyectos!$AP542="","",Portafolio_Proyectos!$C542),"")</f>
        <v/>
      </c>
      <c r="E1625" s="5" t="str">
        <f>IFERROR(IF(Portafolio_Proyectos!$AP542="","",Portafolio_Proyectos!$B542),"")</f>
        <v/>
      </c>
      <c r="F1625" s="5" t="str">
        <f>IFERROR(IF(Portafolio_Proyectos!$AP542="","",Portafolio_Proyectos!$D542),"")</f>
        <v/>
      </c>
      <c r="G1625" s="5" t="str">
        <f>IFERROR(IF(Portafolio_Proyectos!$AP542="","",Portafolio_Proyectos!$A542),"")</f>
        <v/>
      </c>
      <c r="H1625" s="5" t="str">
        <f>IFERROR(IF(Portafolio_Proyectos!$AP542="","",Portafolio_Proyectos!$E542),"")</f>
        <v/>
      </c>
    </row>
    <row r="1626" spans="1:8" x14ac:dyDescent="0.35">
      <c r="A1626" s="5" t="str">
        <f>IFERROR(IF(Portafolio_Proyectos!$AQ542="","","CAP-"&amp;ROW()-1),"")</f>
        <v/>
      </c>
      <c r="B1626" s="5" t="str">
        <f>IFERROR(IF(Portafolio_Proyectos!$AQ542="","",Portafolio_Proyectos!$AQ542),"")</f>
        <v/>
      </c>
      <c r="C1626" s="5" t="str">
        <f>IFERROR(IF(Portafolio_Proyectos!$AQ542="","","Consolidada"),"")</f>
        <v/>
      </c>
      <c r="D1626" s="5" t="str">
        <f>IFERROR(IF(Portafolio_Proyectos!$AQ542="","",Portafolio_Proyectos!$C542),"")</f>
        <v/>
      </c>
      <c r="E1626" s="5" t="str">
        <f>IFERROR(IF(Portafolio_Proyectos!$AQ542="","",Portafolio_Proyectos!$B542),"")</f>
        <v/>
      </c>
      <c r="F1626" s="5" t="str">
        <f>IFERROR(IF(Portafolio_Proyectos!$AQ542="","",Portafolio_Proyectos!$D542),"")</f>
        <v/>
      </c>
      <c r="G1626" s="5" t="str">
        <f>IFERROR(IF(Portafolio_Proyectos!$AQ542="","",Portafolio_Proyectos!$A542),"")</f>
        <v/>
      </c>
      <c r="H1626" s="5" t="str">
        <f>IFERROR(IF(Portafolio_Proyectos!$AQ542="","",Portafolio_Proyectos!$E542),"")</f>
        <v/>
      </c>
    </row>
    <row r="1627" spans="1:8" x14ac:dyDescent="0.35">
      <c r="A1627" s="5" t="str">
        <f>IFERROR(IF(Portafolio_Proyectos!$AR542="","","CAP-"&amp;ROW()-1),"")</f>
        <v/>
      </c>
      <c r="B1627" s="5" t="str">
        <f>IFERROR(IF(Portafolio_Proyectos!$AR542="","",Portafolio_Proyectos!$AR542),"")</f>
        <v/>
      </c>
      <c r="C1627" s="5" t="str">
        <f>IFERROR(IF(Portafolio_Proyectos!$AR542="","","Distintiva"),"")</f>
        <v/>
      </c>
      <c r="D1627" s="5" t="str">
        <f>IFERROR(IF(Portafolio_Proyectos!$AR542="","",Portafolio_Proyectos!$C542),"")</f>
        <v/>
      </c>
      <c r="E1627" s="5" t="str">
        <f>IFERROR(IF(Portafolio_Proyectos!$AR542="","",Portafolio_Proyectos!$B542),"")</f>
        <v/>
      </c>
      <c r="F1627" s="5" t="str">
        <f>IFERROR(IF(Portafolio_Proyectos!$AR542="","",Portafolio_Proyectos!$D542),"")</f>
        <v/>
      </c>
      <c r="G1627" s="5" t="str">
        <f>IFERROR(IF(Portafolio_Proyectos!$AR542="","",Portafolio_Proyectos!$A542),"")</f>
        <v/>
      </c>
      <c r="H1627" s="5" t="str">
        <f>IFERROR(IF(Portafolio_Proyectos!$AR542="","",Portafolio_Proyectos!$E542),"")</f>
        <v/>
      </c>
    </row>
    <row r="1628" spans="1:8" x14ac:dyDescent="0.35">
      <c r="A1628" s="5" t="str">
        <f>IFERROR(IF(Portafolio_Proyectos!$AP543="","","CAP-"&amp;ROW()-1),"")</f>
        <v/>
      </c>
      <c r="B1628" s="5" t="str">
        <f>IFERROR(IF(Portafolio_Proyectos!$AP543="","",Portafolio_Proyectos!$AP543),"")</f>
        <v/>
      </c>
      <c r="C1628" s="5" t="str">
        <f>IFERROR(IF(Portafolio_Proyectos!$AP543="","","Emergente"),"")</f>
        <v/>
      </c>
      <c r="D1628" s="5" t="str">
        <f>IFERROR(IF(Portafolio_Proyectos!$AP543="","",Portafolio_Proyectos!$C543),"")</f>
        <v/>
      </c>
      <c r="E1628" s="5" t="str">
        <f>IFERROR(IF(Portafolio_Proyectos!$AP543="","",Portafolio_Proyectos!$B543),"")</f>
        <v/>
      </c>
      <c r="F1628" s="5" t="str">
        <f>IFERROR(IF(Portafolio_Proyectos!$AP543="","",Portafolio_Proyectos!$D543),"")</f>
        <v/>
      </c>
      <c r="G1628" s="5" t="str">
        <f>IFERROR(IF(Portafolio_Proyectos!$AP543="","",Portafolio_Proyectos!$A543),"")</f>
        <v/>
      </c>
      <c r="H1628" s="5" t="str">
        <f>IFERROR(IF(Portafolio_Proyectos!$AP543="","",Portafolio_Proyectos!$E543),"")</f>
        <v/>
      </c>
    </row>
    <row r="1629" spans="1:8" x14ac:dyDescent="0.35">
      <c r="A1629" s="5" t="str">
        <f>IFERROR(IF(Portafolio_Proyectos!$AQ543="","","CAP-"&amp;ROW()-1),"")</f>
        <v/>
      </c>
      <c r="B1629" s="5" t="str">
        <f>IFERROR(IF(Portafolio_Proyectos!$AQ543="","",Portafolio_Proyectos!$AQ543),"")</f>
        <v/>
      </c>
      <c r="C1629" s="5" t="str">
        <f>IFERROR(IF(Portafolio_Proyectos!$AQ543="","","Consolidada"),"")</f>
        <v/>
      </c>
      <c r="D1629" s="5" t="str">
        <f>IFERROR(IF(Portafolio_Proyectos!$AQ543="","",Portafolio_Proyectos!$C543),"")</f>
        <v/>
      </c>
      <c r="E1629" s="5" t="str">
        <f>IFERROR(IF(Portafolio_Proyectos!$AQ543="","",Portafolio_Proyectos!$B543),"")</f>
        <v/>
      </c>
      <c r="F1629" s="5" t="str">
        <f>IFERROR(IF(Portafolio_Proyectos!$AQ543="","",Portafolio_Proyectos!$D543),"")</f>
        <v/>
      </c>
      <c r="G1629" s="5" t="str">
        <f>IFERROR(IF(Portafolio_Proyectos!$AQ543="","",Portafolio_Proyectos!$A543),"")</f>
        <v/>
      </c>
      <c r="H1629" s="5" t="str">
        <f>IFERROR(IF(Portafolio_Proyectos!$AQ543="","",Portafolio_Proyectos!$E543),"")</f>
        <v/>
      </c>
    </row>
    <row r="1630" spans="1:8" x14ac:dyDescent="0.35">
      <c r="A1630" s="5" t="str">
        <f>IFERROR(IF(Portafolio_Proyectos!$AR543="","","CAP-"&amp;ROW()-1),"")</f>
        <v/>
      </c>
      <c r="B1630" s="5" t="str">
        <f>IFERROR(IF(Portafolio_Proyectos!$AR543="","",Portafolio_Proyectos!$AR543),"")</f>
        <v/>
      </c>
      <c r="C1630" s="5" t="str">
        <f>IFERROR(IF(Portafolio_Proyectos!$AR543="","","Distintiva"),"")</f>
        <v/>
      </c>
      <c r="D1630" s="5" t="str">
        <f>IFERROR(IF(Portafolio_Proyectos!$AR543="","",Portafolio_Proyectos!$C543),"")</f>
        <v/>
      </c>
      <c r="E1630" s="5" t="str">
        <f>IFERROR(IF(Portafolio_Proyectos!$AR543="","",Portafolio_Proyectos!$B543),"")</f>
        <v/>
      </c>
      <c r="F1630" s="5" t="str">
        <f>IFERROR(IF(Portafolio_Proyectos!$AR543="","",Portafolio_Proyectos!$D543),"")</f>
        <v/>
      </c>
      <c r="G1630" s="5" t="str">
        <f>IFERROR(IF(Portafolio_Proyectos!$AR543="","",Portafolio_Proyectos!$A543),"")</f>
        <v/>
      </c>
      <c r="H1630" s="5" t="str">
        <f>IFERROR(IF(Portafolio_Proyectos!$AR543="","",Portafolio_Proyectos!$E543),"")</f>
        <v/>
      </c>
    </row>
    <row r="1631" spans="1:8" x14ac:dyDescent="0.35">
      <c r="A1631" s="5" t="str">
        <f>IFERROR(IF(Portafolio_Proyectos!$AP544="","","CAP-"&amp;ROW()-1),"")</f>
        <v/>
      </c>
      <c r="B1631" s="5" t="str">
        <f>IFERROR(IF(Portafolio_Proyectos!$AP544="","",Portafolio_Proyectos!$AP544),"")</f>
        <v/>
      </c>
      <c r="C1631" s="5" t="str">
        <f>IFERROR(IF(Portafolio_Proyectos!$AP544="","","Emergente"),"")</f>
        <v/>
      </c>
      <c r="D1631" s="5" t="str">
        <f>IFERROR(IF(Portafolio_Proyectos!$AP544="","",Portafolio_Proyectos!$C544),"")</f>
        <v/>
      </c>
      <c r="E1631" s="5" t="str">
        <f>IFERROR(IF(Portafolio_Proyectos!$AP544="","",Portafolio_Proyectos!$B544),"")</f>
        <v/>
      </c>
      <c r="F1631" s="5" t="str">
        <f>IFERROR(IF(Portafolio_Proyectos!$AP544="","",Portafolio_Proyectos!$D544),"")</f>
        <v/>
      </c>
      <c r="G1631" s="5" t="str">
        <f>IFERROR(IF(Portafolio_Proyectos!$AP544="","",Portafolio_Proyectos!$A544),"")</f>
        <v/>
      </c>
      <c r="H1631" s="5" t="str">
        <f>IFERROR(IF(Portafolio_Proyectos!$AP544="","",Portafolio_Proyectos!$E544),"")</f>
        <v/>
      </c>
    </row>
    <row r="1632" spans="1:8" x14ac:dyDescent="0.35">
      <c r="A1632" s="5" t="str">
        <f>IFERROR(IF(Portafolio_Proyectos!$AQ544="","","CAP-"&amp;ROW()-1),"")</f>
        <v/>
      </c>
      <c r="B1632" s="5" t="str">
        <f>IFERROR(IF(Portafolio_Proyectos!$AQ544="","",Portafolio_Proyectos!$AQ544),"")</f>
        <v/>
      </c>
      <c r="C1632" s="5" t="str">
        <f>IFERROR(IF(Portafolio_Proyectos!$AQ544="","","Consolidada"),"")</f>
        <v/>
      </c>
      <c r="D1632" s="5" t="str">
        <f>IFERROR(IF(Portafolio_Proyectos!$AQ544="","",Portafolio_Proyectos!$C544),"")</f>
        <v/>
      </c>
      <c r="E1632" s="5" t="str">
        <f>IFERROR(IF(Portafolio_Proyectos!$AQ544="","",Portafolio_Proyectos!$B544),"")</f>
        <v/>
      </c>
      <c r="F1632" s="5" t="str">
        <f>IFERROR(IF(Portafolio_Proyectos!$AQ544="","",Portafolio_Proyectos!$D544),"")</f>
        <v/>
      </c>
      <c r="G1632" s="5" t="str">
        <f>IFERROR(IF(Portafolio_Proyectos!$AQ544="","",Portafolio_Proyectos!$A544),"")</f>
        <v/>
      </c>
      <c r="H1632" s="5" t="str">
        <f>IFERROR(IF(Portafolio_Proyectos!$AQ544="","",Portafolio_Proyectos!$E544),"")</f>
        <v/>
      </c>
    </row>
    <row r="1633" spans="1:8" x14ac:dyDescent="0.35">
      <c r="A1633" s="5" t="str">
        <f>IFERROR(IF(Portafolio_Proyectos!$AR544="","","CAP-"&amp;ROW()-1),"")</f>
        <v/>
      </c>
      <c r="B1633" s="5" t="str">
        <f>IFERROR(IF(Portafolio_Proyectos!$AR544="","",Portafolio_Proyectos!$AR544),"")</f>
        <v/>
      </c>
      <c r="C1633" s="5" t="str">
        <f>IFERROR(IF(Portafolio_Proyectos!$AR544="","","Distintiva"),"")</f>
        <v/>
      </c>
      <c r="D1633" s="5" t="str">
        <f>IFERROR(IF(Portafolio_Proyectos!$AR544="","",Portafolio_Proyectos!$C544),"")</f>
        <v/>
      </c>
      <c r="E1633" s="5" t="str">
        <f>IFERROR(IF(Portafolio_Proyectos!$AR544="","",Portafolio_Proyectos!$B544),"")</f>
        <v/>
      </c>
      <c r="F1633" s="5" t="str">
        <f>IFERROR(IF(Portafolio_Proyectos!$AR544="","",Portafolio_Proyectos!$D544),"")</f>
        <v/>
      </c>
      <c r="G1633" s="5" t="str">
        <f>IFERROR(IF(Portafolio_Proyectos!$AR544="","",Portafolio_Proyectos!$A544),"")</f>
        <v/>
      </c>
      <c r="H1633" s="5" t="str">
        <f>IFERROR(IF(Portafolio_Proyectos!$AR544="","",Portafolio_Proyectos!$E544),"")</f>
        <v/>
      </c>
    </row>
    <row r="1634" spans="1:8" x14ac:dyDescent="0.35">
      <c r="A1634" s="5" t="str">
        <f>IFERROR(IF(Portafolio_Proyectos!$AP545="","","CAP-"&amp;ROW()-1),"")</f>
        <v/>
      </c>
      <c r="B1634" s="5" t="str">
        <f>IFERROR(IF(Portafolio_Proyectos!$AP545="","",Portafolio_Proyectos!$AP545),"")</f>
        <v/>
      </c>
      <c r="C1634" s="5" t="str">
        <f>IFERROR(IF(Portafolio_Proyectos!$AP545="","","Emergente"),"")</f>
        <v/>
      </c>
      <c r="D1634" s="5" t="str">
        <f>IFERROR(IF(Portafolio_Proyectos!$AP545="","",Portafolio_Proyectos!$C545),"")</f>
        <v/>
      </c>
      <c r="E1634" s="5" t="str">
        <f>IFERROR(IF(Portafolio_Proyectos!$AP545="","",Portafolio_Proyectos!$B545),"")</f>
        <v/>
      </c>
      <c r="F1634" s="5" t="str">
        <f>IFERROR(IF(Portafolio_Proyectos!$AP545="","",Portafolio_Proyectos!$D545),"")</f>
        <v/>
      </c>
      <c r="G1634" s="5" t="str">
        <f>IFERROR(IF(Portafolio_Proyectos!$AP545="","",Portafolio_Proyectos!$A545),"")</f>
        <v/>
      </c>
      <c r="H1634" s="5" t="str">
        <f>IFERROR(IF(Portafolio_Proyectos!$AP545="","",Portafolio_Proyectos!$E545),"")</f>
        <v/>
      </c>
    </row>
    <row r="1635" spans="1:8" x14ac:dyDescent="0.35">
      <c r="A1635" s="5" t="str">
        <f>IFERROR(IF(Portafolio_Proyectos!$AQ545="","","CAP-"&amp;ROW()-1),"")</f>
        <v/>
      </c>
      <c r="B1635" s="5" t="str">
        <f>IFERROR(IF(Portafolio_Proyectos!$AQ545="","",Portafolio_Proyectos!$AQ545),"")</f>
        <v/>
      </c>
      <c r="C1635" s="5" t="str">
        <f>IFERROR(IF(Portafolio_Proyectos!$AQ545="","","Consolidada"),"")</f>
        <v/>
      </c>
      <c r="D1635" s="5" t="str">
        <f>IFERROR(IF(Portafolio_Proyectos!$AQ545="","",Portafolio_Proyectos!$C545),"")</f>
        <v/>
      </c>
      <c r="E1635" s="5" t="str">
        <f>IFERROR(IF(Portafolio_Proyectos!$AQ545="","",Portafolio_Proyectos!$B545),"")</f>
        <v/>
      </c>
      <c r="F1635" s="5" t="str">
        <f>IFERROR(IF(Portafolio_Proyectos!$AQ545="","",Portafolio_Proyectos!$D545),"")</f>
        <v/>
      </c>
      <c r="G1635" s="5" t="str">
        <f>IFERROR(IF(Portafolio_Proyectos!$AQ545="","",Portafolio_Proyectos!$A545),"")</f>
        <v/>
      </c>
      <c r="H1635" s="5" t="str">
        <f>IFERROR(IF(Portafolio_Proyectos!$AQ545="","",Portafolio_Proyectos!$E545),"")</f>
        <v/>
      </c>
    </row>
    <row r="1636" spans="1:8" x14ac:dyDescent="0.35">
      <c r="A1636" s="5" t="str">
        <f>IFERROR(IF(Portafolio_Proyectos!$AR545="","","CAP-"&amp;ROW()-1),"")</f>
        <v/>
      </c>
      <c r="B1636" s="5" t="str">
        <f>IFERROR(IF(Portafolio_Proyectos!$AR545="","",Portafolio_Proyectos!$AR545),"")</f>
        <v/>
      </c>
      <c r="C1636" s="5" t="str">
        <f>IFERROR(IF(Portafolio_Proyectos!$AR545="","","Distintiva"),"")</f>
        <v/>
      </c>
      <c r="D1636" s="5" t="str">
        <f>IFERROR(IF(Portafolio_Proyectos!$AR545="","",Portafolio_Proyectos!$C545),"")</f>
        <v/>
      </c>
      <c r="E1636" s="5" t="str">
        <f>IFERROR(IF(Portafolio_Proyectos!$AR545="","",Portafolio_Proyectos!$B545),"")</f>
        <v/>
      </c>
      <c r="F1636" s="5" t="str">
        <f>IFERROR(IF(Portafolio_Proyectos!$AR545="","",Portafolio_Proyectos!$D545),"")</f>
        <v/>
      </c>
      <c r="G1636" s="5" t="str">
        <f>IFERROR(IF(Portafolio_Proyectos!$AR545="","",Portafolio_Proyectos!$A545),"")</f>
        <v/>
      </c>
      <c r="H1636" s="5" t="str">
        <f>IFERROR(IF(Portafolio_Proyectos!$AR545="","",Portafolio_Proyectos!$E545),"")</f>
        <v/>
      </c>
    </row>
    <row r="1637" spans="1:8" x14ac:dyDescent="0.35">
      <c r="A1637" s="5" t="str">
        <f>IFERROR(IF(Portafolio_Proyectos!$AP546="","","CAP-"&amp;ROW()-1),"")</f>
        <v/>
      </c>
      <c r="B1637" s="5" t="str">
        <f>IFERROR(IF(Portafolio_Proyectos!$AP546="","",Portafolio_Proyectos!$AP546),"")</f>
        <v/>
      </c>
      <c r="C1637" s="5" t="str">
        <f>IFERROR(IF(Portafolio_Proyectos!$AP546="","","Emergente"),"")</f>
        <v/>
      </c>
      <c r="D1637" s="5" t="str">
        <f>IFERROR(IF(Portafolio_Proyectos!$AP546="","",Portafolio_Proyectos!$C546),"")</f>
        <v/>
      </c>
      <c r="E1637" s="5" t="str">
        <f>IFERROR(IF(Portafolio_Proyectos!$AP546="","",Portafolio_Proyectos!$B546),"")</f>
        <v/>
      </c>
      <c r="F1637" s="5" t="str">
        <f>IFERROR(IF(Portafolio_Proyectos!$AP546="","",Portafolio_Proyectos!$D546),"")</f>
        <v/>
      </c>
      <c r="G1637" s="5" t="str">
        <f>IFERROR(IF(Portafolio_Proyectos!$AP546="","",Portafolio_Proyectos!$A546),"")</f>
        <v/>
      </c>
      <c r="H1637" s="5" t="str">
        <f>IFERROR(IF(Portafolio_Proyectos!$AP546="","",Portafolio_Proyectos!$E546),"")</f>
        <v/>
      </c>
    </row>
    <row r="1638" spans="1:8" x14ac:dyDescent="0.35">
      <c r="A1638" s="5" t="str">
        <f>IFERROR(IF(Portafolio_Proyectos!$AQ546="","","CAP-"&amp;ROW()-1),"")</f>
        <v/>
      </c>
      <c r="B1638" s="5" t="str">
        <f>IFERROR(IF(Portafolio_Proyectos!$AQ546="","",Portafolio_Proyectos!$AQ546),"")</f>
        <v/>
      </c>
      <c r="C1638" s="5" t="str">
        <f>IFERROR(IF(Portafolio_Proyectos!$AQ546="","","Consolidada"),"")</f>
        <v/>
      </c>
      <c r="D1638" s="5" t="str">
        <f>IFERROR(IF(Portafolio_Proyectos!$AQ546="","",Portafolio_Proyectos!$C546),"")</f>
        <v/>
      </c>
      <c r="E1638" s="5" t="str">
        <f>IFERROR(IF(Portafolio_Proyectos!$AQ546="","",Portafolio_Proyectos!$B546),"")</f>
        <v/>
      </c>
      <c r="F1638" s="5" t="str">
        <f>IFERROR(IF(Portafolio_Proyectos!$AQ546="","",Portafolio_Proyectos!$D546),"")</f>
        <v/>
      </c>
      <c r="G1638" s="5" t="str">
        <f>IFERROR(IF(Portafolio_Proyectos!$AQ546="","",Portafolio_Proyectos!$A546),"")</f>
        <v/>
      </c>
      <c r="H1638" s="5" t="str">
        <f>IFERROR(IF(Portafolio_Proyectos!$AQ546="","",Portafolio_Proyectos!$E546),"")</f>
        <v/>
      </c>
    </row>
    <row r="1639" spans="1:8" x14ac:dyDescent="0.35">
      <c r="A1639" s="5" t="str">
        <f>IFERROR(IF(Portafolio_Proyectos!$AR546="","","CAP-"&amp;ROW()-1),"")</f>
        <v/>
      </c>
      <c r="B1639" s="5" t="str">
        <f>IFERROR(IF(Portafolio_Proyectos!$AR546="","",Portafolio_Proyectos!$AR546),"")</f>
        <v/>
      </c>
      <c r="C1639" s="5" t="str">
        <f>IFERROR(IF(Portafolio_Proyectos!$AR546="","","Distintiva"),"")</f>
        <v/>
      </c>
      <c r="D1639" s="5" t="str">
        <f>IFERROR(IF(Portafolio_Proyectos!$AR546="","",Portafolio_Proyectos!$C546),"")</f>
        <v/>
      </c>
      <c r="E1639" s="5" t="str">
        <f>IFERROR(IF(Portafolio_Proyectos!$AR546="","",Portafolio_Proyectos!$B546),"")</f>
        <v/>
      </c>
      <c r="F1639" s="5" t="str">
        <f>IFERROR(IF(Portafolio_Proyectos!$AR546="","",Portafolio_Proyectos!$D546),"")</f>
        <v/>
      </c>
      <c r="G1639" s="5" t="str">
        <f>IFERROR(IF(Portafolio_Proyectos!$AR546="","",Portafolio_Proyectos!$A546),"")</f>
        <v/>
      </c>
      <c r="H1639" s="5" t="str">
        <f>IFERROR(IF(Portafolio_Proyectos!$AR546="","",Portafolio_Proyectos!$E546),"")</f>
        <v/>
      </c>
    </row>
    <row r="1640" spans="1:8" x14ac:dyDescent="0.35">
      <c r="A1640" s="5" t="str">
        <f>IFERROR(IF(Portafolio_Proyectos!$AP547="","","CAP-"&amp;ROW()-1),"")</f>
        <v/>
      </c>
      <c r="B1640" s="5" t="str">
        <f>IFERROR(IF(Portafolio_Proyectos!$AP547="","",Portafolio_Proyectos!$AP547),"")</f>
        <v/>
      </c>
      <c r="C1640" s="5" t="str">
        <f>IFERROR(IF(Portafolio_Proyectos!$AP547="","","Emergente"),"")</f>
        <v/>
      </c>
      <c r="D1640" s="5" t="str">
        <f>IFERROR(IF(Portafolio_Proyectos!$AP547="","",Portafolio_Proyectos!$C547),"")</f>
        <v/>
      </c>
      <c r="E1640" s="5" t="str">
        <f>IFERROR(IF(Portafolio_Proyectos!$AP547="","",Portafolio_Proyectos!$B547),"")</f>
        <v/>
      </c>
      <c r="F1640" s="5" t="str">
        <f>IFERROR(IF(Portafolio_Proyectos!$AP547="","",Portafolio_Proyectos!$D547),"")</f>
        <v/>
      </c>
      <c r="G1640" s="5" t="str">
        <f>IFERROR(IF(Portafolio_Proyectos!$AP547="","",Portafolio_Proyectos!$A547),"")</f>
        <v/>
      </c>
      <c r="H1640" s="5" t="str">
        <f>IFERROR(IF(Portafolio_Proyectos!$AP547="","",Portafolio_Proyectos!$E547),"")</f>
        <v/>
      </c>
    </row>
    <row r="1641" spans="1:8" x14ac:dyDescent="0.35">
      <c r="A1641" s="5" t="str">
        <f>IFERROR(IF(Portafolio_Proyectos!$AQ547="","","CAP-"&amp;ROW()-1),"")</f>
        <v/>
      </c>
      <c r="B1641" s="5" t="str">
        <f>IFERROR(IF(Portafolio_Proyectos!$AQ547="","",Portafolio_Proyectos!$AQ547),"")</f>
        <v/>
      </c>
      <c r="C1641" s="5" t="str">
        <f>IFERROR(IF(Portafolio_Proyectos!$AQ547="","","Consolidada"),"")</f>
        <v/>
      </c>
      <c r="D1641" s="5" t="str">
        <f>IFERROR(IF(Portafolio_Proyectos!$AQ547="","",Portafolio_Proyectos!$C547),"")</f>
        <v/>
      </c>
      <c r="E1641" s="5" t="str">
        <f>IFERROR(IF(Portafolio_Proyectos!$AQ547="","",Portafolio_Proyectos!$B547),"")</f>
        <v/>
      </c>
      <c r="F1641" s="5" t="str">
        <f>IFERROR(IF(Portafolio_Proyectos!$AQ547="","",Portafolio_Proyectos!$D547),"")</f>
        <v/>
      </c>
      <c r="G1641" s="5" t="str">
        <f>IFERROR(IF(Portafolio_Proyectos!$AQ547="","",Portafolio_Proyectos!$A547),"")</f>
        <v/>
      </c>
      <c r="H1641" s="5" t="str">
        <f>IFERROR(IF(Portafolio_Proyectos!$AQ547="","",Portafolio_Proyectos!$E547),"")</f>
        <v/>
      </c>
    </row>
    <row r="1642" spans="1:8" x14ac:dyDescent="0.35">
      <c r="A1642" s="5" t="str">
        <f>IFERROR(IF(Portafolio_Proyectos!$AR547="","","CAP-"&amp;ROW()-1),"")</f>
        <v/>
      </c>
      <c r="B1642" s="5" t="str">
        <f>IFERROR(IF(Portafolio_Proyectos!$AR547="","",Portafolio_Proyectos!$AR547),"")</f>
        <v/>
      </c>
      <c r="C1642" s="5" t="str">
        <f>IFERROR(IF(Portafolio_Proyectos!$AR547="","","Distintiva"),"")</f>
        <v/>
      </c>
      <c r="D1642" s="5" t="str">
        <f>IFERROR(IF(Portafolio_Proyectos!$AR547="","",Portafolio_Proyectos!$C547),"")</f>
        <v/>
      </c>
      <c r="E1642" s="5" t="str">
        <f>IFERROR(IF(Portafolio_Proyectos!$AR547="","",Portafolio_Proyectos!$B547),"")</f>
        <v/>
      </c>
      <c r="F1642" s="5" t="str">
        <f>IFERROR(IF(Portafolio_Proyectos!$AR547="","",Portafolio_Proyectos!$D547),"")</f>
        <v/>
      </c>
      <c r="G1642" s="5" t="str">
        <f>IFERROR(IF(Portafolio_Proyectos!$AR547="","",Portafolio_Proyectos!$A547),"")</f>
        <v/>
      </c>
      <c r="H1642" s="5" t="str">
        <f>IFERROR(IF(Portafolio_Proyectos!$AR547="","",Portafolio_Proyectos!$E547),"")</f>
        <v/>
      </c>
    </row>
    <row r="1643" spans="1:8" x14ac:dyDescent="0.35">
      <c r="A1643" s="5" t="str">
        <f>IFERROR(IF(Portafolio_Proyectos!$AP548="","","CAP-"&amp;ROW()-1),"")</f>
        <v/>
      </c>
      <c r="B1643" s="5" t="str">
        <f>IFERROR(IF(Portafolio_Proyectos!$AP548="","",Portafolio_Proyectos!$AP548),"")</f>
        <v/>
      </c>
      <c r="C1643" s="5" t="str">
        <f>IFERROR(IF(Portafolio_Proyectos!$AP548="","","Emergente"),"")</f>
        <v/>
      </c>
      <c r="D1643" s="5" t="str">
        <f>IFERROR(IF(Portafolio_Proyectos!$AP548="","",Portafolio_Proyectos!$C548),"")</f>
        <v/>
      </c>
      <c r="E1643" s="5" t="str">
        <f>IFERROR(IF(Portafolio_Proyectos!$AP548="","",Portafolio_Proyectos!$B548),"")</f>
        <v/>
      </c>
      <c r="F1643" s="5" t="str">
        <f>IFERROR(IF(Portafolio_Proyectos!$AP548="","",Portafolio_Proyectos!$D548),"")</f>
        <v/>
      </c>
      <c r="G1643" s="5" t="str">
        <f>IFERROR(IF(Portafolio_Proyectos!$AP548="","",Portafolio_Proyectos!$A548),"")</f>
        <v/>
      </c>
      <c r="H1643" s="5" t="str">
        <f>IFERROR(IF(Portafolio_Proyectos!$AP548="","",Portafolio_Proyectos!$E548),"")</f>
        <v/>
      </c>
    </row>
    <row r="1644" spans="1:8" x14ac:dyDescent="0.35">
      <c r="A1644" s="5" t="str">
        <f>IFERROR(IF(Portafolio_Proyectos!$AQ548="","","CAP-"&amp;ROW()-1),"")</f>
        <v/>
      </c>
      <c r="B1644" s="5" t="str">
        <f>IFERROR(IF(Portafolio_Proyectos!$AQ548="","",Portafolio_Proyectos!$AQ548),"")</f>
        <v/>
      </c>
      <c r="C1644" s="5" t="str">
        <f>IFERROR(IF(Portafolio_Proyectos!$AQ548="","","Consolidada"),"")</f>
        <v/>
      </c>
      <c r="D1644" s="5" t="str">
        <f>IFERROR(IF(Portafolio_Proyectos!$AQ548="","",Portafolio_Proyectos!$C548),"")</f>
        <v/>
      </c>
      <c r="E1644" s="5" t="str">
        <f>IFERROR(IF(Portafolio_Proyectos!$AQ548="","",Portafolio_Proyectos!$B548),"")</f>
        <v/>
      </c>
      <c r="F1644" s="5" t="str">
        <f>IFERROR(IF(Portafolio_Proyectos!$AQ548="","",Portafolio_Proyectos!$D548),"")</f>
        <v/>
      </c>
      <c r="G1644" s="5" t="str">
        <f>IFERROR(IF(Portafolio_Proyectos!$AQ548="","",Portafolio_Proyectos!$A548),"")</f>
        <v/>
      </c>
      <c r="H1644" s="5" t="str">
        <f>IFERROR(IF(Portafolio_Proyectos!$AQ548="","",Portafolio_Proyectos!$E548),"")</f>
        <v/>
      </c>
    </row>
    <row r="1645" spans="1:8" x14ac:dyDescent="0.35">
      <c r="A1645" s="5" t="str">
        <f>IFERROR(IF(Portafolio_Proyectos!$AR548="","","CAP-"&amp;ROW()-1),"")</f>
        <v/>
      </c>
      <c r="B1645" s="5" t="str">
        <f>IFERROR(IF(Portafolio_Proyectos!$AR548="","",Portafolio_Proyectos!$AR548),"")</f>
        <v/>
      </c>
      <c r="C1645" s="5" t="str">
        <f>IFERROR(IF(Portafolio_Proyectos!$AR548="","","Distintiva"),"")</f>
        <v/>
      </c>
      <c r="D1645" s="5" t="str">
        <f>IFERROR(IF(Portafolio_Proyectos!$AR548="","",Portafolio_Proyectos!$C548),"")</f>
        <v/>
      </c>
      <c r="E1645" s="5" t="str">
        <f>IFERROR(IF(Portafolio_Proyectos!$AR548="","",Portafolio_Proyectos!$B548),"")</f>
        <v/>
      </c>
      <c r="F1645" s="5" t="str">
        <f>IFERROR(IF(Portafolio_Proyectos!$AR548="","",Portafolio_Proyectos!$D548),"")</f>
        <v/>
      </c>
      <c r="G1645" s="5" t="str">
        <f>IFERROR(IF(Portafolio_Proyectos!$AR548="","",Portafolio_Proyectos!$A548),"")</f>
        <v/>
      </c>
      <c r="H1645" s="5" t="str">
        <f>IFERROR(IF(Portafolio_Proyectos!$AR548="","",Portafolio_Proyectos!$E548),"")</f>
        <v/>
      </c>
    </row>
    <row r="1646" spans="1:8" x14ac:dyDescent="0.35">
      <c r="A1646" s="5" t="str">
        <f>IFERROR(IF(Portafolio_Proyectos!$AP549="","","CAP-"&amp;ROW()-1),"")</f>
        <v/>
      </c>
      <c r="B1646" s="5" t="str">
        <f>IFERROR(IF(Portafolio_Proyectos!$AP549="","",Portafolio_Proyectos!$AP549),"")</f>
        <v/>
      </c>
      <c r="C1646" s="5" t="str">
        <f>IFERROR(IF(Portafolio_Proyectos!$AP549="","","Emergente"),"")</f>
        <v/>
      </c>
      <c r="D1646" s="5" t="str">
        <f>IFERROR(IF(Portafolio_Proyectos!$AP549="","",Portafolio_Proyectos!$C549),"")</f>
        <v/>
      </c>
      <c r="E1646" s="5" t="str">
        <f>IFERROR(IF(Portafolio_Proyectos!$AP549="","",Portafolio_Proyectos!$B549),"")</f>
        <v/>
      </c>
      <c r="F1646" s="5" t="str">
        <f>IFERROR(IF(Portafolio_Proyectos!$AP549="","",Portafolio_Proyectos!$D549),"")</f>
        <v/>
      </c>
      <c r="G1646" s="5" t="str">
        <f>IFERROR(IF(Portafolio_Proyectos!$AP549="","",Portafolio_Proyectos!$A549),"")</f>
        <v/>
      </c>
      <c r="H1646" s="5" t="str">
        <f>IFERROR(IF(Portafolio_Proyectos!$AP549="","",Portafolio_Proyectos!$E549),"")</f>
        <v/>
      </c>
    </row>
    <row r="1647" spans="1:8" x14ac:dyDescent="0.35">
      <c r="A1647" s="5" t="str">
        <f>IFERROR(IF(Portafolio_Proyectos!$AQ549="","","CAP-"&amp;ROW()-1),"")</f>
        <v/>
      </c>
      <c r="B1647" s="5" t="str">
        <f>IFERROR(IF(Portafolio_Proyectos!$AQ549="","",Portafolio_Proyectos!$AQ549),"")</f>
        <v/>
      </c>
      <c r="C1647" s="5" t="str">
        <f>IFERROR(IF(Portafolio_Proyectos!$AQ549="","","Consolidada"),"")</f>
        <v/>
      </c>
      <c r="D1647" s="5" t="str">
        <f>IFERROR(IF(Portafolio_Proyectos!$AQ549="","",Portafolio_Proyectos!$C549),"")</f>
        <v/>
      </c>
      <c r="E1647" s="5" t="str">
        <f>IFERROR(IF(Portafolio_Proyectos!$AQ549="","",Portafolio_Proyectos!$B549),"")</f>
        <v/>
      </c>
      <c r="F1647" s="5" t="str">
        <f>IFERROR(IF(Portafolio_Proyectos!$AQ549="","",Portafolio_Proyectos!$D549),"")</f>
        <v/>
      </c>
      <c r="G1647" s="5" t="str">
        <f>IFERROR(IF(Portafolio_Proyectos!$AQ549="","",Portafolio_Proyectos!$A549),"")</f>
        <v/>
      </c>
      <c r="H1647" s="5" t="str">
        <f>IFERROR(IF(Portafolio_Proyectos!$AQ549="","",Portafolio_Proyectos!$E549),"")</f>
        <v/>
      </c>
    </row>
    <row r="1648" spans="1:8" x14ac:dyDescent="0.35">
      <c r="A1648" s="5" t="str">
        <f>IFERROR(IF(Portafolio_Proyectos!$AR549="","","CAP-"&amp;ROW()-1),"")</f>
        <v/>
      </c>
      <c r="B1648" s="5" t="str">
        <f>IFERROR(IF(Portafolio_Proyectos!$AR549="","",Portafolio_Proyectos!$AR549),"")</f>
        <v/>
      </c>
      <c r="C1648" s="5" t="str">
        <f>IFERROR(IF(Portafolio_Proyectos!$AR549="","","Distintiva"),"")</f>
        <v/>
      </c>
      <c r="D1648" s="5" t="str">
        <f>IFERROR(IF(Portafolio_Proyectos!$AR549="","",Portafolio_Proyectos!$C549),"")</f>
        <v/>
      </c>
      <c r="E1648" s="5" t="str">
        <f>IFERROR(IF(Portafolio_Proyectos!$AR549="","",Portafolio_Proyectos!$B549),"")</f>
        <v/>
      </c>
      <c r="F1648" s="5" t="str">
        <f>IFERROR(IF(Portafolio_Proyectos!$AR549="","",Portafolio_Proyectos!$D549),"")</f>
        <v/>
      </c>
      <c r="G1648" s="5" t="str">
        <f>IFERROR(IF(Portafolio_Proyectos!$AR549="","",Portafolio_Proyectos!$A549),"")</f>
        <v/>
      </c>
      <c r="H1648" s="5" t="str">
        <f>IFERROR(IF(Portafolio_Proyectos!$AR549="","",Portafolio_Proyectos!$E549),"")</f>
        <v/>
      </c>
    </row>
    <row r="1649" spans="1:8" x14ac:dyDescent="0.35">
      <c r="A1649" s="5" t="str">
        <f>IFERROR(IF(Portafolio_Proyectos!$AP550="","","CAP-"&amp;ROW()-1),"")</f>
        <v/>
      </c>
      <c r="B1649" s="5" t="str">
        <f>IFERROR(IF(Portafolio_Proyectos!$AP550="","",Portafolio_Proyectos!$AP550),"")</f>
        <v/>
      </c>
      <c r="C1649" s="5" t="str">
        <f>IFERROR(IF(Portafolio_Proyectos!$AP550="","","Emergente"),"")</f>
        <v/>
      </c>
      <c r="D1649" s="5" t="str">
        <f>IFERROR(IF(Portafolio_Proyectos!$AP550="","",Portafolio_Proyectos!$C550),"")</f>
        <v/>
      </c>
      <c r="E1649" s="5" t="str">
        <f>IFERROR(IF(Portafolio_Proyectos!$AP550="","",Portafolio_Proyectos!$B550),"")</f>
        <v/>
      </c>
      <c r="F1649" s="5" t="str">
        <f>IFERROR(IF(Portafolio_Proyectos!$AP550="","",Portafolio_Proyectos!$D550),"")</f>
        <v/>
      </c>
      <c r="G1649" s="5" t="str">
        <f>IFERROR(IF(Portafolio_Proyectos!$AP550="","",Portafolio_Proyectos!$A550),"")</f>
        <v/>
      </c>
      <c r="H1649" s="5" t="str">
        <f>IFERROR(IF(Portafolio_Proyectos!$AP550="","",Portafolio_Proyectos!$E550),"")</f>
        <v/>
      </c>
    </row>
    <row r="1650" spans="1:8" x14ac:dyDescent="0.35">
      <c r="A1650" s="5" t="str">
        <f>IFERROR(IF(Portafolio_Proyectos!$AQ550="","","CAP-"&amp;ROW()-1),"")</f>
        <v/>
      </c>
      <c r="B1650" s="5" t="str">
        <f>IFERROR(IF(Portafolio_Proyectos!$AQ550="","",Portafolio_Proyectos!$AQ550),"")</f>
        <v/>
      </c>
      <c r="C1650" s="5" t="str">
        <f>IFERROR(IF(Portafolio_Proyectos!$AQ550="","","Consolidada"),"")</f>
        <v/>
      </c>
      <c r="D1650" s="5" t="str">
        <f>IFERROR(IF(Portafolio_Proyectos!$AQ550="","",Portafolio_Proyectos!$C550),"")</f>
        <v/>
      </c>
      <c r="E1650" s="5" t="str">
        <f>IFERROR(IF(Portafolio_Proyectos!$AQ550="","",Portafolio_Proyectos!$B550),"")</f>
        <v/>
      </c>
      <c r="F1650" s="5" t="str">
        <f>IFERROR(IF(Portafolio_Proyectos!$AQ550="","",Portafolio_Proyectos!$D550),"")</f>
        <v/>
      </c>
      <c r="G1650" s="5" t="str">
        <f>IFERROR(IF(Portafolio_Proyectos!$AQ550="","",Portafolio_Proyectos!$A550),"")</f>
        <v/>
      </c>
      <c r="H1650" s="5" t="str">
        <f>IFERROR(IF(Portafolio_Proyectos!$AQ550="","",Portafolio_Proyectos!$E550),"")</f>
        <v/>
      </c>
    </row>
    <row r="1651" spans="1:8" x14ac:dyDescent="0.35">
      <c r="A1651" s="5" t="str">
        <f>IFERROR(IF(Portafolio_Proyectos!$AR550="","","CAP-"&amp;ROW()-1),"")</f>
        <v/>
      </c>
      <c r="B1651" s="5" t="str">
        <f>IFERROR(IF(Portafolio_Proyectos!$AR550="","",Portafolio_Proyectos!$AR550),"")</f>
        <v/>
      </c>
      <c r="C1651" s="5" t="str">
        <f>IFERROR(IF(Portafolio_Proyectos!$AR550="","","Distintiva"),"")</f>
        <v/>
      </c>
      <c r="D1651" s="5" t="str">
        <f>IFERROR(IF(Portafolio_Proyectos!$AR550="","",Portafolio_Proyectos!$C550),"")</f>
        <v/>
      </c>
      <c r="E1651" s="5" t="str">
        <f>IFERROR(IF(Portafolio_Proyectos!$AR550="","",Portafolio_Proyectos!$B550),"")</f>
        <v/>
      </c>
      <c r="F1651" s="5" t="str">
        <f>IFERROR(IF(Portafolio_Proyectos!$AR550="","",Portafolio_Proyectos!$D550),"")</f>
        <v/>
      </c>
      <c r="G1651" s="5" t="str">
        <f>IFERROR(IF(Portafolio_Proyectos!$AR550="","",Portafolio_Proyectos!$A550),"")</f>
        <v/>
      </c>
      <c r="H1651" s="5" t="str">
        <f>IFERROR(IF(Portafolio_Proyectos!$AR550="","",Portafolio_Proyectos!$E550),"")</f>
        <v/>
      </c>
    </row>
    <row r="1652" spans="1:8" x14ac:dyDescent="0.35">
      <c r="A1652" s="5" t="str">
        <f>IFERROR(IF(Portafolio_Proyectos!$AP551="","","CAP-"&amp;ROW()-1),"")</f>
        <v/>
      </c>
      <c r="B1652" s="5" t="str">
        <f>IFERROR(IF(Portafolio_Proyectos!$AP551="","",Portafolio_Proyectos!$AP551),"")</f>
        <v/>
      </c>
      <c r="C1652" s="5" t="str">
        <f>IFERROR(IF(Portafolio_Proyectos!$AP551="","","Emergente"),"")</f>
        <v/>
      </c>
      <c r="D1652" s="5" t="str">
        <f>IFERROR(IF(Portafolio_Proyectos!$AP551="","",Portafolio_Proyectos!$C551),"")</f>
        <v/>
      </c>
      <c r="E1652" s="5" t="str">
        <f>IFERROR(IF(Portafolio_Proyectos!$AP551="","",Portafolio_Proyectos!$B551),"")</f>
        <v/>
      </c>
      <c r="F1652" s="5" t="str">
        <f>IFERROR(IF(Portafolio_Proyectos!$AP551="","",Portafolio_Proyectos!$D551),"")</f>
        <v/>
      </c>
      <c r="G1652" s="5" t="str">
        <f>IFERROR(IF(Portafolio_Proyectos!$AP551="","",Portafolio_Proyectos!$A551),"")</f>
        <v/>
      </c>
      <c r="H1652" s="5" t="str">
        <f>IFERROR(IF(Portafolio_Proyectos!$AP551="","",Portafolio_Proyectos!$E551),"")</f>
        <v/>
      </c>
    </row>
    <row r="1653" spans="1:8" x14ac:dyDescent="0.35">
      <c r="A1653" s="5" t="str">
        <f>IFERROR(IF(Portafolio_Proyectos!$AQ551="","","CAP-"&amp;ROW()-1),"")</f>
        <v/>
      </c>
      <c r="B1653" s="5" t="str">
        <f>IFERROR(IF(Portafolio_Proyectos!$AQ551="","",Portafolio_Proyectos!$AQ551),"")</f>
        <v/>
      </c>
      <c r="C1653" s="5" t="str">
        <f>IFERROR(IF(Portafolio_Proyectos!$AQ551="","","Consolidada"),"")</f>
        <v/>
      </c>
      <c r="D1653" s="5" t="str">
        <f>IFERROR(IF(Portafolio_Proyectos!$AQ551="","",Portafolio_Proyectos!$C551),"")</f>
        <v/>
      </c>
      <c r="E1653" s="5" t="str">
        <f>IFERROR(IF(Portafolio_Proyectos!$AQ551="","",Portafolio_Proyectos!$B551),"")</f>
        <v/>
      </c>
      <c r="F1653" s="5" t="str">
        <f>IFERROR(IF(Portafolio_Proyectos!$AQ551="","",Portafolio_Proyectos!$D551),"")</f>
        <v/>
      </c>
      <c r="G1653" s="5" t="str">
        <f>IFERROR(IF(Portafolio_Proyectos!$AQ551="","",Portafolio_Proyectos!$A551),"")</f>
        <v/>
      </c>
      <c r="H1653" s="5" t="str">
        <f>IFERROR(IF(Portafolio_Proyectos!$AQ551="","",Portafolio_Proyectos!$E551),"")</f>
        <v/>
      </c>
    </row>
    <row r="1654" spans="1:8" x14ac:dyDescent="0.35">
      <c r="A1654" s="5" t="str">
        <f>IFERROR(IF(Portafolio_Proyectos!$AR551="","","CAP-"&amp;ROW()-1),"")</f>
        <v/>
      </c>
      <c r="B1654" s="5" t="str">
        <f>IFERROR(IF(Portafolio_Proyectos!$AR551="","",Portafolio_Proyectos!$AR551),"")</f>
        <v/>
      </c>
      <c r="C1654" s="5" t="str">
        <f>IFERROR(IF(Portafolio_Proyectos!$AR551="","","Distintiva"),"")</f>
        <v/>
      </c>
      <c r="D1654" s="5" t="str">
        <f>IFERROR(IF(Portafolio_Proyectos!$AR551="","",Portafolio_Proyectos!$C551),"")</f>
        <v/>
      </c>
      <c r="E1654" s="5" t="str">
        <f>IFERROR(IF(Portafolio_Proyectos!$AR551="","",Portafolio_Proyectos!$B551),"")</f>
        <v/>
      </c>
      <c r="F1654" s="5" t="str">
        <f>IFERROR(IF(Portafolio_Proyectos!$AR551="","",Portafolio_Proyectos!$D551),"")</f>
        <v/>
      </c>
      <c r="G1654" s="5" t="str">
        <f>IFERROR(IF(Portafolio_Proyectos!$AR551="","",Portafolio_Proyectos!$A551),"")</f>
        <v/>
      </c>
      <c r="H1654" s="5" t="str">
        <f>IFERROR(IF(Portafolio_Proyectos!$AR551="","",Portafolio_Proyectos!$E551),"")</f>
        <v/>
      </c>
    </row>
    <row r="1655" spans="1:8" x14ac:dyDescent="0.35">
      <c r="A1655" s="5" t="str">
        <f>IFERROR(IF(Portafolio_Proyectos!$AP552="","","CAP-"&amp;ROW()-1),"")</f>
        <v/>
      </c>
      <c r="B1655" s="5" t="str">
        <f>IFERROR(IF(Portafolio_Proyectos!$AP552="","",Portafolio_Proyectos!$AP552),"")</f>
        <v/>
      </c>
      <c r="C1655" s="5" t="str">
        <f>IFERROR(IF(Portafolio_Proyectos!$AP552="","","Emergente"),"")</f>
        <v/>
      </c>
      <c r="D1655" s="5" t="str">
        <f>IFERROR(IF(Portafolio_Proyectos!$AP552="","",Portafolio_Proyectos!$C552),"")</f>
        <v/>
      </c>
      <c r="E1655" s="5" t="str">
        <f>IFERROR(IF(Portafolio_Proyectos!$AP552="","",Portafolio_Proyectos!$B552),"")</f>
        <v/>
      </c>
      <c r="F1655" s="5" t="str">
        <f>IFERROR(IF(Portafolio_Proyectos!$AP552="","",Portafolio_Proyectos!$D552),"")</f>
        <v/>
      </c>
      <c r="G1655" s="5" t="str">
        <f>IFERROR(IF(Portafolio_Proyectos!$AP552="","",Portafolio_Proyectos!$A552),"")</f>
        <v/>
      </c>
      <c r="H1655" s="5" t="str">
        <f>IFERROR(IF(Portafolio_Proyectos!$AP552="","",Portafolio_Proyectos!$E552),"")</f>
        <v/>
      </c>
    </row>
    <row r="1656" spans="1:8" x14ac:dyDescent="0.35">
      <c r="A1656" s="5" t="str">
        <f>IFERROR(IF(Portafolio_Proyectos!$AQ552="","","CAP-"&amp;ROW()-1),"")</f>
        <v/>
      </c>
      <c r="B1656" s="5" t="str">
        <f>IFERROR(IF(Portafolio_Proyectos!$AQ552="","",Portafolio_Proyectos!$AQ552),"")</f>
        <v/>
      </c>
      <c r="C1656" s="5" t="str">
        <f>IFERROR(IF(Portafolio_Proyectos!$AQ552="","","Consolidada"),"")</f>
        <v/>
      </c>
      <c r="D1656" s="5" t="str">
        <f>IFERROR(IF(Portafolio_Proyectos!$AQ552="","",Portafolio_Proyectos!$C552),"")</f>
        <v/>
      </c>
      <c r="E1656" s="5" t="str">
        <f>IFERROR(IF(Portafolio_Proyectos!$AQ552="","",Portafolio_Proyectos!$B552),"")</f>
        <v/>
      </c>
      <c r="F1656" s="5" t="str">
        <f>IFERROR(IF(Portafolio_Proyectos!$AQ552="","",Portafolio_Proyectos!$D552),"")</f>
        <v/>
      </c>
      <c r="G1656" s="5" t="str">
        <f>IFERROR(IF(Portafolio_Proyectos!$AQ552="","",Portafolio_Proyectos!$A552),"")</f>
        <v/>
      </c>
      <c r="H1656" s="5" t="str">
        <f>IFERROR(IF(Portafolio_Proyectos!$AQ552="","",Portafolio_Proyectos!$E552),"")</f>
        <v/>
      </c>
    </row>
    <row r="1657" spans="1:8" x14ac:dyDescent="0.35">
      <c r="A1657" s="5" t="str">
        <f>IFERROR(IF(Portafolio_Proyectos!$AR552="","","CAP-"&amp;ROW()-1),"")</f>
        <v/>
      </c>
      <c r="B1657" s="5" t="str">
        <f>IFERROR(IF(Portafolio_Proyectos!$AR552="","",Portafolio_Proyectos!$AR552),"")</f>
        <v/>
      </c>
      <c r="C1657" s="5" t="str">
        <f>IFERROR(IF(Portafolio_Proyectos!$AR552="","","Distintiva"),"")</f>
        <v/>
      </c>
      <c r="D1657" s="5" t="str">
        <f>IFERROR(IF(Portafolio_Proyectos!$AR552="","",Portafolio_Proyectos!$C552),"")</f>
        <v/>
      </c>
      <c r="E1657" s="5" t="str">
        <f>IFERROR(IF(Portafolio_Proyectos!$AR552="","",Portafolio_Proyectos!$B552),"")</f>
        <v/>
      </c>
      <c r="F1657" s="5" t="str">
        <f>IFERROR(IF(Portafolio_Proyectos!$AR552="","",Portafolio_Proyectos!$D552),"")</f>
        <v/>
      </c>
      <c r="G1657" s="5" t="str">
        <f>IFERROR(IF(Portafolio_Proyectos!$AR552="","",Portafolio_Proyectos!$A552),"")</f>
        <v/>
      </c>
      <c r="H1657" s="5" t="str">
        <f>IFERROR(IF(Portafolio_Proyectos!$AR552="","",Portafolio_Proyectos!$E552),"")</f>
        <v/>
      </c>
    </row>
    <row r="1658" spans="1:8" x14ac:dyDescent="0.35">
      <c r="A1658" s="5" t="str">
        <f>IFERROR(IF(Portafolio_Proyectos!$AP553="","","CAP-"&amp;ROW()-1),"")</f>
        <v/>
      </c>
      <c r="B1658" s="5" t="str">
        <f>IFERROR(IF(Portafolio_Proyectos!$AP553="","",Portafolio_Proyectos!$AP553),"")</f>
        <v/>
      </c>
      <c r="C1658" s="5" t="str">
        <f>IFERROR(IF(Portafolio_Proyectos!$AP553="","","Emergente"),"")</f>
        <v/>
      </c>
      <c r="D1658" s="5" t="str">
        <f>IFERROR(IF(Portafolio_Proyectos!$AP553="","",Portafolio_Proyectos!$C553),"")</f>
        <v/>
      </c>
      <c r="E1658" s="5" t="str">
        <f>IFERROR(IF(Portafolio_Proyectos!$AP553="","",Portafolio_Proyectos!$B553),"")</f>
        <v/>
      </c>
      <c r="F1658" s="5" t="str">
        <f>IFERROR(IF(Portafolio_Proyectos!$AP553="","",Portafolio_Proyectos!$D553),"")</f>
        <v/>
      </c>
      <c r="G1658" s="5" t="str">
        <f>IFERROR(IF(Portafolio_Proyectos!$AP553="","",Portafolio_Proyectos!$A553),"")</f>
        <v/>
      </c>
      <c r="H1658" s="5" t="str">
        <f>IFERROR(IF(Portafolio_Proyectos!$AP553="","",Portafolio_Proyectos!$E553),"")</f>
        <v/>
      </c>
    </row>
    <row r="1659" spans="1:8" x14ac:dyDescent="0.35">
      <c r="A1659" s="5" t="str">
        <f>IFERROR(IF(Portafolio_Proyectos!$AQ553="","","CAP-"&amp;ROW()-1),"")</f>
        <v/>
      </c>
      <c r="B1659" s="5" t="str">
        <f>IFERROR(IF(Portafolio_Proyectos!$AQ553="","",Portafolio_Proyectos!$AQ553),"")</f>
        <v/>
      </c>
      <c r="C1659" s="5" t="str">
        <f>IFERROR(IF(Portafolio_Proyectos!$AQ553="","","Consolidada"),"")</f>
        <v/>
      </c>
      <c r="D1659" s="5" t="str">
        <f>IFERROR(IF(Portafolio_Proyectos!$AQ553="","",Portafolio_Proyectos!$C553),"")</f>
        <v/>
      </c>
      <c r="E1659" s="5" t="str">
        <f>IFERROR(IF(Portafolio_Proyectos!$AQ553="","",Portafolio_Proyectos!$B553),"")</f>
        <v/>
      </c>
      <c r="F1659" s="5" t="str">
        <f>IFERROR(IF(Portafolio_Proyectos!$AQ553="","",Portafolio_Proyectos!$D553),"")</f>
        <v/>
      </c>
      <c r="G1659" s="5" t="str">
        <f>IFERROR(IF(Portafolio_Proyectos!$AQ553="","",Portafolio_Proyectos!$A553),"")</f>
        <v/>
      </c>
      <c r="H1659" s="5" t="str">
        <f>IFERROR(IF(Portafolio_Proyectos!$AQ553="","",Portafolio_Proyectos!$E553),"")</f>
        <v/>
      </c>
    </row>
    <row r="1660" spans="1:8" x14ac:dyDescent="0.35">
      <c r="A1660" s="5" t="str">
        <f>IFERROR(IF(Portafolio_Proyectos!$AR553="","","CAP-"&amp;ROW()-1),"")</f>
        <v/>
      </c>
      <c r="B1660" s="5" t="str">
        <f>IFERROR(IF(Portafolio_Proyectos!$AR553="","",Portafolio_Proyectos!$AR553),"")</f>
        <v/>
      </c>
      <c r="C1660" s="5" t="str">
        <f>IFERROR(IF(Portafolio_Proyectos!$AR553="","","Distintiva"),"")</f>
        <v/>
      </c>
      <c r="D1660" s="5" t="str">
        <f>IFERROR(IF(Portafolio_Proyectos!$AR553="","",Portafolio_Proyectos!$C553),"")</f>
        <v/>
      </c>
      <c r="E1660" s="5" t="str">
        <f>IFERROR(IF(Portafolio_Proyectos!$AR553="","",Portafolio_Proyectos!$B553),"")</f>
        <v/>
      </c>
      <c r="F1660" s="5" t="str">
        <f>IFERROR(IF(Portafolio_Proyectos!$AR553="","",Portafolio_Proyectos!$D553),"")</f>
        <v/>
      </c>
      <c r="G1660" s="5" t="str">
        <f>IFERROR(IF(Portafolio_Proyectos!$AR553="","",Portafolio_Proyectos!$A553),"")</f>
        <v/>
      </c>
      <c r="H1660" s="5" t="str">
        <f>IFERROR(IF(Portafolio_Proyectos!$AR553="","",Portafolio_Proyectos!$E553),"")</f>
        <v/>
      </c>
    </row>
    <row r="1661" spans="1:8" x14ac:dyDescent="0.35">
      <c r="A1661" s="5" t="str">
        <f>IFERROR(IF(Portafolio_Proyectos!$AP554="","","CAP-"&amp;ROW()-1),"")</f>
        <v/>
      </c>
      <c r="B1661" s="5" t="str">
        <f>IFERROR(IF(Portafolio_Proyectos!$AP554="","",Portafolio_Proyectos!$AP554),"")</f>
        <v/>
      </c>
      <c r="C1661" s="5" t="str">
        <f>IFERROR(IF(Portafolio_Proyectos!$AP554="","","Emergente"),"")</f>
        <v/>
      </c>
      <c r="D1661" s="5" t="str">
        <f>IFERROR(IF(Portafolio_Proyectos!$AP554="","",Portafolio_Proyectos!$C554),"")</f>
        <v/>
      </c>
      <c r="E1661" s="5" t="str">
        <f>IFERROR(IF(Portafolio_Proyectos!$AP554="","",Portafolio_Proyectos!$B554),"")</f>
        <v/>
      </c>
      <c r="F1661" s="5" t="str">
        <f>IFERROR(IF(Portafolio_Proyectos!$AP554="","",Portafolio_Proyectos!$D554),"")</f>
        <v/>
      </c>
      <c r="G1661" s="5" t="str">
        <f>IFERROR(IF(Portafolio_Proyectos!$AP554="","",Portafolio_Proyectos!$A554),"")</f>
        <v/>
      </c>
      <c r="H1661" s="5" t="str">
        <f>IFERROR(IF(Portafolio_Proyectos!$AP554="","",Portafolio_Proyectos!$E554),"")</f>
        <v/>
      </c>
    </row>
    <row r="1662" spans="1:8" x14ac:dyDescent="0.35">
      <c r="A1662" s="5" t="str">
        <f>IFERROR(IF(Portafolio_Proyectos!$AQ554="","","CAP-"&amp;ROW()-1),"")</f>
        <v/>
      </c>
      <c r="B1662" s="5" t="str">
        <f>IFERROR(IF(Portafolio_Proyectos!$AQ554="","",Portafolio_Proyectos!$AQ554),"")</f>
        <v/>
      </c>
      <c r="C1662" s="5" t="str">
        <f>IFERROR(IF(Portafolio_Proyectos!$AQ554="","","Consolidada"),"")</f>
        <v/>
      </c>
      <c r="D1662" s="5" t="str">
        <f>IFERROR(IF(Portafolio_Proyectos!$AQ554="","",Portafolio_Proyectos!$C554),"")</f>
        <v/>
      </c>
      <c r="E1662" s="5" t="str">
        <f>IFERROR(IF(Portafolio_Proyectos!$AQ554="","",Portafolio_Proyectos!$B554),"")</f>
        <v/>
      </c>
      <c r="F1662" s="5" t="str">
        <f>IFERROR(IF(Portafolio_Proyectos!$AQ554="","",Portafolio_Proyectos!$D554),"")</f>
        <v/>
      </c>
      <c r="G1662" s="5" t="str">
        <f>IFERROR(IF(Portafolio_Proyectos!$AQ554="","",Portafolio_Proyectos!$A554),"")</f>
        <v/>
      </c>
      <c r="H1662" s="5" t="str">
        <f>IFERROR(IF(Portafolio_Proyectos!$AQ554="","",Portafolio_Proyectos!$E554),"")</f>
        <v/>
      </c>
    </row>
    <row r="1663" spans="1:8" x14ac:dyDescent="0.35">
      <c r="A1663" s="5" t="str">
        <f>IFERROR(IF(Portafolio_Proyectos!$AR554="","","CAP-"&amp;ROW()-1),"")</f>
        <v/>
      </c>
      <c r="B1663" s="5" t="str">
        <f>IFERROR(IF(Portafolio_Proyectos!$AR554="","",Portafolio_Proyectos!$AR554),"")</f>
        <v/>
      </c>
      <c r="C1663" s="5" t="str">
        <f>IFERROR(IF(Portafolio_Proyectos!$AR554="","","Distintiva"),"")</f>
        <v/>
      </c>
      <c r="D1663" s="5" t="str">
        <f>IFERROR(IF(Portafolio_Proyectos!$AR554="","",Portafolio_Proyectos!$C554),"")</f>
        <v/>
      </c>
      <c r="E1663" s="5" t="str">
        <f>IFERROR(IF(Portafolio_Proyectos!$AR554="","",Portafolio_Proyectos!$B554),"")</f>
        <v/>
      </c>
      <c r="F1663" s="5" t="str">
        <f>IFERROR(IF(Portafolio_Proyectos!$AR554="","",Portafolio_Proyectos!$D554),"")</f>
        <v/>
      </c>
      <c r="G1663" s="5" t="str">
        <f>IFERROR(IF(Portafolio_Proyectos!$AR554="","",Portafolio_Proyectos!$A554),"")</f>
        <v/>
      </c>
      <c r="H1663" s="5" t="str">
        <f>IFERROR(IF(Portafolio_Proyectos!$AR554="","",Portafolio_Proyectos!$E554),"")</f>
        <v/>
      </c>
    </row>
    <row r="1664" spans="1:8" x14ac:dyDescent="0.35">
      <c r="A1664" s="5" t="str">
        <f>IFERROR(IF(Portafolio_Proyectos!$AP555="","","CAP-"&amp;ROW()-1),"")</f>
        <v/>
      </c>
      <c r="B1664" s="5" t="str">
        <f>IFERROR(IF(Portafolio_Proyectos!$AP555="","",Portafolio_Proyectos!$AP555),"")</f>
        <v/>
      </c>
      <c r="C1664" s="5" t="str">
        <f>IFERROR(IF(Portafolio_Proyectos!$AP555="","","Emergente"),"")</f>
        <v/>
      </c>
      <c r="D1664" s="5" t="str">
        <f>IFERROR(IF(Portafolio_Proyectos!$AP555="","",Portafolio_Proyectos!$C555),"")</f>
        <v/>
      </c>
      <c r="E1664" s="5" t="str">
        <f>IFERROR(IF(Portafolio_Proyectos!$AP555="","",Portafolio_Proyectos!$B555),"")</f>
        <v/>
      </c>
      <c r="F1664" s="5" t="str">
        <f>IFERROR(IF(Portafolio_Proyectos!$AP555="","",Portafolio_Proyectos!$D555),"")</f>
        <v/>
      </c>
      <c r="G1664" s="5" t="str">
        <f>IFERROR(IF(Portafolio_Proyectos!$AP555="","",Portafolio_Proyectos!$A555),"")</f>
        <v/>
      </c>
      <c r="H1664" s="5" t="str">
        <f>IFERROR(IF(Portafolio_Proyectos!$AP555="","",Portafolio_Proyectos!$E555),"")</f>
        <v/>
      </c>
    </row>
    <row r="1665" spans="1:8" x14ac:dyDescent="0.35">
      <c r="A1665" s="5" t="str">
        <f>IFERROR(IF(Portafolio_Proyectos!$AQ555="","","CAP-"&amp;ROW()-1),"")</f>
        <v/>
      </c>
      <c r="B1665" s="5" t="str">
        <f>IFERROR(IF(Portafolio_Proyectos!$AQ555="","",Portafolio_Proyectos!$AQ555),"")</f>
        <v/>
      </c>
      <c r="C1665" s="5" t="str">
        <f>IFERROR(IF(Portafolio_Proyectos!$AQ555="","","Consolidada"),"")</f>
        <v/>
      </c>
      <c r="D1665" s="5" t="str">
        <f>IFERROR(IF(Portafolio_Proyectos!$AQ555="","",Portafolio_Proyectos!$C555),"")</f>
        <v/>
      </c>
      <c r="E1665" s="5" t="str">
        <f>IFERROR(IF(Portafolio_Proyectos!$AQ555="","",Portafolio_Proyectos!$B555),"")</f>
        <v/>
      </c>
      <c r="F1665" s="5" t="str">
        <f>IFERROR(IF(Portafolio_Proyectos!$AQ555="","",Portafolio_Proyectos!$D555),"")</f>
        <v/>
      </c>
      <c r="G1665" s="5" t="str">
        <f>IFERROR(IF(Portafolio_Proyectos!$AQ555="","",Portafolio_Proyectos!$A555),"")</f>
        <v/>
      </c>
      <c r="H1665" s="5" t="str">
        <f>IFERROR(IF(Portafolio_Proyectos!$AQ555="","",Portafolio_Proyectos!$E555),"")</f>
        <v/>
      </c>
    </row>
    <row r="1666" spans="1:8" x14ac:dyDescent="0.35">
      <c r="A1666" s="5" t="str">
        <f>IFERROR(IF(Portafolio_Proyectos!$AR555="","","CAP-"&amp;ROW()-1),"")</f>
        <v/>
      </c>
      <c r="B1666" s="5" t="str">
        <f>IFERROR(IF(Portafolio_Proyectos!$AR555="","",Portafolio_Proyectos!$AR555),"")</f>
        <v/>
      </c>
      <c r="C1666" s="5" t="str">
        <f>IFERROR(IF(Portafolio_Proyectos!$AR555="","","Distintiva"),"")</f>
        <v/>
      </c>
      <c r="D1666" s="5" t="str">
        <f>IFERROR(IF(Portafolio_Proyectos!$AR555="","",Portafolio_Proyectos!$C555),"")</f>
        <v/>
      </c>
      <c r="E1666" s="5" t="str">
        <f>IFERROR(IF(Portafolio_Proyectos!$AR555="","",Portafolio_Proyectos!$B555),"")</f>
        <v/>
      </c>
      <c r="F1666" s="5" t="str">
        <f>IFERROR(IF(Portafolio_Proyectos!$AR555="","",Portafolio_Proyectos!$D555),"")</f>
        <v/>
      </c>
      <c r="G1666" s="5" t="str">
        <f>IFERROR(IF(Portafolio_Proyectos!$AR555="","",Portafolio_Proyectos!$A555),"")</f>
        <v/>
      </c>
      <c r="H1666" s="5" t="str">
        <f>IFERROR(IF(Portafolio_Proyectos!$AR555="","",Portafolio_Proyectos!$E555),"")</f>
        <v/>
      </c>
    </row>
    <row r="1667" spans="1:8" x14ac:dyDescent="0.35">
      <c r="A1667" s="5" t="str">
        <f>IFERROR(IF(Portafolio_Proyectos!$AP556="","","CAP-"&amp;ROW()-1),"")</f>
        <v/>
      </c>
      <c r="B1667" s="5" t="str">
        <f>IFERROR(IF(Portafolio_Proyectos!$AP556="","",Portafolio_Proyectos!$AP556),"")</f>
        <v/>
      </c>
      <c r="C1667" s="5" t="str">
        <f>IFERROR(IF(Portafolio_Proyectos!$AP556="","","Emergente"),"")</f>
        <v/>
      </c>
      <c r="D1667" s="5" t="str">
        <f>IFERROR(IF(Portafolio_Proyectos!$AP556="","",Portafolio_Proyectos!$C556),"")</f>
        <v/>
      </c>
      <c r="E1667" s="5" t="str">
        <f>IFERROR(IF(Portafolio_Proyectos!$AP556="","",Portafolio_Proyectos!$B556),"")</f>
        <v/>
      </c>
      <c r="F1667" s="5" t="str">
        <f>IFERROR(IF(Portafolio_Proyectos!$AP556="","",Portafolio_Proyectos!$D556),"")</f>
        <v/>
      </c>
      <c r="G1667" s="5" t="str">
        <f>IFERROR(IF(Portafolio_Proyectos!$AP556="","",Portafolio_Proyectos!$A556),"")</f>
        <v/>
      </c>
      <c r="H1667" s="5" t="str">
        <f>IFERROR(IF(Portafolio_Proyectos!$AP556="","",Portafolio_Proyectos!$E556),"")</f>
        <v/>
      </c>
    </row>
    <row r="1668" spans="1:8" x14ac:dyDescent="0.35">
      <c r="A1668" s="5" t="str">
        <f>IFERROR(IF(Portafolio_Proyectos!$AQ556="","","CAP-"&amp;ROW()-1),"")</f>
        <v/>
      </c>
      <c r="B1668" s="5" t="str">
        <f>IFERROR(IF(Portafolio_Proyectos!$AQ556="","",Portafolio_Proyectos!$AQ556),"")</f>
        <v/>
      </c>
      <c r="C1668" s="5" t="str">
        <f>IFERROR(IF(Portafolio_Proyectos!$AQ556="","","Consolidada"),"")</f>
        <v/>
      </c>
      <c r="D1668" s="5" t="str">
        <f>IFERROR(IF(Portafolio_Proyectos!$AQ556="","",Portafolio_Proyectos!$C556),"")</f>
        <v/>
      </c>
      <c r="E1668" s="5" t="str">
        <f>IFERROR(IF(Portafolio_Proyectos!$AQ556="","",Portafolio_Proyectos!$B556),"")</f>
        <v/>
      </c>
      <c r="F1668" s="5" t="str">
        <f>IFERROR(IF(Portafolio_Proyectos!$AQ556="","",Portafolio_Proyectos!$D556),"")</f>
        <v/>
      </c>
      <c r="G1668" s="5" t="str">
        <f>IFERROR(IF(Portafolio_Proyectos!$AQ556="","",Portafolio_Proyectos!$A556),"")</f>
        <v/>
      </c>
      <c r="H1668" s="5" t="str">
        <f>IFERROR(IF(Portafolio_Proyectos!$AQ556="","",Portafolio_Proyectos!$E556),"")</f>
        <v/>
      </c>
    </row>
    <row r="1669" spans="1:8" x14ac:dyDescent="0.35">
      <c r="A1669" s="5" t="str">
        <f>IFERROR(IF(Portafolio_Proyectos!$AR556="","","CAP-"&amp;ROW()-1),"")</f>
        <v/>
      </c>
      <c r="B1669" s="5" t="str">
        <f>IFERROR(IF(Portafolio_Proyectos!$AR556="","",Portafolio_Proyectos!$AR556),"")</f>
        <v/>
      </c>
      <c r="C1669" s="5" t="str">
        <f>IFERROR(IF(Portafolio_Proyectos!$AR556="","","Distintiva"),"")</f>
        <v/>
      </c>
      <c r="D1669" s="5" t="str">
        <f>IFERROR(IF(Portafolio_Proyectos!$AR556="","",Portafolio_Proyectos!$C556),"")</f>
        <v/>
      </c>
      <c r="E1669" s="5" t="str">
        <f>IFERROR(IF(Portafolio_Proyectos!$AR556="","",Portafolio_Proyectos!$B556),"")</f>
        <v/>
      </c>
      <c r="F1669" s="5" t="str">
        <f>IFERROR(IF(Portafolio_Proyectos!$AR556="","",Portafolio_Proyectos!$D556),"")</f>
        <v/>
      </c>
      <c r="G1669" s="5" t="str">
        <f>IFERROR(IF(Portafolio_Proyectos!$AR556="","",Portafolio_Proyectos!$A556),"")</f>
        <v/>
      </c>
      <c r="H1669" s="5" t="str">
        <f>IFERROR(IF(Portafolio_Proyectos!$AR556="","",Portafolio_Proyectos!$E556),"")</f>
        <v/>
      </c>
    </row>
    <row r="1670" spans="1:8" x14ac:dyDescent="0.35">
      <c r="A1670" s="5" t="str">
        <f>IFERROR(IF(Portafolio_Proyectos!$AP557="","","CAP-"&amp;ROW()-1),"")</f>
        <v/>
      </c>
      <c r="B1670" s="5" t="str">
        <f>IFERROR(IF(Portafolio_Proyectos!$AP557="","",Portafolio_Proyectos!$AP557),"")</f>
        <v/>
      </c>
      <c r="C1670" s="5" t="str">
        <f>IFERROR(IF(Portafolio_Proyectos!$AP557="","","Emergente"),"")</f>
        <v/>
      </c>
      <c r="D1670" s="5" t="str">
        <f>IFERROR(IF(Portafolio_Proyectos!$AP557="","",Portafolio_Proyectos!$C557),"")</f>
        <v/>
      </c>
      <c r="E1670" s="5" t="str">
        <f>IFERROR(IF(Portafolio_Proyectos!$AP557="","",Portafolio_Proyectos!$B557),"")</f>
        <v/>
      </c>
      <c r="F1670" s="5" t="str">
        <f>IFERROR(IF(Portafolio_Proyectos!$AP557="","",Portafolio_Proyectos!$D557),"")</f>
        <v/>
      </c>
      <c r="G1670" s="5" t="str">
        <f>IFERROR(IF(Portafolio_Proyectos!$AP557="","",Portafolio_Proyectos!$A557),"")</f>
        <v/>
      </c>
      <c r="H1670" s="5" t="str">
        <f>IFERROR(IF(Portafolio_Proyectos!$AP557="","",Portafolio_Proyectos!$E557),"")</f>
        <v/>
      </c>
    </row>
    <row r="1671" spans="1:8" x14ac:dyDescent="0.35">
      <c r="A1671" s="5" t="str">
        <f>IFERROR(IF(Portafolio_Proyectos!$AQ557="","","CAP-"&amp;ROW()-1),"")</f>
        <v/>
      </c>
      <c r="B1671" s="5" t="str">
        <f>IFERROR(IF(Portafolio_Proyectos!$AQ557="","",Portafolio_Proyectos!$AQ557),"")</f>
        <v/>
      </c>
      <c r="C1671" s="5" t="str">
        <f>IFERROR(IF(Portafolio_Proyectos!$AQ557="","","Consolidada"),"")</f>
        <v/>
      </c>
      <c r="D1671" s="5" t="str">
        <f>IFERROR(IF(Portafolio_Proyectos!$AQ557="","",Portafolio_Proyectos!$C557),"")</f>
        <v/>
      </c>
      <c r="E1671" s="5" t="str">
        <f>IFERROR(IF(Portafolio_Proyectos!$AQ557="","",Portafolio_Proyectos!$B557),"")</f>
        <v/>
      </c>
      <c r="F1671" s="5" t="str">
        <f>IFERROR(IF(Portafolio_Proyectos!$AQ557="","",Portafolio_Proyectos!$D557),"")</f>
        <v/>
      </c>
      <c r="G1671" s="5" t="str">
        <f>IFERROR(IF(Portafolio_Proyectos!$AQ557="","",Portafolio_Proyectos!$A557),"")</f>
        <v/>
      </c>
      <c r="H1671" s="5" t="str">
        <f>IFERROR(IF(Portafolio_Proyectos!$AQ557="","",Portafolio_Proyectos!$E557),"")</f>
        <v/>
      </c>
    </row>
    <row r="1672" spans="1:8" x14ac:dyDescent="0.35">
      <c r="A1672" s="5" t="str">
        <f>IFERROR(IF(Portafolio_Proyectos!$AR557="","","CAP-"&amp;ROW()-1),"")</f>
        <v/>
      </c>
      <c r="B1672" s="5" t="str">
        <f>IFERROR(IF(Portafolio_Proyectos!$AR557="","",Portafolio_Proyectos!$AR557),"")</f>
        <v/>
      </c>
      <c r="C1672" s="5" t="str">
        <f>IFERROR(IF(Portafolio_Proyectos!$AR557="","","Distintiva"),"")</f>
        <v/>
      </c>
      <c r="D1672" s="5" t="str">
        <f>IFERROR(IF(Portafolio_Proyectos!$AR557="","",Portafolio_Proyectos!$C557),"")</f>
        <v/>
      </c>
      <c r="E1672" s="5" t="str">
        <f>IFERROR(IF(Portafolio_Proyectos!$AR557="","",Portafolio_Proyectos!$B557),"")</f>
        <v/>
      </c>
      <c r="F1672" s="5" t="str">
        <f>IFERROR(IF(Portafolio_Proyectos!$AR557="","",Portafolio_Proyectos!$D557),"")</f>
        <v/>
      </c>
      <c r="G1672" s="5" t="str">
        <f>IFERROR(IF(Portafolio_Proyectos!$AR557="","",Portafolio_Proyectos!$A557),"")</f>
        <v/>
      </c>
      <c r="H1672" s="5" t="str">
        <f>IFERROR(IF(Portafolio_Proyectos!$AR557="","",Portafolio_Proyectos!$E557),"")</f>
        <v/>
      </c>
    </row>
    <row r="1673" spans="1:8" x14ac:dyDescent="0.35">
      <c r="A1673" s="5" t="str">
        <f>IFERROR(IF(Portafolio_Proyectos!$AP558="","","CAP-"&amp;ROW()-1),"")</f>
        <v/>
      </c>
      <c r="B1673" s="5" t="str">
        <f>IFERROR(IF(Portafolio_Proyectos!$AP558="","",Portafolio_Proyectos!$AP558),"")</f>
        <v/>
      </c>
      <c r="C1673" s="5" t="str">
        <f>IFERROR(IF(Portafolio_Proyectos!$AP558="","","Emergente"),"")</f>
        <v/>
      </c>
      <c r="D1673" s="5" t="str">
        <f>IFERROR(IF(Portafolio_Proyectos!$AP558="","",Portafolio_Proyectos!$C558),"")</f>
        <v/>
      </c>
      <c r="E1673" s="5" t="str">
        <f>IFERROR(IF(Portafolio_Proyectos!$AP558="","",Portafolio_Proyectos!$B558),"")</f>
        <v/>
      </c>
      <c r="F1673" s="5" t="str">
        <f>IFERROR(IF(Portafolio_Proyectos!$AP558="","",Portafolio_Proyectos!$D558),"")</f>
        <v/>
      </c>
      <c r="G1673" s="5" t="str">
        <f>IFERROR(IF(Portafolio_Proyectos!$AP558="","",Portafolio_Proyectos!$A558),"")</f>
        <v/>
      </c>
      <c r="H1673" s="5" t="str">
        <f>IFERROR(IF(Portafolio_Proyectos!$AP558="","",Portafolio_Proyectos!$E558),"")</f>
        <v/>
      </c>
    </row>
    <row r="1674" spans="1:8" x14ac:dyDescent="0.35">
      <c r="A1674" s="5" t="str">
        <f>IFERROR(IF(Portafolio_Proyectos!$AQ558="","","CAP-"&amp;ROW()-1),"")</f>
        <v/>
      </c>
      <c r="B1674" s="5" t="str">
        <f>IFERROR(IF(Portafolio_Proyectos!$AQ558="","",Portafolio_Proyectos!$AQ558),"")</f>
        <v/>
      </c>
      <c r="C1674" s="5" t="str">
        <f>IFERROR(IF(Portafolio_Proyectos!$AQ558="","","Consolidada"),"")</f>
        <v/>
      </c>
      <c r="D1674" s="5" t="str">
        <f>IFERROR(IF(Portafolio_Proyectos!$AQ558="","",Portafolio_Proyectos!$C558),"")</f>
        <v/>
      </c>
      <c r="E1674" s="5" t="str">
        <f>IFERROR(IF(Portafolio_Proyectos!$AQ558="","",Portafolio_Proyectos!$B558),"")</f>
        <v/>
      </c>
      <c r="F1674" s="5" t="str">
        <f>IFERROR(IF(Portafolio_Proyectos!$AQ558="","",Portafolio_Proyectos!$D558),"")</f>
        <v/>
      </c>
      <c r="G1674" s="5" t="str">
        <f>IFERROR(IF(Portafolio_Proyectos!$AQ558="","",Portafolio_Proyectos!$A558),"")</f>
        <v/>
      </c>
      <c r="H1674" s="5" t="str">
        <f>IFERROR(IF(Portafolio_Proyectos!$AQ558="","",Portafolio_Proyectos!$E558),"")</f>
        <v/>
      </c>
    </row>
    <row r="1675" spans="1:8" x14ac:dyDescent="0.35">
      <c r="A1675" s="5" t="str">
        <f>IFERROR(IF(Portafolio_Proyectos!$AR558="","","CAP-"&amp;ROW()-1),"")</f>
        <v/>
      </c>
      <c r="B1675" s="5" t="str">
        <f>IFERROR(IF(Portafolio_Proyectos!$AR558="","",Portafolio_Proyectos!$AR558),"")</f>
        <v/>
      </c>
      <c r="C1675" s="5" t="str">
        <f>IFERROR(IF(Portafolio_Proyectos!$AR558="","","Distintiva"),"")</f>
        <v/>
      </c>
      <c r="D1675" s="5" t="str">
        <f>IFERROR(IF(Portafolio_Proyectos!$AR558="","",Portafolio_Proyectos!$C558),"")</f>
        <v/>
      </c>
      <c r="E1675" s="5" t="str">
        <f>IFERROR(IF(Portafolio_Proyectos!$AR558="","",Portafolio_Proyectos!$B558),"")</f>
        <v/>
      </c>
      <c r="F1675" s="5" t="str">
        <f>IFERROR(IF(Portafolio_Proyectos!$AR558="","",Portafolio_Proyectos!$D558),"")</f>
        <v/>
      </c>
      <c r="G1675" s="5" t="str">
        <f>IFERROR(IF(Portafolio_Proyectos!$AR558="","",Portafolio_Proyectos!$A558),"")</f>
        <v/>
      </c>
      <c r="H1675" s="5" t="str">
        <f>IFERROR(IF(Portafolio_Proyectos!$AR558="","",Portafolio_Proyectos!$E558),"")</f>
        <v/>
      </c>
    </row>
    <row r="1676" spans="1:8" x14ac:dyDescent="0.35">
      <c r="A1676" s="5" t="str">
        <f>IFERROR(IF(Portafolio_Proyectos!$AP559="","","CAP-"&amp;ROW()-1),"")</f>
        <v/>
      </c>
      <c r="B1676" s="5" t="str">
        <f>IFERROR(IF(Portafolio_Proyectos!$AP559="","",Portafolio_Proyectos!$AP559),"")</f>
        <v/>
      </c>
      <c r="C1676" s="5" t="str">
        <f>IFERROR(IF(Portafolio_Proyectos!$AP559="","","Emergente"),"")</f>
        <v/>
      </c>
      <c r="D1676" s="5" t="str">
        <f>IFERROR(IF(Portafolio_Proyectos!$AP559="","",Portafolio_Proyectos!$C559),"")</f>
        <v/>
      </c>
      <c r="E1676" s="5" t="str">
        <f>IFERROR(IF(Portafolio_Proyectos!$AP559="","",Portafolio_Proyectos!$B559),"")</f>
        <v/>
      </c>
      <c r="F1676" s="5" t="str">
        <f>IFERROR(IF(Portafolio_Proyectos!$AP559="","",Portafolio_Proyectos!$D559),"")</f>
        <v/>
      </c>
      <c r="G1676" s="5" t="str">
        <f>IFERROR(IF(Portafolio_Proyectos!$AP559="","",Portafolio_Proyectos!$A559),"")</f>
        <v/>
      </c>
      <c r="H1676" s="5" t="str">
        <f>IFERROR(IF(Portafolio_Proyectos!$AP559="","",Portafolio_Proyectos!$E559),"")</f>
        <v/>
      </c>
    </row>
    <row r="1677" spans="1:8" x14ac:dyDescent="0.35">
      <c r="A1677" s="5" t="str">
        <f>IFERROR(IF(Portafolio_Proyectos!$AQ559="","","CAP-"&amp;ROW()-1),"")</f>
        <v/>
      </c>
      <c r="B1677" s="5" t="str">
        <f>IFERROR(IF(Portafolio_Proyectos!$AQ559="","",Portafolio_Proyectos!$AQ559),"")</f>
        <v/>
      </c>
      <c r="C1677" s="5" t="str">
        <f>IFERROR(IF(Portafolio_Proyectos!$AQ559="","","Consolidada"),"")</f>
        <v/>
      </c>
      <c r="D1677" s="5" t="str">
        <f>IFERROR(IF(Portafolio_Proyectos!$AQ559="","",Portafolio_Proyectos!$C559),"")</f>
        <v/>
      </c>
      <c r="E1677" s="5" t="str">
        <f>IFERROR(IF(Portafolio_Proyectos!$AQ559="","",Portafolio_Proyectos!$B559),"")</f>
        <v/>
      </c>
      <c r="F1677" s="5" t="str">
        <f>IFERROR(IF(Portafolio_Proyectos!$AQ559="","",Portafolio_Proyectos!$D559),"")</f>
        <v/>
      </c>
      <c r="G1677" s="5" t="str">
        <f>IFERROR(IF(Portafolio_Proyectos!$AQ559="","",Portafolio_Proyectos!$A559),"")</f>
        <v/>
      </c>
      <c r="H1677" s="5" t="str">
        <f>IFERROR(IF(Portafolio_Proyectos!$AQ559="","",Portafolio_Proyectos!$E559),"")</f>
        <v/>
      </c>
    </row>
    <row r="1678" spans="1:8" x14ac:dyDescent="0.35">
      <c r="A1678" s="5" t="str">
        <f>IFERROR(IF(Portafolio_Proyectos!$AR559="","","CAP-"&amp;ROW()-1),"")</f>
        <v/>
      </c>
      <c r="B1678" s="5" t="str">
        <f>IFERROR(IF(Portafolio_Proyectos!$AR559="","",Portafolio_Proyectos!$AR559),"")</f>
        <v/>
      </c>
      <c r="C1678" s="5" t="str">
        <f>IFERROR(IF(Portafolio_Proyectos!$AR559="","","Distintiva"),"")</f>
        <v/>
      </c>
      <c r="D1678" s="5" t="str">
        <f>IFERROR(IF(Portafolio_Proyectos!$AR559="","",Portafolio_Proyectos!$C559),"")</f>
        <v/>
      </c>
      <c r="E1678" s="5" t="str">
        <f>IFERROR(IF(Portafolio_Proyectos!$AR559="","",Portafolio_Proyectos!$B559),"")</f>
        <v/>
      </c>
      <c r="F1678" s="5" t="str">
        <f>IFERROR(IF(Portafolio_Proyectos!$AR559="","",Portafolio_Proyectos!$D559),"")</f>
        <v/>
      </c>
      <c r="G1678" s="5" t="str">
        <f>IFERROR(IF(Portafolio_Proyectos!$AR559="","",Portafolio_Proyectos!$A559),"")</f>
        <v/>
      </c>
      <c r="H1678" s="5" t="str">
        <f>IFERROR(IF(Portafolio_Proyectos!$AR559="","",Portafolio_Proyectos!$E559),"")</f>
        <v/>
      </c>
    </row>
    <row r="1679" spans="1:8" x14ac:dyDescent="0.35">
      <c r="A1679" s="5" t="str">
        <f>IFERROR(IF(Portafolio_Proyectos!$AP560="","","CAP-"&amp;ROW()-1),"")</f>
        <v/>
      </c>
      <c r="B1679" s="5" t="str">
        <f>IFERROR(IF(Portafolio_Proyectos!$AP560="","",Portafolio_Proyectos!$AP560),"")</f>
        <v/>
      </c>
      <c r="C1679" s="5" t="str">
        <f>IFERROR(IF(Portafolio_Proyectos!$AP560="","","Emergente"),"")</f>
        <v/>
      </c>
      <c r="D1679" s="5" t="str">
        <f>IFERROR(IF(Portafolio_Proyectos!$AP560="","",Portafolio_Proyectos!$C560),"")</f>
        <v/>
      </c>
      <c r="E1679" s="5" t="str">
        <f>IFERROR(IF(Portafolio_Proyectos!$AP560="","",Portafolio_Proyectos!$B560),"")</f>
        <v/>
      </c>
      <c r="F1679" s="5" t="str">
        <f>IFERROR(IF(Portafolio_Proyectos!$AP560="","",Portafolio_Proyectos!$D560),"")</f>
        <v/>
      </c>
      <c r="G1679" s="5" t="str">
        <f>IFERROR(IF(Portafolio_Proyectos!$AP560="","",Portafolio_Proyectos!$A560),"")</f>
        <v/>
      </c>
      <c r="H1679" s="5" t="str">
        <f>IFERROR(IF(Portafolio_Proyectos!$AP560="","",Portafolio_Proyectos!$E560),"")</f>
        <v/>
      </c>
    </row>
    <row r="1680" spans="1:8" x14ac:dyDescent="0.35">
      <c r="A1680" s="5" t="str">
        <f>IFERROR(IF(Portafolio_Proyectos!$AQ560="","","CAP-"&amp;ROW()-1),"")</f>
        <v/>
      </c>
      <c r="B1680" s="5" t="str">
        <f>IFERROR(IF(Portafolio_Proyectos!$AQ560="","",Portafolio_Proyectos!$AQ560),"")</f>
        <v/>
      </c>
      <c r="C1680" s="5" t="str">
        <f>IFERROR(IF(Portafolio_Proyectos!$AQ560="","","Consolidada"),"")</f>
        <v/>
      </c>
      <c r="D1680" s="5" t="str">
        <f>IFERROR(IF(Portafolio_Proyectos!$AQ560="","",Portafolio_Proyectos!$C560),"")</f>
        <v/>
      </c>
      <c r="E1680" s="5" t="str">
        <f>IFERROR(IF(Portafolio_Proyectos!$AQ560="","",Portafolio_Proyectos!$B560),"")</f>
        <v/>
      </c>
      <c r="F1680" s="5" t="str">
        <f>IFERROR(IF(Portafolio_Proyectos!$AQ560="","",Portafolio_Proyectos!$D560),"")</f>
        <v/>
      </c>
      <c r="G1680" s="5" t="str">
        <f>IFERROR(IF(Portafolio_Proyectos!$AQ560="","",Portafolio_Proyectos!$A560),"")</f>
        <v/>
      </c>
      <c r="H1680" s="5" t="str">
        <f>IFERROR(IF(Portafolio_Proyectos!$AQ560="","",Portafolio_Proyectos!$E560),"")</f>
        <v/>
      </c>
    </row>
    <row r="1681" spans="1:8" x14ac:dyDescent="0.35">
      <c r="A1681" s="5" t="str">
        <f>IFERROR(IF(Portafolio_Proyectos!$AR560="","","CAP-"&amp;ROW()-1),"")</f>
        <v/>
      </c>
      <c r="B1681" s="5" t="str">
        <f>IFERROR(IF(Portafolio_Proyectos!$AR560="","",Portafolio_Proyectos!$AR560),"")</f>
        <v/>
      </c>
      <c r="C1681" s="5" t="str">
        <f>IFERROR(IF(Portafolio_Proyectos!$AR560="","","Distintiva"),"")</f>
        <v/>
      </c>
      <c r="D1681" s="5" t="str">
        <f>IFERROR(IF(Portafolio_Proyectos!$AR560="","",Portafolio_Proyectos!$C560),"")</f>
        <v/>
      </c>
      <c r="E1681" s="5" t="str">
        <f>IFERROR(IF(Portafolio_Proyectos!$AR560="","",Portafolio_Proyectos!$B560),"")</f>
        <v/>
      </c>
      <c r="F1681" s="5" t="str">
        <f>IFERROR(IF(Portafolio_Proyectos!$AR560="","",Portafolio_Proyectos!$D560),"")</f>
        <v/>
      </c>
      <c r="G1681" s="5" t="str">
        <f>IFERROR(IF(Portafolio_Proyectos!$AR560="","",Portafolio_Proyectos!$A560),"")</f>
        <v/>
      </c>
      <c r="H1681" s="5" t="str">
        <f>IFERROR(IF(Portafolio_Proyectos!$AR560="","",Portafolio_Proyectos!$E560),"")</f>
        <v/>
      </c>
    </row>
    <row r="1682" spans="1:8" x14ac:dyDescent="0.35">
      <c r="A1682" s="5" t="str">
        <f>IFERROR(IF(Portafolio_Proyectos!$AP561="","","CAP-"&amp;ROW()-1),"")</f>
        <v/>
      </c>
      <c r="B1682" s="5" t="str">
        <f>IFERROR(IF(Portafolio_Proyectos!$AP561="","",Portafolio_Proyectos!$AP561),"")</f>
        <v/>
      </c>
      <c r="C1682" s="5" t="str">
        <f>IFERROR(IF(Portafolio_Proyectos!$AP561="","","Emergente"),"")</f>
        <v/>
      </c>
      <c r="D1682" s="5" t="str">
        <f>IFERROR(IF(Portafolio_Proyectos!$AP561="","",Portafolio_Proyectos!$C561),"")</f>
        <v/>
      </c>
      <c r="E1682" s="5" t="str">
        <f>IFERROR(IF(Portafolio_Proyectos!$AP561="","",Portafolio_Proyectos!$B561),"")</f>
        <v/>
      </c>
      <c r="F1682" s="5" t="str">
        <f>IFERROR(IF(Portafolio_Proyectos!$AP561="","",Portafolio_Proyectos!$D561),"")</f>
        <v/>
      </c>
      <c r="G1682" s="5" t="str">
        <f>IFERROR(IF(Portafolio_Proyectos!$AP561="","",Portafolio_Proyectos!$A561),"")</f>
        <v/>
      </c>
      <c r="H1682" s="5" t="str">
        <f>IFERROR(IF(Portafolio_Proyectos!$AP561="","",Portafolio_Proyectos!$E561),"")</f>
        <v/>
      </c>
    </row>
    <row r="1683" spans="1:8" x14ac:dyDescent="0.35">
      <c r="A1683" s="5" t="str">
        <f>IFERROR(IF(Portafolio_Proyectos!$AQ561="","","CAP-"&amp;ROW()-1),"")</f>
        <v/>
      </c>
      <c r="B1683" s="5" t="str">
        <f>IFERROR(IF(Portafolio_Proyectos!$AQ561="","",Portafolio_Proyectos!$AQ561),"")</f>
        <v/>
      </c>
      <c r="C1683" s="5" t="str">
        <f>IFERROR(IF(Portafolio_Proyectos!$AQ561="","","Consolidada"),"")</f>
        <v/>
      </c>
      <c r="D1683" s="5" t="str">
        <f>IFERROR(IF(Portafolio_Proyectos!$AQ561="","",Portafolio_Proyectos!$C561),"")</f>
        <v/>
      </c>
      <c r="E1683" s="5" t="str">
        <f>IFERROR(IF(Portafolio_Proyectos!$AQ561="","",Portafolio_Proyectos!$B561),"")</f>
        <v/>
      </c>
      <c r="F1683" s="5" t="str">
        <f>IFERROR(IF(Portafolio_Proyectos!$AQ561="","",Portafolio_Proyectos!$D561),"")</f>
        <v/>
      </c>
      <c r="G1683" s="5" t="str">
        <f>IFERROR(IF(Portafolio_Proyectos!$AQ561="","",Portafolio_Proyectos!$A561),"")</f>
        <v/>
      </c>
      <c r="H1683" s="5" t="str">
        <f>IFERROR(IF(Portafolio_Proyectos!$AQ561="","",Portafolio_Proyectos!$E561),"")</f>
        <v/>
      </c>
    </row>
    <row r="1684" spans="1:8" x14ac:dyDescent="0.35">
      <c r="A1684" s="5" t="str">
        <f>IFERROR(IF(Portafolio_Proyectos!$AR561="","","CAP-"&amp;ROW()-1),"")</f>
        <v/>
      </c>
      <c r="B1684" s="5" t="str">
        <f>IFERROR(IF(Portafolio_Proyectos!$AR561="","",Portafolio_Proyectos!$AR561),"")</f>
        <v/>
      </c>
      <c r="C1684" s="5" t="str">
        <f>IFERROR(IF(Portafolio_Proyectos!$AR561="","","Distintiva"),"")</f>
        <v/>
      </c>
      <c r="D1684" s="5" t="str">
        <f>IFERROR(IF(Portafolio_Proyectos!$AR561="","",Portafolio_Proyectos!$C561),"")</f>
        <v/>
      </c>
      <c r="E1684" s="5" t="str">
        <f>IFERROR(IF(Portafolio_Proyectos!$AR561="","",Portafolio_Proyectos!$B561),"")</f>
        <v/>
      </c>
      <c r="F1684" s="5" t="str">
        <f>IFERROR(IF(Portafolio_Proyectos!$AR561="","",Portafolio_Proyectos!$D561),"")</f>
        <v/>
      </c>
      <c r="G1684" s="5" t="str">
        <f>IFERROR(IF(Portafolio_Proyectos!$AR561="","",Portafolio_Proyectos!$A561),"")</f>
        <v/>
      </c>
      <c r="H1684" s="5" t="str">
        <f>IFERROR(IF(Portafolio_Proyectos!$AR561="","",Portafolio_Proyectos!$E561),"")</f>
        <v/>
      </c>
    </row>
    <row r="1685" spans="1:8" x14ac:dyDescent="0.35">
      <c r="A1685" s="5" t="str">
        <f>IFERROR(IF(Portafolio_Proyectos!$AP562="","","CAP-"&amp;ROW()-1),"")</f>
        <v/>
      </c>
      <c r="B1685" s="5" t="str">
        <f>IFERROR(IF(Portafolio_Proyectos!$AP562="","",Portafolio_Proyectos!$AP562),"")</f>
        <v/>
      </c>
      <c r="C1685" s="5" t="str">
        <f>IFERROR(IF(Portafolio_Proyectos!$AP562="","","Emergente"),"")</f>
        <v/>
      </c>
      <c r="D1685" s="5" t="str">
        <f>IFERROR(IF(Portafolio_Proyectos!$AP562="","",Portafolio_Proyectos!$C562),"")</f>
        <v/>
      </c>
      <c r="E1685" s="5" t="str">
        <f>IFERROR(IF(Portafolio_Proyectos!$AP562="","",Portafolio_Proyectos!$B562),"")</f>
        <v/>
      </c>
      <c r="F1685" s="5" t="str">
        <f>IFERROR(IF(Portafolio_Proyectos!$AP562="","",Portafolio_Proyectos!$D562),"")</f>
        <v/>
      </c>
      <c r="G1685" s="5" t="str">
        <f>IFERROR(IF(Portafolio_Proyectos!$AP562="","",Portafolio_Proyectos!$A562),"")</f>
        <v/>
      </c>
      <c r="H1685" s="5" t="str">
        <f>IFERROR(IF(Portafolio_Proyectos!$AP562="","",Portafolio_Proyectos!$E562),"")</f>
        <v/>
      </c>
    </row>
    <row r="1686" spans="1:8" x14ac:dyDescent="0.35">
      <c r="A1686" s="5" t="str">
        <f>IFERROR(IF(Portafolio_Proyectos!$AQ562="","","CAP-"&amp;ROW()-1),"")</f>
        <v/>
      </c>
      <c r="B1686" s="5" t="str">
        <f>IFERROR(IF(Portafolio_Proyectos!$AQ562="","",Portafolio_Proyectos!$AQ562),"")</f>
        <v/>
      </c>
      <c r="C1686" s="5" t="str">
        <f>IFERROR(IF(Portafolio_Proyectos!$AQ562="","","Consolidada"),"")</f>
        <v/>
      </c>
      <c r="D1686" s="5" t="str">
        <f>IFERROR(IF(Portafolio_Proyectos!$AQ562="","",Portafolio_Proyectos!$C562),"")</f>
        <v/>
      </c>
      <c r="E1686" s="5" t="str">
        <f>IFERROR(IF(Portafolio_Proyectos!$AQ562="","",Portafolio_Proyectos!$B562),"")</f>
        <v/>
      </c>
      <c r="F1686" s="5" t="str">
        <f>IFERROR(IF(Portafolio_Proyectos!$AQ562="","",Portafolio_Proyectos!$D562),"")</f>
        <v/>
      </c>
      <c r="G1686" s="5" t="str">
        <f>IFERROR(IF(Portafolio_Proyectos!$AQ562="","",Portafolio_Proyectos!$A562),"")</f>
        <v/>
      </c>
      <c r="H1686" s="5" t="str">
        <f>IFERROR(IF(Portafolio_Proyectos!$AQ562="","",Portafolio_Proyectos!$E562),"")</f>
        <v/>
      </c>
    </row>
    <row r="1687" spans="1:8" x14ac:dyDescent="0.35">
      <c r="A1687" s="5" t="str">
        <f>IFERROR(IF(Portafolio_Proyectos!$AR562="","","CAP-"&amp;ROW()-1),"")</f>
        <v/>
      </c>
      <c r="B1687" s="5" t="str">
        <f>IFERROR(IF(Portafolio_Proyectos!$AR562="","",Portafolio_Proyectos!$AR562),"")</f>
        <v/>
      </c>
      <c r="C1687" s="5" t="str">
        <f>IFERROR(IF(Portafolio_Proyectos!$AR562="","","Distintiva"),"")</f>
        <v/>
      </c>
      <c r="D1687" s="5" t="str">
        <f>IFERROR(IF(Portafolio_Proyectos!$AR562="","",Portafolio_Proyectos!$C562),"")</f>
        <v/>
      </c>
      <c r="E1687" s="5" t="str">
        <f>IFERROR(IF(Portafolio_Proyectos!$AR562="","",Portafolio_Proyectos!$B562),"")</f>
        <v/>
      </c>
      <c r="F1687" s="5" t="str">
        <f>IFERROR(IF(Portafolio_Proyectos!$AR562="","",Portafolio_Proyectos!$D562),"")</f>
        <v/>
      </c>
      <c r="G1687" s="5" t="str">
        <f>IFERROR(IF(Portafolio_Proyectos!$AR562="","",Portafolio_Proyectos!$A562),"")</f>
        <v/>
      </c>
      <c r="H1687" s="5" t="str">
        <f>IFERROR(IF(Portafolio_Proyectos!$AR562="","",Portafolio_Proyectos!$E562),"")</f>
        <v/>
      </c>
    </row>
    <row r="1688" spans="1:8" x14ac:dyDescent="0.35">
      <c r="A1688" s="5" t="str">
        <f>IFERROR(IF(Portafolio_Proyectos!$AP563="","","CAP-"&amp;ROW()-1),"")</f>
        <v/>
      </c>
      <c r="B1688" s="5" t="str">
        <f>IFERROR(IF(Portafolio_Proyectos!$AP563="","",Portafolio_Proyectos!$AP563),"")</f>
        <v/>
      </c>
      <c r="C1688" s="5" t="str">
        <f>IFERROR(IF(Portafolio_Proyectos!$AP563="","","Emergente"),"")</f>
        <v/>
      </c>
      <c r="D1688" s="5" t="str">
        <f>IFERROR(IF(Portafolio_Proyectos!$AP563="","",Portafolio_Proyectos!$C563),"")</f>
        <v/>
      </c>
      <c r="E1688" s="5" t="str">
        <f>IFERROR(IF(Portafolio_Proyectos!$AP563="","",Portafolio_Proyectos!$B563),"")</f>
        <v/>
      </c>
      <c r="F1688" s="5" t="str">
        <f>IFERROR(IF(Portafolio_Proyectos!$AP563="","",Portafolio_Proyectos!$D563),"")</f>
        <v/>
      </c>
      <c r="G1688" s="5" t="str">
        <f>IFERROR(IF(Portafolio_Proyectos!$AP563="","",Portafolio_Proyectos!$A563),"")</f>
        <v/>
      </c>
      <c r="H1688" s="5" t="str">
        <f>IFERROR(IF(Portafolio_Proyectos!$AP563="","",Portafolio_Proyectos!$E563),"")</f>
        <v/>
      </c>
    </row>
    <row r="1689" spans="1:8" x14ac:dyDescent="0.35">
      <c r="A1689" s="5" t="str">
        <f>IFERROR(IF(Portafolio_Proyectos!$AQ563="","","CAP-"&amp;ROW()-1),"")</f>
        <v/>
      </c>
      <c r="B1689" s="5" t="str">
        <f>IFERROR(IF(Portafolio_Proyectos!$AQ563="","",Portafolio_Proyectos!$AQ563),"")</f>
        <v/>
      </c>
      <c r="C1689" s="5" t="str">
        <f>IFERROR(IF(Portafolio_Proyectos!$AQ563="","","Consolidada"),"")</f>
        <v/>
      </c>
      <c r="D1689" s="5" t="str">
        <f>IFERROR(IF(Portafolio_Proyectos!$AQ563="","",Portafolio_Proyectos!$C563),"")</f>
        <v/>
      </c>
      <c r="E1689" s="5" t="str">
        <f>IFERROR(IF(Portafolio_Proyectos!$AQ563="","",Portafolio_Proyectos!$B563),"")</f>
        <v/>
      </c>
      <c r="F1689" s="5" t="str">
        <f>IFERROR(IF(Portafolio_Proyectos!$AQ563="","",Portafolio_Proyectos!$D563),"")</f>
        <v/>
      </c>
      <c r="G1689" s="5" t="str">
        <f>IFERROR(IF(Portafolio_Proyectos!$AQ563="","",Portafolio_Proyectos!$A563),"")</f>
        <v/>
      </c>
      <c r="H1689" s="5" t="str">
        <f>IFERROR(IF(Portafolio_Proyectos!$AQ563="","",Portafolio_Proyectos!$E563),"")</f>
        <v/>
      </c>
    </row>
    <row r="1690" spans="1:8" x14ac:dyDescent="0.35">
      <c r="A1690" s="5" t="str">
        <f>IFERROR(IF(Portafolio_Proyectos!$AR563="","","CAP-"&amp;ROW()-1),"")</f>
        <v/>
      </c>
      <c r="B1690" s="5" t="str">
        <f>IFERROR(IF(Portafolio_Proyectos!$AR563="","",Portafolio_Proyectos!$AR563),"")</f>
        <v/>
      </c>
      <c r="C1690" s="5" t="str">
        <f>IFERROR(IF(Portafolio_Proyectos!$AR563="","","Distintiva"),"")</f>
        <v/>
      </c>
      <c r="D1690" s="5" t="str">
        <f>IFERROR(IF(Portafolio_Proyectos!$AR563="","",Portafolio_Proyectos!$C563),"")</f>
        <v/>
      </c>
      <c r="E1690" s="5" t="str">
        <f>IFERROR(IF(Portafolio_Proyectos!$AR563="","",Portafolio_Proyectos!$B563),"")</f>
        <v/>
      </c>
      <c r="F1690" s="5" t="str">
        <f>IFERROR(IF(Portafolio_Proyectos!$AR563="","",Portafolio_Proyectos!$D563),"")</f>
        <v/>
      </c>
      <c r="G1690" s="5" t="str">
        <f>IFERROR(IF(Portafolio_Proyectos!$AR563="","",Portafolio_Proyectos!$A563),"")</f>
        <v/>
      </c>
      <c r="H1690" s="5" t="str">
        <f>IFERROR(IF(Portafolio_Proyectos!$AR563="","",Portafolio_Proyectos!$E563),"")</f>
        <v/>
      </c>
    </row>
    <row r="1691" spans="1:8" x14ac:dyDescent="0.35">
      <c r="A1691" s="5" t="str">
        <f>IFERROR(IF(Portafolio_Proyectos!$AP564="","","CAP-"&amp;ROW()-1),"")</f>
        <v/>
      </c>
      <c r="B1691" s="5" t="str">
        <f>IFERROR(IF(Portafolio_Proyectos!$AP564="","",Portafolio_Proyectos!$AP564),"")</f>
        <v/>
      </c>
      <c r="C1691" s="5" t="str">
        <f>IFERROR(IF(Portafolio_Proyectos!$AP564="","","Emergente"),"")</f>
        <v/>
      </c>
      <c r="D1691" s="5" t="str">
        <f>IFERROR(IF(Portafolio_Proyectos!$AP564="","",Portafolio_Proyectos!$C564),"")</f>
        <v/>
      </c>
      <c r="E1691" s="5" t="str">
        <f>IFERROR(IF(Portafolio_Proyectos!$AP564="","",Portafolio_Proyectos!$B564),"")</f>
        <v/>
      </c>
      <c r="F1691" s="5" t="str">
        <f>IFERROR(IF(Portafolio_Proyectos!$AP564="","",Portafolio_Proyectos!$D564),"")</f>
        <v/>
      </c>
      <c r="G1691" s="5" t="str">
        <f>IFERROR(IF(Portafolio_Proyectos!$AP564="","",Portafolio_Proyectos!$A564),"")</f>
        <v/>
      </c>
      <c r="H1691" s="5" t="str">
        <f>IFERROR(IF(Portafolio_Proyectos!$AP564="","",Portafolio_Proyectos!$E564),"")</f>
        <v/>
      </c>
    </row>
    <row r="1692" spans="1:8" x14ac:dyDescent="0.35">
      <c r="A1692" s="5" t="str">
        <f>IFERROR(IF(Portafolio_Proyectos!$AQ564="","","CAP-"&amp;ROW()-1),"")</f>
        <v/>
      </c>
      <c r="B1692" s="5" t="str">
        <f>IFERROR(IF(Portafolio_Proyectos!$AQ564="","",Portafolio_Proyectos!$AQ564),"")</f>
        <v/>
      </c>
      <c r="C1692" s="5" t="str">
        <f>IFERROR(IF(Portafolio_Proyectos!$AQ564="","","Consolidada"),"")</f>
        <v/>
      </c>
      <c r="D1692" s="5" t="str">
        <f>IFERROR(IF(Portafolio_Proyectos!$AQ564="","",Portafolio_Proyectos!$C564),"")</f>
        <v/>
      </c>
      <c r="E1692" s="5" t="str">
        <f>IFERROR(IF(Portafolio_Proyectos!$AQ564="","",Portafolio_Proyectos!$B564),"")</f>
        <v/>
      </c>
      <c r="F1692" s="5" t="str">
        <f>IFERROR(IF(Portafolio_Proyectos!$AQ564="","",Portafolio_Proyectos!$D564),"")</f>
        <v/>
      </c>
      <c r="G1692" s="5" t="str">
        <f>IFERROR(IF(Portafolio_Proyectos!$AQ564="","",Portafolio_Proyectos!$A564),"")</f>
        <v/>
      </c>
      <c r="H1692" s="5" t="str">
        <f>IFERROR(IF(Portafolio_Proyectos!$AQ564="","",Portafolio_Proyectos!$E564),"")</f>
        <v/>
      </c>
    </row>
    <row r="1693" spans="1:8" x14ac:dyDescent="0.35">
      <c r="A1693" s="5" t="str">
        <f>IFERROR(IF(Portafolio_Proyectos!$AR564="","","CAP-"&amp;ROW()-1),"")</f>
        <v/>
      </c>
      <c r="B1693" s="5" t="str">
        <f>IFERROR(IF(Portafolio_Proyectos!$AR564="","",Portafolio_Proyectos!$AR564),"")</f>
        <v/>
      </c>
      <c r="C1693" s="5" t="str">
        <f>IFERROR(IF(Portafolio_Proyectos!$AR564="","","Distintiva"),"")</f>
        <v/>
      </c>
      <c r="D1693" s="5" t="str">
        <f>IFERROR(IF(Portafolio_Proyectos!$AR564="","",Portafolio_Proyectos!$C564),"")</f>
        <v/>
      </c>
      <c r="E1693" s="5" t="str">
        <f>IFERROR(IF(Portafolio_Proyectos!$AR564="","",Portafolio_Proyectos!$B564),"")</f>
        <v/>
      </c>
      <c r="F1693" s="5" t="str">
        <f>IFERROR(IF(Portafolio_Proyectos!$AR564="","",Portafolio_Proyectos!$D564),"")</f>
        <v/>
      </c>
      <c r="G1693" s="5" t="str">
        <f>IFERROR(IF(Portafolio_Proyectos!$AR564="","",Portafolio_Proyectos!$A564),"")</f>
        <v/>
      </c>
      <c r="H1693" s="5" t="str">
        <f>IFERROR(IF(Portafolio_Proyectos!$AR564="","",Portafolio_Proyectos!$E564),"")</f>
        <v/>
      </c>
    </row>
    <row r="1694" spans="1:8" x14ac:dyDescent="0.35">
      <c r="A1694" s="5" t="str">
        <f>IFERROR(IF(Portafolio_Proyectos!$AP565="","","CAP-"&amp;ROW()-1),"")</f>
        <v/>
      </c>
      <c r="B1694" s="5" t="str">
        <f>IFERROR(IF(Portafolio_Proyectos!$AP565="","",Portafolio_Proyectos!$AP565),"")</f>
        <v/>
      </c>
      <c r="C1694" s="5" t="str">
        <f>IFERROR(IF(Portafolio_Proyectos!$AP565="","","Emergente"),"")</f>
        <v/>
      </c>
      <c r="D1694" s="5" t="str">
        <f>IFERROR(IF(Portafolio_Proyectos!$AP565="","",Portafolio_Proyectos!$C565),"")</f>
        <v/>
      </c>
      <c r="E1694" s="5" t="str">
        <f>IFERROR(IF(Portafolio_Proyectos!$AP565="","",Portafolio_Proyectos!$B565),"")</f>
        <v/>
      </c>
      <c r="F1694" s="5" t="str">
        <f>IFERROR(IF(Portafolio_Proyectos!$AP565="","",Portafolio_Proyectos!$D565),"")</f>
        <v/>
      </c>
      <c r="G1694" s="5" t="str">
        <f>IFERROR(IF(Portafolio_Proyectos!$AP565="","",Portafolio_Proyectos!$A565),"")</f>
        <v/>
      </c>
      <c r="H1694" s="5" t="str">
        <f>IFERROR(IF(Portafolio_Proyectos!$AP565="","",Portafolio_Proyectos!$E565),"")</f>
        <v/>
      </c>
    </row>
    <row r="1695" spans="1:8" x14ac:dyDescent="0.35">
      <c r="A1695" s="5" t="str">
        <f>IFERROR(IF(Portafolio_Proyectos!$AQ565="","","CAP-"&amp;ROW()-1),"")</f>
        <v/>
      </c>
      <c r="B1695" s="5" t="str">
        <f>IFERROR(IF(Portafolio_Proyectos!$AQ565="","",Portafolio_Proyectos!$AQ565),"")</f>
        <v/>
      </c>
      <c r="C1695" s="5" t="str">
        <f>IFERROR(IF(Portafolio_Proyectos!$AQ565="","","Consolidada"),"")</f>
        <v/>
      </c>
      <c r="D1695" s="5" t="str">
        <f>IFERROR(IF(Portafolio_Proyectos!$AQ565="","",Portafolio_Proyectos!$C565),"")</f>
        <v/>
      </c>
      <c r="E1695" s="5" t="str">
        <f>IFERROR(IF(Portafolio_Proyectos!$AQ565="","",Portafolio_Proyectos!$B565),"")</f>
        <v/>
      </c>
      <c r="F1695" s="5" t="str">
        <f>IFERROR(IF(Portafolio_Proyectos!$AQ565="","",Portafolio_Proyectos!$D565),"")</f>
        <v/>
      </c>
      <c r="G1695" s="5" t="str">
        <f>IFERROR(IF(Portafolio_Proyectos!$AQ565="","",Portafolio_Proyectos!$A565),"")</f>
        <v/>
      </c>
      <c r="H1695" s="5" t="str">
        <f>IFERROR(IF(Portafolio_Proyectos!$AQ565="","",Portafolio_Proyectos!$E565),"")</f>
        <v/>
      </c>
    </row>
    <row r="1696" spans="1:8" x14ac:dyDescent="0.35">
      <c r="A1696" s="5" t="str">
        <f>IFERROR(IF(Portafolio_Proyectos!$AR565="","","CAP-"&amp;ROW()-1),"")</f>
        <v/>
      </c>
      <c r="B1696" s="5" t="str">
        <f>IFERROR(IF(Portafolio_Proyectos!$AR565="","",Portafolio_Proyectos!$AR565),"")</f>
        <v/>
      </c>
      <c r="C1696" s="5" t="str">
        <f>IFERROR(IF(Portafolio_Proyectos!$AR565="","","Distintiva"),"")</f>
        <v/>
      </c>
      <c r="D1696" s="5" t="str">
        <f>IFERROR(IF(Portafolio_Proyectos!$AR565="","",Portafolio_Proyectos!$C565),"")</f>
        <v/>
      </c>
      <c r="E1696" s="5" t="str">
        <f>IFERROR(IF(Portafolio_Proyectos!$AR565="","",Portafolio_Proyectos!$B565),"")</f>
        <v/>
      </c>
      <c r="F1696" s="5" t="str">
        <f>IFERROR(IF(Portafolio_Proyectos!$AR565="","",Portafolio_Proyectos!$D565),"")</f>
        <v/>
      </c>
      <c r="G1696" s="5" t="str">
        <f>IFERROR(IF(Portafolio_Proyectos!$AR565="","",Portafolio_Proyectos!$A565),"")</f>
        <v/>
      </c>
      <c r="H1696" s="5" t="str">
        <f>IFERROR(IF(Portafolio_Proyectos!$AR565="","",Portafolio_Proyectos!$E565),"")</f>
        <v/>
      </c>
    </row>
    <row r="1697" spans="1:8" x14ac:dyDescent="0.35">
      <c r="A1697" s="5" t="str">
        <f>IFERROR(IF(Portafolio_Proyectos!$AP566="","","CAP-"&amp;ROW()-1),"")</f>
        <v/>
      </c>
      <c r="B1697" s="5" t="str">
        <f>IFERROR(IF(Portafolio_Proyectos!$AP566="","",Portafolio_Proyectos!$AP566),"")</f>
        <v/>
      </c>
      <c r="C1697" s="5" t="str">
        <f>IFERROR(IF(Portafolio_Proyectos!$AP566="","","Emergente"),"")</f>
        <v/>
      </c>
      <c r="D1697" s="5" t="str">
        <f>IFERROR(IF(Portafolio_Proyectos!$AP566="","",Portafolio_Proyectos!$C566),"")</f>
        <v/>
      </c>
      <c r="E1697" s="5" t="str">
        <f>IFERROR(IF(Portafolio_Proyectos!$AP566="","",Portafolio_Proyectos!$B566),"")</f>
        <v/>
      </c>
      <c r="F1697" s="5" t="str">
        <f>IFERROR(IF(Portafolio_Proyectos!$AP566="","",Portafolio_Proyectos!$D566),"")</f>
        <v/>
      </c>
      <c r="G1697" s="5" t="str">
        <f>IFERROR(IF(Portafolio_Proyectos!$AP566="","",Portafolio_Proyectos!$A566),"")</f>
        <v/>
      </c>
      <c r="H1697" s="5" t="str">
        <f>IFERROR(IF(Portafolio_Proyectos!$AP566="","",Portafolio_Proyectos!$E566),"")</f>
        <v/>
      </c>
    </row>
    <row r="1698" spans="1:8" x14ac:dyDescent="0.35">
      <c r="A1698" s="5" t="str">
        <f>IFERROR(IF(Portafolio_Proyectos!$AQ566="","","CAP-"&amp;ROW()-1),"")</f>
        <v/>
      </c>
      <c r="B1698" s="5" t="str">
        <f>IFERROR(IF(Portafolio_Proyectos!$AQ566="","",Portafolio_Proyectos!$AQ566),"")</f>
        <v/>
      </c>
      <c r="C1698" s="5" t="str">
        <f>IFERROR(IF(Portafolio_Proyectos!$AQ566="","","Consolidada"),"")</f>
        <v/>
      </c>
      <c r="D1698" s="5" t="str">
        <f>IFERROR(IF(Portafolio_Proyectos!$AQ566="","",Portafolio_Proyectos!$C566),"")</f>
        <v/>
      </c>
      <c r="E1698" s="5" t="str">
        <f>IFERROR(IF(Portafolio_Proyectos!$AQ566="","",Portafolio_Proyectos!$B566),"")</f>
        <v/>
      </c>
      <c r="F1698" s="5" t="str">
        <f>IFERROR(IF(Portafolio_Proyectos!$AQ566="","",Portafolio_Proyectos!$D566),"")</f>
        <v/>
      </c>
      <c r="G1698" s="5" t="str">
        <f>IFERROR(IF(Portafolio_Proyectos!$AQ566="","",Portafolio_Proyectos!$A566),"")</f>
        <v/>
      </c>
      <c r="H1698" s="5" t="str">
        <f>IFERROR(IF(Portafolio_Proyectos!$AQ566="","",Portafolio_Proyectos!$E566),"")</f>
        <v/>
      </c>
    </row>
    <row r="1699" spans="1:8" x14ac:dyDescent="0.35">
      <c r="A1699" s="5" t="str">
        <f>IFERROR(IF(Portafolio_Proyectos!$AR566="","","CAP-"&amp;ROW()-1),"")</f>
        <v/>
      </c>
      <c r="B1699" s="5" t="str">
        <f>IFERROR(IF(Portafolio_Proyectos!$AR566="","",Portafolio_Proyectos!$AR566),"")</f>
        <v/>
      </c>
      <c r="C1699" s="5" t="str">
        <f>IFERROR(IF(Portafolio_Proyectos!$AR566="","","Distintiva"),"")</f>
        <v/>
      </c>
      <c r="D1699" s="5" t="str">
        <f>IFERROR(IF(Portafolio_Proyectos!$AR566="","",Portafolio_Proyectos!$C566),"")</f>
        <v/>
      </c>
      <c r="E1699" s="5" t="str">
        <f>IFERROR(IF(Portafolio_Proyectos!$AR566="","",Portafolio_Proyectos!$B566),"")</f>
        <v/>
      </c>
      <c r="F1699" s="5" t="str">
        <f>IFERROR(IF(Portafolio_Proyectos!$AR566="","",Portafolio_Proyectos!$D566),"")</f>
        <v/>
      </c>
      <c r="G1699" s="5" t="str">
        <f>IFERROR(IF(Portafolio_Proyectos!$AR566="","",Portafolio_Proyectos!$A566),"")</f>
        <v/>
      </c>
      <c r="H1699" s="5" t="str">
        <f>IFERROR(IF(Portafolio_Proyectos!$AR566="","",Portafolio_Proyectos!$E566),"")</f>
        <v/>
      </c>
    </row>
    <row r="1700" spans="1:8" x14ac:dyDescent="0.35">
      <c r="A1700" s="5" t="str">
        <f>IFERROR(IF(Portafolio_Proyectos!$AP567="","","CAP-"&amp;ROW()-1),"")</f>
        <v/>
      </c>
      <c r="B1700" s="5" t="str">
        <f>IFERROR(IF(Portafolio_Proyectos!$AP567="","",Portafolio_Proyectos!$AP567),"")</f>
        <v/>
      </c>
      <c r="C1700" s="5" t="str">
        <f>IFERROR(IF(Portafolio_Proyectos!$AP567="","","Emergente"),"")</f>
        <v/>
      </c>
      <c r="D1700" s="5" t="str">
        <f>IFERROR(IF(Portafolio_Proyectos!$AP567="","",Portafolio_Proyectos!$C567),"")</f>
        <v/>
      </c>
      <c r="E1700" s="5" t="str">
        <f>IFERROR(IF(Portafolio_Proyectos!$AP567="","",Portafolio_Proyectos!$B567),"")</f>
        <v/>
      </c>
      <c r="F1700" s="5" t="str">
        <f>IFERROR(IF(Portafolio_Proyectos!$AP567="","",Portafolio_Proyectos!$D567),"")</f>
        <v/>
      </c>
      <c r="G1700" s="5" t="str">
        <f>IFERROR(IF(Portafolio_Proyectos!$AP567="","",Portafolio_Proyectos!$A567),"")</f>
        <v/>
      </c>
      <c r="H1700" s="5" t="str">
        <f>IFERROR(IF(Portafolio_Proyectos!$AP567="","",Portafolio_Proyectos!$E567),"")</f>
        <v/>
      </c>
    </row>
    <row r="1701" spans="1:8" x14ac:dyDescent="0.35">
      <c r="A1701" s="5" t="str">
        <f>IFERROR(IF(Portafolio_Proyectos!$AQ567="","","CAP-"&amp;ROW()-1),"")</f>
        <v/>
      </c>
      <c r="B1701" s="5" t="str">
        <f>IFERROR(IF(Portafolio_Proyectos!$AQ567="","",Portafolio_Proyectos!$AQ567),"")</f>
        <v/>
      </c>
      <c r="C1701" s="5" t="str">
        <f>IFERROR(IF(Portafolio_Proyectos!$AQ567="","","Consolidada"),"")</f>
        <v/>
      </c>
      <c r="D1701" s="5" t="str">
        <f>IFERROR(IF(Portafolio_Proyectos!$AQ567="","",Portafolio_Proyectos!$C567),"")</f>
        <v/>
      </c>
      <c r="E1701" s="5" t="str">
        <f>IFERROR(IF(Portafolio_Proyectos!$AQ567="","",Portafolio_Proyectos!$B567),"")</f>
        <v/>
      </c>
      <c r="F1701" s="5" t="str">
        <f>IFERROR(IF(Portafolio_Proyectos!$AQ567="","",Portafolio_Proyectos!$D567),"")</f>
        <v/>
      </c>
      <c r="G1701" s="5" t="str">
        <f>IFERROR(IF(Portafolio_Proyectos!$AQ567="","",Portafolio_Proyectos!$A567),"")</f>
        <v/>
      </c>
      <c r="H1701" s="5" t="str">
        <f>IFERROR(IF(Portafolio_Proyectos!$AQ567="","",Portafolio_Proyectos!$E567),"")</f>
        <v/>
      </c>
    </row>
    <row r="1702" spans="1:8" x14ac:dyDescent="0.35">
      <c r="A1702" s="5" t="str">
        <f>IFERROR(IF(Portafolio_Proyectos!$AR567="","","CAP-"&amp;ROW()-1),"")</f>
        <v/>
      </c>
      <c r="B1702" s="5" t="str">
        <f>IFERROR(IF(Portafolio_Proyectos!$AR567="","",Portafolio_Proyectos!$AR567),"")</f>
        <v/>
      </c>
      <c r="C1702" s="5" t="str">
        <f>IFERROR(IF(Portafolio_Proyectos!$AR567="","","Distintiva"),"")</f>
        <v/>
      </c>
      <c r="D1702" s="5" t="str">
        <f>IFERROR(IF(Portafolio_Proyectos!$AR567="","",Portafolio_Proyectos!$C567),"")</f>
        <v/>
      </c>
      <c r="E1702" s="5" t="str">
        <f>IFERROR(IF(Portafolio_Proyectos!$AR567="","",Portafolio_Proyectos!$B567),"")</f>
        <v/>
      </c>
      <c r="F1702" s="5" t="str">
        <f>IFERROR(IF(Portafolio_Proyectos!$AR567="","",Portafolio_Proyectos!$D567),"")</f>
        <v/>
      </c>
      <c r="G1702" s="5" t="str">
        <f>IFERROR(IF(Portafolio_Proyectos!$AR567="","",Portafolio_Proyectos!$A567),"")</f>
        <v/>
      </c>
      <c r="H1702" s="5" t="str">
        <f>IFERROR(IF(Portafolio_Proyectos!$AR567="","",Portafolio_Proyectos!$E567),"")</f>
        <v/>
      </c>
    </row>
    <row r="1703" spans="1:8" x14ac:dyDescent="0.35">
      <c r="A1703" s="5" t="str">
        <f>IFERROR(IF(Portafolio_Proyectos!$AP568="","","CAP-"&amp;ROW()-1),"")</f>
        <v/>
      </c>
      <c r="B1703" s="5" t="str">
        <f>IFERROR(IF(Portafolio_Proyectos!$AP568="","",Portafolio_Proyectos!$AP568),"")</f>
        <v/>
      </c>
      <c r="C1703" s="5" t="str">
        <f>IFERROR(IF(Portafolio_Proyectos!$AP568="","","Emergente"),"")</f>
        <v/>
      </c>
      <c r="D1703" s="5" t="str">
        <f>IFERROR(IF(Portafolio_Proyectos!$AP568="","",Portafolio_Proyectos!$C568),"")</f>
        <v/>
      </c>
      <c r="E1703" s="5" t="str">
        <f>IFERROR(IF(Portafolio_Proyectos!$AP568="","",Portafolio_Proyectos!$B568),"")</f>
        <v/>
      </c>
      <c r="F1703" s="5" t="str">
        <f>IFERROR(IF(Portafolio_Proyectos!$AP568="","",Portafolio_Proyectos!$D568),"")</f>
        <v/>
      </c>
      <c r="G1703" s="5" t="str">
        <f>IFERROR(IF(Portafolio_Proyectos!$AP568="","",Portafolio_Proyectos!$A568),"")</f>
        <v/>
      </c>
      <c r="H1703" s="5" t="str">
        <f>IFERROR(IF(Portafolio_Proyectos!$AP568="","",Portafolio_Proyectos!$E568),"")</f>
        <v/>
      </c>
    </row>
    <row r="1704" spans="1:8" x14ac:dyDescent="0.35">
      <c r="A1704" s="5" t="str">
        <f>IFERROR(IF(Portafolio_Proyectos!$AQ568="","","CAP-"&amp;ROW()-1),"")</f>
        <v/>
      </c>
      <c r="B1704" s="5" t="str">
        <f>IFERROR(IF(Portafolio_Proyectos!$AQ568="","",Portafolio_Proyectos!$AQ568),"")</f>
        <v/>
      </c>
      <c r="C1704" s="5" t="str">
        <f>IFERROR(IF(Portafolio_Proyectos!$AQ568="","","Consolidada"),"")</f>
        <v/>
      </c>
      <c r="D1704" s="5" t="str">
        <f>IFERROR(IF(Portafolio_Proyectos!$AQ568="","",Portafolio_Proyectos!$C568),"")</f>
        <v/>
      </c>
      <c r="E1704" s="5" t="str">
        <f>IFERROR(IF(Portafolio_Proyectos!$AQ568="","",Portafolio_Proyectos!$B568),"")</f>
        <v/>
      </c>
      <c r="F1704" s="5" t="str">
        <f>IFERROR(IF(Portafolio_Proyectos!$AQ568="","",Portafolio_Proyectos!$D568),"")</f>
        <v/>
      </c>
      <c r="G1704" s="5" t="str">
        <f>IFERROR(IF(Portafolio_Proyectos!$AQ568="","",Portafolio_Proyectos!$A568),"")</f>
        <v/>
      </c>
      <c r="H1704" s="5" t="str">
        <f>IFERROR(IF(Portafolio_Proyectos!$AQ568="","",Portafolio_Proyectos!$E568),"")</f>
        <v/>
      </c>
    </row>
    <row r="1705" spans="1:8" x14ac:dyDescent="0.35">
      <c r="A1705" s="5" t="str">
        <f>IFERROR(IF(Portafolio_Proyectos!$AR568="","","CAP-"&amp;ROW()-1),"")</f>
        <v/>
      </c>
      <c r="B1705" s="5" t="str">
        <f>IFERROR(IF(Portafolio_Proyectos!$AR568="","",Portafolio_Proyectos!$AR568),"")</f>
        <v/>
      </c>
      <c r="C1705" s="5" t="str">
        <f>IFERROR(IF(Portafolio_Proyectos!$AR568="","","Distintiva"),"")</f>
        <v/>
      </c>
      <c r="D1705" s="5" t="str">
        <f>IFERROR(IF(Portafolio_Proyectos!$AR568="","",Portafolio_Proyectos!$C568),"")</f>
        <v/>
      </c>
      <c r="E1705" s="5" t="str">
        <f>IFERROR(IF(Portafolio_Proyectos!$AR568="","",Portafolio_Proyectos!$B568),"")</f>
        <v/>
      </c>
      <c r="F1705" s="5" t="str">
        <f>IFERROR(IF(Portafolio_Proyectos!$AR568="","",Portafolio_Proyectos!$D568),"")</f>
        <v/>
      </c>
      <c r="G1705" s="5" t="str">
        <f>IFERROR(IF(Portafolio_Proyectos!$AR568="","",Portafolio_Proyectos!$A568),"")</f>
        <v/>
      </c>
      <c r="H1705" s="5" t="str">
        <f>IFERROR(IF(Portafolio_Proyectos!$AR568="","",Portafolio_Proyectos!$E568),"")</f>
        <v/>
      </c>
    </row>
    <row r="1706" spans="1:8" x14ac:dyDescent="0.35">
      <c r="A1706" s="5" t="str">
        <f>IFERROR(IF(Portafolio_Proyectos!$AP569="","","CAP-"&amp;ROW()-1),"")</f>
        <v/>
      </c>
      <c r="B1706" s="5" t="str">
        <f>IFERROR(IF(Portafolio_Proyectos!$AP569="","",Portafolio_Proyectos!$AP569),"")</f>
        <v/>
      </c>
      <c r="C1706" s="5" t="str">
        <f>IFERROR(IF(Portafolio_Proyectos!$AP569="","","Emergente"),"")</f>
        <v/>
      </c>
      <c r="D1706" s="5" t="str">
        <f>IFERROR(IF(Portafolio_Proyectos!$AP569="","",Portafolio_Proyectos!$C569),"")</f>
        <v/>
      </c>
      <c r="E1706" s="5" t="str">
        <f>IFERROR(IF(Portafolio_Proyectos!$AP569="","",Portafolio_Proyectos!$B569),"")</f>
        <v/>
      </c>
      <c r="F1706" s="5" t="str">
        <f>IFERROR(IF(Portafolio_Proyectos!$AP569="","",Portafolio_Proyectos!$D569),"")</f>
        <v/>
      </c>
      <c r="G1706" s="5" t="str">
        <f>IFERROR(IF(Portafolio_Proyectos!$AP569="","",Portafolio_Proyectos!$A569),"")</f>
        <v/>
      </c>
      <c r="H1706" s="5" t="str">
        <f>IFERROR(IF(Portafolio_Proyectos!$AP569="","",Portafolio_Proyectos!$E569),"")</f>
        <v/>
      </c>
    </row>
    <row r="1707" spans="1:8" x14ac:dyDescent="0.35">
      <c r="A1707" s="5" t="str">
        <f>IFERROR(IF(Portafolio_Proyectos!$AQ569="","","CAP-"&amp;ROW()-1),"")</f>
        <v/>
      </c>
      <c r="B1707" s="5" t="str">
        <f>IFERROR(IF(Portafolio_Proyectos!$AQ569="","",Portafolio_Proyectos!$AQ569),"")</f>
        <v/>
      </c>
      <c r="C1707" s="5" t="str">
        <f>IFERROR(IF(Portafolio_Proyectos!$AQ569="","","Consolidada"),"")</f>
        <v/>
      </c>
      <c r="D1707" s="5" t="str">
        <f>IFERROR(IF(Portafolio_Proyectos!$AQ569="","",Portafolio_Proyectos!$C569),"")</f>
        <v/>
      </c>
      <c r="E1707" s="5" t="str">
        <f>IFERROR(IF(Portafolio_Proyectos!$AQ569="","",Portafolio_Proyectos!$B569),"")</f>
        <v/>
      </c>
      <c r="F1707" s="5" t="str">
        <f>IFERROR(IF(Portafolio_Proyectos!$AQ569="","",Portafolio_Proyectos!$D569),"")</f>
        <v/>
      </c>
      <c r="G1707" s="5" t="str">
        <f>IFERROR(IF(Portafolio_Proyectos!$AQ569="","",Portafolio_Proyectos!$A569),"")</f>
        <v/>
      </c>
      <c r="H1707" s="5" t="str">
        <f>IFERROR(IF(Portafolio_Proyectos!$AQ569="","",Portafolio_Proyectos!$E569),"")</f>
        <v/>
      </c>
    </row>
    <row r="1708" spans="1:8" x14ac:dyDescent="0.35">
      <c r="A1708" s="5" t="str">
        <f>IFERROR(IF(Portafolio_Proyectos!$AR569="","","CAP-"&amp;ROW()-1),"")</f>
        <v/>
      </c>
      <c r="B1708" s="5" t="str">
        <f>IFERROR(IF(Portafolio_Proyectos!$AR569="","",Portafolio_Proyectos!$AR569),"")</f>
        <v/>
      </c>
      <c r="C1708" s="5" t="str">
        <f>IFERROR(IF(Portafolio_Proyectos!$AR569="","","Distintiva"),"")</f>
        <v/>
      </c>
      <c r="D1708" s="5" t="str">
        <f>IFERROR(IF(Portafolio_Proyectos!$AR569="","",Portafolio_Proyectos!$C569),"")</f>
        <v/>
      </c>
      <c r="E1708" s="5" t="str">
        <f>IFERROR(IF(Portafolio_Proyectos!$AR569="","",Portafolio_Proyectos!$B569),"")</f>
        <v/>
      </c>
      <c r="F1708" s="5" t="str">
        <f>IFERROR(IF(Portafolio_Proyectos!$AR569="","",Portafolio_Proyectos!$D569),"")</f>
        <v/>
      </c>
      <c r="G1708" s="5" t="str">
        <f>IFERROR(IF(Portafolio_Proyectos!$AR569="","",Portafolio_Proyectos!$A569),"")</f>
        <v/>
      </c>
      <c r="H1708" s="5" t="str">
        <f>IFERROR(IF(Portafolio_Proyectos!$AR569="","",Portafolio_Proyectos!$E569),"")</f>
        <v/>
      </c>
    </row>
    <row r="1709" spans="1:8" x14ac:dyDescent="0.35">
      <c r="A1709" s="5" t="str">
        <f>IFERROR(IF(Portafolio_Proyectos!$AP570="","","CAP-"&amp;ROW()-1),"")</f>
        <v/>
      </c>
      <c r="B1709" s="5" t="str">
        <f>IFERROR(IF(Portafolio_Proyectos!$AP570="","",Portafolio_Proyectos!$AP570),"")</f>
        <v/>
      </c>
      <c r="C1709" s="5" t="str">
        <f>IFERROR(IF(Portafolio_Proyectos!$AP570="","","Emergente"),"")</f>
        <v/>
      </c>
      <c r="D1709" s="5" t="str">
        <f>IFERROR(IF(Portafolio_Proyectos!$AP570="","",Portafolio_Proyectos!$C570),"")</f>
        <v/>
      </c>
      <c r="E1709" s="5" t="str">
        <f>IFERROR(IF(Portafolio_Proyectos!$AP570="","",Portafolio_Proyectos!$B570),"")</f>
        <v/>
      </c>
      <c r="F1709" s="5" t="str">
        <f>IFERROR(IF(Portafolio_Proyectos!$AP570="","",Portafolio_Proyectos!$D570),"")</f>
        <v/>
      </c>
      <c r="G1709" s="5" t="str">
        <f>IFERROR(IF(Portafolio_Proyectos!$AP570="","",Portafolio_Proyectos!$A570),"")</f>
        <v/>
      </c>
      <c r="H1709" s="5" t="str">
        <f>IFERROR(IF(Portafolio_Proyectos!$AP570="","",Portafolio_Proyectos!$E570),"")</f>
        <v/>
      </c>
    </row>
    <row r="1710" spans="1:8" x14ac:dyDescent="0.35">
      <c r="A1710" s="5" t="str">
        <f>IFERROR(IF(Portafolio_Proyectos!$AQ570="","","CAP-"&amp;ROW()-1),"")</f>
        <v/>
      </c>
      <c r="B1710" s="5" t="str">
        <f>IFERROR(IF(Portafolio_Proyectos!$AQ570="","",Portafolio_Proyectos!$AQ570),"")</f>
        <v/>
      </c>
      <c r="C1710" s="5" t="str">
        <f>IFERROR(IF(Portafolio_Proyectos!$AQ570="","","Consolidada"),"")</f>
        <v/>
      </c>
      <c r="D1710" s="5" t="str">
        <f>IFERROR(IF(Portafolio_Proyectos!$AQ570="","",Portafolio_Proyectos!$C570),"")</f>
        <v/>
      </c>
      <c r="E1710" s="5" t="str">
        <f>IFERROR(IF(Portafolio_Proyectos!$AQ570="","",Portafolio_Proyectos!$B570),"")</f>
        <v/>
      </c>
      <c r="F1710" s="5" t="str">
        <f>IFERROR(IF(Portafolio_Proyectos!$AQ570="","",Portafolio_Proyectos!$D570),"")</f>
        <v/>
      </c>
      <c r="G1710" s="5" t="str">
        <f>IFERROR(IF(Portafolio_Proyectos!$AQ570="","",Portafolio_Proyectos!$A570),"")</f>
        <v/>
      </c>
      <c r="H1710" s="5" t="str">
        <f>IFERROR(IF(Portafolio_Proyectos!$AQ570="","",Portafolio_Proyectos!$E570),"")</f>
        <v/>
      </c>
    </row>
    <row r="1711" spans="1:8" x14ac:dyDescent="0.35">
      <c r="A1711" s="5" t="str">
        <f>IFERROR(IF(Portafolio_Proyectos!$AR570="","","CAP-"&amp;ROW()-1),"")</f>
        <v/>
      </c>
      <c r="B1711" s="5" t="str">
        <f>IFERROR(IF(Portafolio_Proyectos!$AR570="","",Portafolio_Proyectos!$AR570),"")</f>
        <v/>
      </c>
      <c r="C1711" s="5" t="str">
        <f>IFERROR(IF(Portafolio_Proyectos!$AR570="","","Distintiva"),"")</f>
        <v/>
      </c>
      <c r="D1711" s="5" t="str">
        <f>IFERROR(IF(Portafolio_Proyectos!$AR570="","",Portafolio_Proyectos!$C570),"")</f>
        <v/>
      </c>
      <c r="E1711" s="5" t="str">
        <f>IFERROR(IF(Portafolio_Proyectos!$AR570="","",Portafolio_Proyectos!$B570),"")</f>
        <v/>
      </c>
      <c r="F1711" s="5" t="str">
        <f>IFERROR(IF(Portafolio_Proyectos!$AR570="","",Portafolio_Proyectos!$D570),"")</f>
        <v/>
      </c>
      <c r="G1711" s="5" t="str">
        <f>IFERROR(IF(Portafolio_Proyectos!$AR570="","",Portafolio_Proyectos!$A570),"")</f>
        <v/>
      </c>
      <c r="H1711" s="5" t="str">
        <f>IFERROR(IF(Portafolio_Proyectos!$AR570="","",Portafolio_Proyectos!$E570),"")</f>
        <v/>
      </c>
    </row>
    <row r="1712" spans="1:8" x14ac:dyDescent="0.35">
      <c r="A1712" s="5" t="str">
        <f>IFERROR(IF(Portafolio_Proyectos!$AP571="","","CAP-"&amp;ROW()-1),"")</f>
        <v/>
      </c>
      <c r="B1712" s="5" t="str">
        <f>IFERROR(IF(Portafolio_Proyectos!$AP571="","",Portafolio_Proyectos!$AP571),"")</f>
        <v/>
      </c>
      <c r="C1712" s="5" t="str">
        <f>IFERROR(IF(Portafolio_Proyectos!$AP571="","","Emergente"),"")</f>
        <v/>
      </c>
      <c r="D1712" s="5" t="str">
        <f>IFERROR(IF(Portafolio_Proyectos!$AP571="","",Portafolio_Proyectos!$C571),"")</f>
        <v/>
      </c>
      <c r="E1712" s="5" t="str">
        <f>IFERROR(IF(Portafolio_Proyectos!$AP571="","",Portafolio_Proyectos!$B571),"")</f>
        <v/>
      </c>
      <c r="F1712" s="5" t="str">
        <f>IFERROR(IF(Portafolio_Proyectos!$AP571="","",Portafolio_Proyectos!$D571),"")</f>
        <v/>
      </c>
      <c r="G1712" s="5" t="str">
        <f>IFERROR(IF(Portafolio_Proyectos!$AP571="","",Portafolio_Proyectos!$A571),"")</f>
        <v/>
      </c>
      <c r="H1712" s="5" t="str">
        <f>IFERROR(IF(Portafolio_Proyectos!$AP571="","",Portafolio_Proyectos!$E571),"")</f>
        <v/>
      </c>
    </row>
    <row r="1713" spans="1:8" x14ac:dyDescent="0.35">
      <c r="A1713" s="5" t="str">
        <f>IFERROR(IF(Portafolio_Proyectos!$AQ571="","","CAP-"&amp;ROW()-1),"")</f>
        <v/>
      </c>
      <c r="B1713" s="5" t="str">
        <f>IFERROR(IF(Portafolio_Proyectos!$AQ571="","",Portafolio_Proyectos!$AQ571),"")</f>
        <v/>
      </c>
      <c r="C1713" s="5" t="str">
        <f>IFERROR(IF(Portafolio_Proyectos!$AQ571="","","Consolidada"),"")</f>
        <v/>
      </c>
      <c r="D1713" s="5" t="str">
        <f>IFERROR(IF(Portafolio_Proyectos!$AQ571="","",Portafolio_Proyectos!$C571),"")</f>
        <v/>
      </c>
      <c r="E1713" s="5" t="str">
        <f>IFERROR(IF(Portafolio_Proyectos!$AQ571="","",Portafolio_Proyectos!$B571),"")</f>
        <v/>
      </c>
      <c r="F1713" s="5" t="str">
        <f>IFERROR(IF(Portafolio_Proyectos!$AQ571="","",Portafolio_Proyectos!$D571),"")</f>
        <v/>
      </c>
      <c r="G1713" s="5" t="str">
        <f>IFERROR(IF(Portafolio_Proyectos!$AQ571="","",Portafolio_Proyectos!$A571),"")</f>
        <v/>
      </c>
      <c r="H1713" s="5" t="str">
        <f>IFERROR(IF(Portafolio_Proyectos!$AQ571="","",Portafolio_Proyectos!$E571),"")</f>
        <v/>
      </c>
    </row>
    <row r="1714" spans="1:8" x14ac:dyDescent="0.35">
      <c r="A1714" s="5" t="str">
        <f>IFERROR(IF(Portafolio_Proyectos!$AR571="","","CAP-"&amp;ROW()-1),"")</f>
        <v/>
      </c>
      <c r="B1714" s="5" t="str">
        <f>IFERROR(IF(Portafolio_Proyectos!$AR571="","",Portafolio_Proyectos!$AR571),"")</f>
        <v/>
      </c>
      <c r="C1714" s="5" t="str">
        <f>IFERROR(IF(Portafolio_Proyectos!$AR571="","","Distintiva"),"")</f>
        <v/>
      </c>
      <c r="D1714" s="5" t="str">
        <f>IFERROR(IF(Portafolio_Proyectos!$AR571="","",Portafolio_Proyectos!$C571),"")</f>
        <v/>
      </c>
      <c r="E1714" s="5" t="str">
        <f>IFERROR(IF(Portafolio_Proyectos!$AR571="","",Portafolio_Proyectos!$B571),"")</f>
        <v/>
      </c>
      <c r="F1714" s="5" t="str">
        <f>IFERROR(IF(Portafolio_Proyectos!$AR571="","",Portafolio_Proyectos!$D571),"")</f>
        <v/>
      </c>
      <c r="G1714" s="5" t="str">
        <f>IFERROR(IF(Portafolio_Proyectos!$AR571="","",Portafolio_Proyectos!$A571),"")</f>
        <v/>
      </c>
      <c r="H1714" s="5" t="str">
        <f>IFERROR(IF(Portafolio_Proyectos!$AR571="","",Portafolio_Proyectos!$E571),"")</f>
        <v/>
      </c>
    </row>
    <row r="1715" spans="1:8" x14ac:dyDescent="0.35">
      <c r="A1715" s="5" t="str">
        <f>IFERROR(IF(Portafolio_Proyectos!$AP572="","","CAP-"&amp;ROW()-1),"")</f>
        <v/>
      </c>
      <c r="B1715" s="5" t="str">
        <f>IFERROR(IF(Portafolio_Proyectos!$AP572="","",Portafolio_Proyectos!$AP572),"")</f>
        <v/>
      </c>
      <c r="C1715" s="5" t="str">
        <f>IFERROR(IF(Portafolio_Proyectos!$AP572="","","Emergente"),"")</f>
        <v/>
      </c>
      <c r="D1715" s="5" t="str">
        <f>IFERROR(IF(Portafolio_Proyectos!$AP572="","",Portafolio_Proyectos!$C572),"")</f>
        <v/>
      </c>
      <c r="E1715" s="5" t="str">
        <f>IFERROR(IF(Portafolio_Proyectos!$AP572="","",Portafolio_Proyectos!$B572),"")</f>
        <v/>
      </c>
      <c r="F1715" s="5" t="str">
        <f>IFERROR(IF(Portafolio_Proyectos!$AP572="","",Portafolio_Proyectos!$D572),"")</f>
        <v/>
      </c>
      <c r="G1715" s="5" t="str">
        <f>IFERROR(IF(Portafolio_Proyectos!$AP572="","",Portafolio_Proyectos!$A572),"")</f>
        <v/>
      </c>
      <c r="H1715" s="5" t="str">
        <f>IFERROR(IF(Portafolio_Proyectos!$AP572="","",Portafolio_Proyectos!$E572),"")</f>
        <v/>
      </c>
    </row>
    <row r="1716" spans="1:8" x14ac:dyDescent="0.35">
      <c r="A1716" s="5" t="str">
        <f>IFERROR(IF(Portafolio_Proyectos!$AQ572="","","CAP-"&amp;ROW()-1),"")</f>
        <v/>
      </c>
      <c r="B1716" s="5" t="str">
        <f>IFERROR(IF(Portafolio_Proyectos!$AQ572="","",Portafolio_Proyectos!$AQ572),"")</f>
        <v/>
      </c>
      <c r="C1716" s="5" t="str">
        <f>IFERROR(IF(Portafolio_Proyectos!$AQ572="","","Consolidada"),"")</f>
        <v/>
      </c>
      <c r="D1716" s="5" t="str">
        <f>IFERROR(IF(Portafolio_Proyectos!$AQ572="","",Portafolio_Proyectos!$C572),"")</f>
        <v/>
      </c>
      <c r="E1716" s="5" t="str">
        <f>IFERROR(IF(Portafolio_Proyectos!$AQ572="","",Portafolio_Proyectos!$B572),"")</f>
        <v/>
      </c>
      <c r="F1716" s="5" t="str">
        <f>IFERROR(IF(Portafolio_Proyectos!$AQ572="","",Portafolio_Proyectos!$D572),"")</f>
        <v/>
      </c>
      <c r="G1716" s="5" t="str">
        <f>IFERROR(IF(Portafolio_Proyectos!$AQ572="","",Portafolio_Proyectos!$A572),"")</f>
        <v/>
      </c>
      <c r="H1716" s="5" t="str">
        <f>IFERROR(IF(Portafolio_Proyectos!$AQ572="","",Portafolio_Proyectos!$E572),"")</f>
        <v/>
      </c>
    </row>
    <row r="1717" spans="1:8" x14ac:dyDescent="0.35">
      <c r="A1717" s="5" t="str">
        <f>IFERROR(IF(Portafolio_Proyectos!$AR572="","","CAP-"&amp;ROW()-1),"")</f>
        <v/>
      </c>
      <c r="B1717" s="5" t="str">
        <f>IFERROR(IF(Portafolio_Proyectos!$AR572="","",Portafolio_Proyectos!$AR572),"")</f>
        <v/>
      </c>
      <c r="C1717" s="5" t="str">
        <f>IFERROR(IF(Portafolio_Proyectos!$AR572="","","Distintiva"),"")</f>
        <v/>
      </c>
      <c r="D1717" s="5" t="str">
        <f>IFERROR(IF(Portafolio_Proyectos!$AR572="","",Portafolio_Proyectos!$C572),"")</f>
        <v/>
      </c>
      <c r="E1717" s="5" t="str">
        <f>IFERROR(IF(Portafolio_Proyectos!$AR572="","",Portafolio_Proyectos!$B572),"")</f>
        <v/>
      </c>
      <c r="F1717" s="5" t="str">
        <f>IFERROR(IF(Portafolio_Proyectos!$AR572="","",Portafolio_Proyectos!$D572),"")</f>
        <v/>
      </c>
      <c r="G1717" s="5" t="str">
        <f>IFERROR(IF(Portafolio_Proyectos!$AR572="","",Portafolio_Proyectos!$A572),"")</f>
        <v/>
      </c>
      <c r="H1717" s="5" t="str">
        <f>IFERROR(IF(Portafolio_Proyectos!$AR572="","",Portafolio_Proyectos!$E572),"")</f>
        <v/>
      </c>
    </row>
    <row r="1718" spans="1:8" x14ac:dyDescent="0.35">
      <c r="A1718" s="5" t="str">
        <f>IFERROR(IF(Portafolio_Proyectos!$AP573="","","CAP-"&amp;ROW()-1),"")</f>
        <v/>
      </c>
      <c r="B1718" s="5" t="str">
        <f>IFERROR(IF(Portafolio_Proyectos!$AP573="","",Portafolio_Proyectos!$AP573),"")</f>
        <v/>
      </c>
      <c r="C1718" s="5" t="str">
        <f>IFERROR(IF(Portafolio_Proyectos!$AP573="","","Emergente"),"")</f>
        <v/>
      </c>
      <c r="D1718" s="5" t="str">
        <f>IFERROR(IF(Portafolio_Proyectos!$AP573="","",Portafolio_Proyectos!$C573),"")</f>
        <v/>
      </c>
      <c r="E1718" s="5" t="str">
        <f>IFERROR(IF(Portafolio_Proyectos!$AP573="","",Portafolio_Proyectos!$B573),"")</f>
        <v/>
      </c>
      <c r="F1718" s="5" t="str">
        <f>IFERROR(IF(Portafolio_Proyectos!$AP573="","",Portafolio_Proyectos!$D573),"")</f>
        <v/>
      </c>
      <c r="G1718" s="5" t="str">
        <f>IFERROR(IF(Portafolio_Proyectos!$AP573="","",Portafolio_Proyectos!$A573),"")</f>
        <v/>
      </c>
      <c r="H1718" s="5" t="str">
        <f>IFERROR(IF(Portafolio_Proyectos!$AP573="","",Portafolio_Proyectos!$E573),"")</f>
        <v/>
      </c>
    </row>
    <row r="1719" spans="1:8" x14ac:dyDescent="0.35">
      <c r="A1719" s="5" t="str">
        <f>IFERROR(IF(Portafolio_Proyectos!$AQ573="","","CAP-"&amp;ROW()-1),"")</f>
        <v/>
      </c>
      <c r="B1719" s="5" t="str">
        <f>IFERROR(IF(Portafolio_Proyectos!$AQ573="","",Portafolio_Proyectos!$AQ573),"")</f>
        <v/>
      </c>
      <c r="C1719" s="5" t="str">
        <f>IFERROR(IF(Portafolio_Proyectos!$AQ573="","","Consolidada"),"")</f>
        <v/>
      </c>
      <c r="D1719" s="5" t="str">
        <f>IFERROR(IF(Portafolio_Proyectos!$AQ573="","",Portafolio_Proyectos!$C573),"")</f>
        <v/>
      </c>
      <c r="E1719" s="5" t="str">
        <f>IFERROR(IF(Portafolio_Proyectos!$AQ573="","",Portafolio_Proyectos!$B573),"")</f>
        <v/>
      </c>
      <c r="F1719" s="5" t="str">
        <f>IFERROR(IF(Portafolio_Proyectos!$AQ573="","",Portafolio_Proyectos!$D573),"")</f>
        <v/>
      </c>
      <c r="G1719" s="5" t="str">
        <f>IFERROR(IF(Portafolio_Proyectos!$AQ573="","",Portafolio_Proyectos!$A573),"")</f>
        <v/>
      </c>
      <c r="H1719" s="5" t="str">
        <f>IFERROR(IF(Portafolio_Proyectos!$AQ573="","",Portafolio_Proyectos!$E573),"")</f>
        <v/>
      </c>
    </row>
    <row r="1720" spans="1:8" x14ac:dyDescent="0.35">
      <c r="A1720" s="5" t="str">
        <f>IFERROR(IF(Portafolio_Proyectos!$AR573="","","CAP-"&amp;ROW()-1),"")</f>
        <v/>
      </c>
      <c r="B1720" s="5" t="str">
        <f>IFERROR(IF(Portafolio_Proyectos!$AR573="","",Portafolio_Proyectos!$AR573),"")</f>
        <v/>
      </c>
      <c r="C1720" s="5" t="str">
        <f>IFERROR(IF(Portafolio_Proyectos!$AR573="","","Distintiva"),"")</f>
        <v/>
      </c>
      <c r="D1720" s="5" t="str">
        <f>IFERROR(IF(Portafolio_Proyectos!$AR573="","",Portafolio_Proyectos!$C573),"")</f>
        <v/>
      </c>
      <c r="E1720" s="5" t="str">
        <f>IFERROR(IF(Portafolio_Proyectos!$AR573="","",Portafolio_Proyectos!$B573),"")</f>
        <v/>
      </c>
      <c r="F1720" s="5" t="str">
        <f>IFERROR(IF(Portafolio_Proyectos!$AR573="","",Portafolio_Proyectos!$D573),"")</f>
        <v/>
      </c>
      <c r="G1720" s="5" t="str">
        <f>IFERROR(IF(Portafolio_Proyectos!$AR573="","",Portafolio_Proyectos!$A573),"")</f>
        <v/>
      </c>
      <c r="H1720" s="5" t="str">
        <f>IFERROR(IF(Portafolio_Proyectos!$AR573="","",Portafolio_Proyectos!$E573),"")</f>
        <v/>
      </c>
    </row>
    <row r="1721" spans="1:8" x14ac:dyDescent="0.35">
      <c r="A1721" s="5" t="str">
        <f>IFERROR(IF(Portafolio_Proyectos!$AP574="","","CAP-"&amp;ROW()-1),"")</f>
        <v/>
      </c>
      <c r="B1721" s="5" t="str">
        <f>IFERROR(IF(Portafolio_Proyectos!$AP574="","",Portafolio_Proyectos!$AP574),"")</f>
        <v/>
      </c>
      <c r="C1721" s="5" t="str">
        <f>IFERROR(IF(Portafolio_Proyectos!$AP574="","","Emergente"),"")</f>
        <v/>
      </c>
      <c r="D1721" s="5" t="str">
        <f>IFERROR(IF(Portafolio_Proyectos!$AP574="","",Portafolio_Proyectos!$C574),"")</f>
        <v/>
      </c>
      <c r="E1721" s="5" t="str">
        <f>IFERROR(IF(Portafolio_Proyectos!$AP574="","",Portafolio_Proyectos!$B574),"")</f>
        <v/>
      </c>
      <c r="F1721" s="5" t="str">
        <f>IFERROR(IF(Portafolio_Proyectos!$AP574="","",Portafolio_Proyectos!$D574),"")</f>
        <v/>
      </c>
      <c r="G1721" s="5" t="str">
        <f>IFERROR(IF(Portafolio_Proyectos!$AP574="","",Portafolio_Proyectos!$A574),"")</f>
        <v/>
      </c>
      <c r="H1721" s="5" t="str">
        <f>IFERROR(IF(Portafolio_Proyectos!$AP574="","",Portafolio_Proyectos!$E574),"")</f>
        <v/>
      </c>
    </row>
    <row r="1722" spans="1:8" x14ac:dyDescent="0.35">
      <c r="A1722" s="5" t="str">
        <f>IFERROR(IF(Portafolio_Proyectos!$AQ574="","","CAP-"&amp;ROW()-1),"")</f>
        <v/>
      </c>
      <c r="B1722" s="5" t="str">
        <f>IFERROR(IF(Portafolio_Proyectos!$AQ574="","",Portafolio_Proyectos!$AQ574),"")</f>
        <v/>
      </c>
      <c r="C1722" s="5" t="str">
        <f>IFERROR(IF(Portafolio_Proyectos!$AQ574="","","Consolidada"),"")</f>
        <v/>
      </c>
      <c r="D1722" s="5" t="str">
        <f>IFERROR(IF(Portafolio_Proyectos!$AQ574="","",Portafolio_Proyectos!$C574),"")</f>
        <v/>
      </c>
      <c r="E1722" s="5" t="str">
        <f>IFERROR(IF(Portafolio_Proyectos!$AQ574="","",Portafolio_Proyectos!$B574),"")</f>
        <v/>
      </c>
      <c r="F1722" s="5" t="str">
        <f>IFERROR(IF(Portafolio_Proyectos!$AQ574="","",Portafolio_Proyectos!$D574),"")</f>
        <v/>
      </c>
      <c r="G1722" s="5" t="str">
        <f>IFERROR(IF(Portafolio_Proyectos!$AQ574="","",Portafolio_Proyectos!$A574),"")</f>
        <v/>
      </c>
      <c r="H1722" s="5" t="str">
        <f>IFERROR(IF(Portafolio_Proyectos!$AQ574="","",Portafolio_Proyectos!$E574),"")</f>
        <v/>
      </c>
    </row>
    <row r="1723" spans="1:8" x14ac:dyDescent="0.35">
      <c r="A1723" s="5" t="str">
        <f>IFERROR(IF(Portafolio_Proyectos!$AR574="","","CAP-"&amp;ROW()-1),"")</f>
        <v/>
      </c>
      <c r="B1723" s="5" t="str">
        <f>IFERROR(IF(Portafolio_Proyectos!$AR574="","",Portafolio_Proyectos!$AR574),"")</f>
        <v/>
      </c>
      <c r="C1723" s="5" t="str">
        <f>IFERROR(IF(Portafolio_Proyectos!$AR574="","","Distintiva"),"")</f>
        <v/>
      </c>
      <c r="D1723" s="5" t="str">
        <f>IFERROR(IF(Portafolio_Proyectos!$AR574="","",Portafolio_Proyectos!$C574),"")</f>
        <v/>
      </c>
      <c r="E1723" s="5" t="str">
        <f>IFERROR(IF(Portafolio_Proyectos!$AR574="","",Portafolio_Proyectos!$B574),"")</f>
        <v/>
      </c>
      <c r="F1723" s="5" t="str">
        <f>IFERROR(IF(Portafolio_Proyectos!$AR574="","",Portafolio_Proyectos!$D574),"")</f>
        <v/>
      </c>
      <c r="G1723" s="5" t="str">
        <f>IFERROR(IF(Portafolio_Proyectos!$AR574="","",Portafolio_Proyectos!$A574),"")</f>
        <v/>
      </c>
      <c r="H1723" s="5" t="str">
        <f>IFERROR(IF(Portafolio_Proyectos!$AR574="","",Portafolio_Proyectos!$E574),"")</f>
        <v/>
      </c>
    </row>
    <row r="1724" spans="1:8" x14ac:dyDescent="0.35">
      <c r="A1724" s="5" t="str">
        <f>IFERROR(IF(Portafolio_Proyectos!$AP575="","","CAP-"&amp;ROW()-1),"")</f>
        <v/>
      </c>
      <c r="B1724" s="5" t="str">
        <f>IFERROR(IF(Portafolio_Proyectos!$AP575="","",Portafolio_Proyectos!$AP575),"")</f>
        <v/>
      </c>
      <c r="C1724" s="5" t="str">
        <f>IFERROR(IF(Portafolio_Proyectos!$AP575="","","Emergente"),"")</f>
        <v/>
      </c>
      <c r="D1724" s="5" t="str">
        <f>IFERROR(IF(Portafolio_Proyectos!$AP575="","",Portafolio_Proyectos!$C575),"")</f>
        <v/>
      </c>
      <c r="E1724" s="5" t="str">
        <f>IFERROR(IF(Portafolio_Proyectos!$AP575="","",Portafolio_Proyectos!$B575),"")</f>
        <v/>
      </c>
      <c r="F1724" s="5" t="str">
        <f>IFERROR(IF(Portafolio_Proyectos!$AP575="","",Portafolio_Proyectos!$D575),"")</f>
        <v/>
      </c>
      <c r="G1724" s="5" t="str">
        <f>IFERROR(IF(Portafolio_Proyectos!$AP575="","",Portafolio_Proyectos!$A575),"")</f>
        <v/>
      </c>
      <c r="H1724" s="5" t="str">
        <f>IFERROR(IF(Portafolio_Proyectos!$AP575="","",Portafolio_Proyectos!$E575),"")</f>
        <v/>
      </c>
    </row>
    <row r="1725" spans="1:8" x14ac:dyDescent="0.35">
      <c r="A1725" s="5" t="str">
        <f>IFERROR(IF(Portafolio_Proyectos!$AQ575="","","CAP-"&amp;ROW()-1),"")</f>
        <v/>
      </c>
      <c r="B1725" s="5" t="str">
        <f>IFERROR(IF(Portafolio_Proyectos!$AQ575="","",Portafolio_Proyectos!$AQ575),"")</f>
        <v/>
      </c>
      <c r="C1725" s="5" t="str">
        <f>IFERROR(IF(Portafolio_Proyectos!$AQ575="","","Consolidada"),"")</f>
        <v/>
      </c>
      <c r="D1725" s="5" t="str">
        <f>IFERROR(IF(Portafolio_Proyectos!$AQ575="","",Portafolio_Proyectos!$C575),"")</f>
        <v/>
      </c>
      <c r="E1725" s="5" t="str">
        <f>IFERROR(IF(Portafolio_Proyectos!$AQ575="","",Portafolio_Proyectos!$B575),"")</f>
        <v/>
      </c>
      <c r="F1725" s="5" t="str">
        <f>IFERROR(IF(Portafolio_Proyectos!$AQ575="","",Portafolio_Proyectos!$D575),"")</f>
        <v/>
      </c>
      <c r="G1725" s="5" t="str">
        <f>IFERROR(IF(Portafolio_Proyectos!$AQ575="","",Portafolio_Proyectos!$A575),"")</f>
        <v/>
      </c>
      <c r="H1725" s="5" t="str">
        <f>IFERROR(IF(Portafolio_Proyectos!$AQ575="","",Portafolio_Proyectos!$E575),"")</f>
        <v/>
      </c>
    </row>
    <row r="1726" spans="1:8" x14ac:dyDescent="0.35">
      <c r="A1726" s="5" t="str">
        <f>IFERROR(IF(Portafolio_Proyectos!$AR575="","","CAP-"&amp;ROW()-1),"")</f>
        <v/>
      </c>
      <c r="B1726" s="5" t="str">
        <f>IFERROR(IF(Portafolio_Proyectos!$AR575="","",Portafolio_Proyectos!$AR575),"")</f>
        <v/>
      </c>
      <c r="C1726" s="5" t="str">
        <f>IFERROR(IF(Portafolio_Proyectos!$AR575="","","Distintiva"),"")</f>
        <v/>
      </c>
      <c r="D1726" s="5" t="str">
        <f>IFERROR(IF(Portafolio_Proyectos!$AR575="","",Portafolio_Proyectos!$C575),"")</f>
        <v/>
      </c>
      <c r="E1726" s="5" t="str">
        <f>IFERROR(IF(Portafolio_Proyectos!$AR575="","",Portafolio_Proyectos!$B575),"")</f>
        <v/>
      </c>
      <c r="F1726" s="5" t="str">
        <f>IFERROR(IF(Portafolio_Proyectos!$AR575="","",Portafolio_Proyectos!$D575),"")</f>
        <v/>
      </c>
      <c r="G1726" s="5" t="str">
        <f>IFERROR(IF(Portafolio_Proyectos!$AR575="","",Portafolio_Proyectos!$A575),"")</f>
        <v/>
      </c>
      <c r="H1726" s="5" t="str">
        <f>IFERROR(IF(Portafolio_Proyectos!$AR575="","",Portafolio_Proyectos!$E575),"")</f>
        <v/>
      </c>
    </row>
    <row r="1727" spans="1:8" x14ac:dyDescent="0.35">
      <c r="A1727" s="5" t="str">
        <f>IFERROR(IF(Portafolio_Proyectos!$AP576="","","CAP-"&amp;ROW()-1),"")</f>
        <v/>
      </c>
      <c r="B1727" s="5" t="str">
        <f>IFERROR(IF(Portafolio_Proyectos!$AP576="","",Portafolio_Proyectos!$AP576),"")</f>
        <v/>
      </c>
      <c r="C1727" s="5" t="str">
        <f>IFERROR(IF(Portafolio_Proyectos!$AP576="","","Emergente"),"")</f>
        <v/>
      </c>
      <c r="D1727" s="5" t="str">
        <f>IFERROR(IF(Portafolio_Proyectos!$AP576="","",Portafolio_Proyectos!$C576),"")</f>
        <v/>
      </c>
      <c r="E1727" s="5" t="str">
        <f>IFERROR(IF(Portafolio_Proyectos!$AP576="","",Portafolio_Proyectos!$B576),"")</f>
        <v/>
      </c>
      <c r="F1727" s="5" t="str">
        <f>IFERROR(IF(Portafolio_Proyectos!$AP576="","",Portafolio_Proyectos!$D576),"")</f>
        <v/>
      </c>
      <c r="G1727" s="5" t="str">
        <f>IFERROR(IF(Portafolio_Proyectos!$AP576="","",Portafolio_Proyectos!$A576),"")</f>
        <v/>
      </c>
      <c r="H1727" s="5" t="str">
        <f>IFERROR(IF(Portafolio_Proyectos!$AP576="","",Portafolio_Proyectos!$E576),"")</f>
        <v/>
      </c>
    </row>
    <row r="1728" spans="1:8" x14ac:dyDescent="0.35">
      <c r="A1728" s="5" t="str">
        <f>IFERROR(IF(Portafolio_Proyectos!$AQ576="","","CAP-"&amp;ROW()-1),"")</f>
        <v/>
      </c>
      <c r="B1728" s="5" t="str">
        <f>IFERROR(IF(Portafolio_Proyectos!$AQ576="","",Portafolio_Proyectos!$AQ576),"")</f>
        <v/>
      </c>
      <c r="C1728" s="5" t="str">
        <f>IFERROR(IF(Portafolio_Proyectos!$AQ576="","","Consolidada"),"")</f>
        <v/>
      </c>
      <c r="D1728" s="5" t="str">
        <f>IFERROR(IF(Portafolio_Proyectos!$AQ576="","",Portafolio_Proyectos!$C576),"")</f>
        <v/>
      </c>
      <c r="E1728" s="5" t="str">
        <f>IFERROR(IF(Portafolio_Proyectos!$AQ576="","",Portafolio_Proyectos!$B576),"")</f>
        <v/>
      </c>
      <c r="F1728" s="5" t="str">
        <f>IFERROR(IF(Portafolio_Proyectos!$AQ576="","",Portafolio_Proyectos!$D576),"")</f>
        <v/>
      </c>
      <c r="G1728" s="5" t="str">
        <f>IFERROR(IF(Portafolio_Proyectos!$AQ576="","",Portafolio_Proyectos!$A576),"")</f>
        <v/>
      </c>
      <c r="H1728" s="5" t="str">
        <f>IFERROR(IF(Portafolio_Proyectos!$AQ576="","",Portafolio_Proyectos!$E576),"")</f>
        <v/>
      </c>
    </row>
    <row r="1729" spans="1:8" x14ac:dyDescent="0.35">
      <c r="A1729" s="5" t="str">
        <f>IFERROR(IF(Portafolio_Proyectos!$AR576="","","CAP-"&amp;ROW()-1),"")</f>
        <v/>
      </c>
      <c r="B1729" s="5" t="str">
        <f>IFERROR(IF(Portafolio_Proyectos!$AR576="","",Portafolio_Proyectos!$AR576),"")</f>
        <v/>
      </c>
      <c r="C1729" s="5" t="str">
        <f>IFERROR(IF(Portafolio_Proyectos!$AR576="","","Distintiva"),"")</f>
        <v/>
      </c>
      <c r="D1729" s="5" t="str">
        <f>IFERROR(IF(Portafolio_Proyectos!$AR576="","",Portafolio_Proyectos!$C576),"")</f>
        <v/>
      </c>
      <c r="E1729" s="5" t="str">
        <f>IFERROR(IF(Portafolio_Proyectos!$AR576="","",Portafolio_Proyectos!$B576),"")</f>
        <v/>
      </c>
      <c r="F1729" s="5" t="str">
        <f>IFERROR(IF(Portafolio_Proyectos!$AR576="","",Portafolio_Proyectos!$D576),"")</f>
        <v/>
      </c>
      <c r="G1729" s="5" t="str">
        <f>IFERROR(IF(Portafolio_Proyectos!$AR576="","",Portafolio_Proyectos!$A576),"")</f>
        <v/>
      </c>
      <c r="H1729" s="5" t="str">
        <f>IFERROR(IF(Portafolio_Proyectos!$AR576="","",Portafolio_Proyectos!$E576),"")</f>
        <v/>
      </c>
    </row>
    <row r="1730" spans="1:8" x14ac:dyDescent="0.35">
      <c r="A1730" s="5" t="str">
        <f>IFERROR(IF(Portafolio_Proyectos!$AP577="","","CAP-"&amp;ROW()-1),"")</f>
        <v/>
      </c>
      <c r="B1730" s="5" t="str">
        <f>IFERROR(IF(Portafolio_Proyectos!$AP577="","",Portafolio_Proyectos!$AP577),"")</f>
        <v/>
      </c>
      <c r="C1730" s="5" t="str">
        <f>IFERROR(IF(Portafolio_Proyectos!$AP577="","","Emergente"),"")</f>
        <v/>
      </c>
      <c r="D1730" s="5" t="str">
        <f>IFERROR(IF(Portafolio_Proyectos!$AP577="","",Portafolio_Proyectos!$C577),"")</f>
        <v/>
      </c>
      <c r="E1730" s="5" t="str">
        <f>IFERROR(IF(Portafolio_Proyectos!$AP577="","",Portafolio_Proyectos!$B577),"")</f>
        <v/>
      </c>
      <c r="F1730" s="5" t="str">
        <f>IFERROR(IF(Portafolio_Proyectos!$AP577="","",Portafolio_Proyectos!$D577),"")</f>
        <v/>
      </c>
      <c r="G1730" s="5" t="str">
        <f>IFERROR(IF(Portafolio_Proyectos!$AP577="","",Portafolio_Proyectos!$A577),"")</f>
        <v/>
      </c>
      <c r="H1730" s="5" t="str">
        <f>IFERROR(IF(Portafolio_Proyectos!$AP577="","",Portafolio_Proyectos!$E577),"")</f>
        <v/>
      </c>
    </row>
    <row r="1731" spans="1:8" x14ac:dyDescent="0.35">
      <c r="A1731" s="5" t="str">
        <f>IFERROR(IF(Portafolio_Proyectos!$AQ577="","","CAP-"&amp;ROW()-1),"")</f>
        <v/>
      </c>
      <c r="B1731" s="5" t="str">
        <f>IFERROR(IF(Portafolio_Proyectos!$AQ577="","",Portafolio_Proyectos!$AQ577),"")</f>
        <v/>
      </c>
      <c r="C1731" s="5" t="str">
        <f>IFERROR(IF(Portafolio_Proyectos!$AQ577="","","Consolidada"),"")</f>
        <v/>
      </c>
      <c r="D1731" s="5" t="str">
        <f>IFERROR(IF(Portafolio_Proyectos!$AQ577="","",Portafolio_Proyectos!$C577),"")</f>
        <v/>
      </c>
      <c r="E1731" s="5" t="str">
        <f>IFERROR(IF(Portafolio_Proyectos!$AQ577="","",Portafolio_Proyectos!$B577),"")</f>
        <v/>
      </c>
      <c r="F1731" s="5" t="str">
        <f>IFERROR(IF(Portafolio_Proyectos!$AQ577="","",Portafolio_Proyectos!$D577),"")</f>
        <v/>
      </c>
      <c r="G1731" s="5" t="str">
        <f>IFERROR(IF(Portafolio_Proyectos!$AQ577="","",Portafolio_Proyectos!$A577),"")</f>
        <v/>
      </c>
      <c r="H1731" s="5" t="str">
        <f>IFERROR(IF(Portafolio_Proyectos!$AQ577="","",Portafolio_Proyectos!$E577),"")</f>
        <v/>
      </c>
    </row>
    <row r="1732" spans="1:8" x14ac:dyDescent="0.35">
      <c r="A1732" s="5" t="str">
        <f>IFERROR(IF(Portafolio_Proyectos!$AR577="","","CAP-"&amp;ROW()-1),"")</f>
        <v/>
      </c>
      <c r="B1732" s="5" t="str">
        <f>IFERROR(IF(Portafolio_Proyectos!$AR577="","",Portafolio_Proyectos!$AR577),"")</f>
        <v/>
      </c>
      <c r="C1732" s="5" t="str">
        <f>IFERROR(IF(Portafolio_Proyectos!$AR577="","","Distintiva"),"")</f>
        <v/>
      </c>
      <c r="D1732" s="5" t="str">
        <f>IFERROR(IF(Portafolio_Proyectos!$AR577="","",Portafolio_Proyectos!$C577),"")</f>
        <v/>
      </c>
      <c r="E1732" s="5" t="str">
        <f>IFERROR(IF(Portafolio_Proyectos!$AR577="","",Portafolio_Proyectos!$B577),"")</f>
        <v/>
      </c>
      <c r="F1732" s="5" t="str">
        <f>IFERROR(IF(Portafolio_Proyectos!$AR577="","",Portafolio_Proyectos!$D577),"")</f>
        <v/>
      </c>
      <c r="G1732" s="5" t="str">
        <f>IFERROR(IF(Portafolio_Proyectos!$AR577="","",Portafolio_Proyectos!$A577),"")</f>
        <v/>
      </c>
      <c r="H1732" s="5" t="str">
        <f>IFERROR(IF(Portafolio_Proyectos!$AR577="","",Portafolio_Proyectos!$E577),"")</f>
        <v/>
      </c>
    </row>
    <row r="1733" spans="1:8" x14ac:dyDescent="0.35">
      <c r="A1733" s="5" t="str">
        <f>IFERROR(IF(Portafolio_Proyectos!$AP578="","","CAP-"&amp;ROW()-1),"")</f>
        <v/>
      </c>
      <c r="B1733" s="5" t="str">
        <f>IFERROR(IF(Portafolio_Proyectos!$AP578="","",Portafolio_Proyectos!$AP578),"")</f>
        <v/>
      </c>
      <c r="C1733" s="5" t="str">
        <f>IFERROR(IF(Portafolio_Proyectos!$AP578="","","Emergente"),"")</f>
        <v/>
      </c>
      <c r="D1733" s="5" t="str">
        <f>IFERROR(IF(Portafolio_Proyectos!$AP578="","",Portafolio_Proyectos!$C578),"")</f>
        <v/>
      </c>
      <c r="E1733" s="5" t="str">
        <f>IFERROR(IF(Portafolio_Proyectos!$AP578="","",Portafolio_Proyectos!$B578),"")</f>
        <v/>
      </c>
      <c r="F1733" s="5" t="str">
        <f>IFERROR(IF(Portafolio_Proyectos!$AP578="","",Portafolio_Proyectos!$D578),"")</f>
        <v/>
      </c>
      <c r="G1733" s="5" t="str">
        <f>IFERROR(IF(Portafolio_Proyectos!$AP578="","",Portafolio_Proyectos!$A578),"")</f>
        <v/>
      </c>
      <c r="H1733" s="5" t="str">
        <f>IFERROR(IF(Portafolio_Proyectos!$AP578="","",Portafolio_Proyectos!$E578),"")</f>
        <v/>
      </c>
    </row>
    <row r="1734" spans="1:8" x14ac:dyDescent="0.35">
      <c r="A1734" s="5" t="str">
        <f>IFERROR(IF(Portafolio_Proyectos!$AQ578="","","CAP-"&amp;ROW()-1),"")</f>
        <v/>
      </c>
      <c r="B1734" s="5" t="str">
        <f>IFERROR(IF(Portafolio_Proyectos!$AQ578="","",Portafolio_Proyectos!$AQ578),"")</f>
        <v/>
      </c>
      <c r="C1734" s="5" t="str">
        <f>IFERROR(IF(Portafolio_Proyectos!$AQ578="","","Consolidada"),"")</f>
        <v/>
      </c>
      <c r="D1734" s="5" t="str">
        <f>IFERROR(IF(Portafolio_Proyectos!$AQ578="","",Portafolio_Proyectos!$C578),"")</f>
        <v/>
      </c>
      <c r="E1734" s="5" t="str">
        <f>IFERROR(IF(Portafolio_Proyectos!$AQ578="","",Portafolio_Proyectos!$B578),"")</f>
        <v/>
      </c>
      <c r="F1734" s="5" t="str">
        <f>IFERROR(IF(Portafolio_Proyectos!$AQ578="","",Portafolio_Proyectos!$D578),"")</f>
        <v/>
      </c>
      <c r="G1734" s="5" t="str">
        <f>IFERROR(IF(Portafolio_Proyectos!$AQ578="","",Portafolio_Proyectos!$A578),"")</f>
        <v/>
      </c>
      <c r="H1734" s="5" t="str">
        <f>IFERROR(IF(Portafolio_Proyectos!$AQ578="","",Portafolio_Proyectos!$E578),"")</f>
        <v/>
      </c>
    </row>
    <row r="1735" spans="1:8" x14ac:dyDescent="0.35">
      <c r="A1735" s="5" t="str">
        <f>IFERROR(IF(Portafolio_Proyectos!$AR578="","","CAP-"&amp;ROW()-1),"")</f>
        <v/>
      </c>
      <c r="B1735" s="5" t="str">
        <f>IFERROR(IF(Portafolio_Proyectos!$AR578="","",Portafolio_Proyectos!$AR578),"")</f>
        <v/>
      </c>
      <c r="C1735" s="5" t="str">
        <f>IFERROR(IF(Portafolio_Proyectos!$AR578="","","Distintiva"),"")</f>
        <v/>
      </c>
      <c r="D1735" s="5" t="str">
        <f>IFERROR(IF(Portafolio_Proyectos!$AR578="","",Portafolio_Proyectos!$C578),"")</f>
        <v/>
      </c>
      <c r="E1735" s="5" t="str">
        <f>IFERROR(IF(Portafolio_Proyectos!$AR578="","",Portafolio_Proyectos!$B578),"")</f>
        <v/>
      </c>
      <c r="F1735" s="5" t="str">
        <f>IFERROR(IF(Portafolio_Proyectos!$AR578="","",Portafolio_Proyectos!$D578),"")</f>
        <v/>
      </c>
      <c r="G1735" s="5" t="str">
        <f>IFERROR(IF(Portafolio_Proyectos!$AR578="","",Portafolio_Proyectos!$A578),"")</f>
        <v/>
      </c>
      <c r="H1735" s="5" t="str">
        <f>IFERROR(IF(Portafolio_Proyectos!$AR578="","",Portafolio_Proyectos!$E578),"")</f>
        <v/>
      </c>
    </row>
    <row r="1736" spans="1:8" x14ac:dyDescent="0.35">
      <c r="A1736" s="5" t="str">
        <f>IFERROR(IF(Portafolio_Proyectos!$AP579="","","CAP-"&amp;ROW()-1),"")</f>
        <v/>
      </c>
      <c r="B1736" s="5" t="str">
        <f>IFERROR(IF(Portafolio_Proyectos!$AP579="","",Portafolio_Proyectos!$AP579),"")</f>
        <v/>
      </c>
      <c r="C1736" s="5" t="str">
        <f>IFERROR(IF(Portafolio_Proyectos!$AP579="","","Emergente"),"")</f>
        <v/>
      </c>
      <c r="D1736" s="5" t="str">
        <f>IFERROR(IF(Portafolio_Proyectos!$AP579="","",Portafolio_Proyectos!$C579),"")</f>
        <v/>
      </c>
      <c r="E1736" s="5" t="str">
        <f>IFERROR(IF(Portafolio_Proyectos!$AP579="","",Portafolio_Proyectos!$B579),"")</f>
        <v/>
      </c>
      <c r="F1736" s="5" t="str">
        <f>IFERROR(IF(Portafolio_Proyectos!$AP579="","",Portafolio_Proyectos!$D579),"")</f>
        <v/>
      </c>
      <c r="G1736" s="5" t="str">
        <f>IFERROR(IF(Portafolio_Proyectos!$AP579="","",Portafolio_Proyectos!$A579),"")</f>
        <v/>
      </c>
      <c r="H1736" s="5" t="str">
        <f>IFERROR(IF(Portafolio_Proyectos!$AP579="","",Portafolio_Proyectos!$E579),"")</f>
        <v/>
      </c>
    </row>
    <row r="1737" spans="1:8" x14ac:dyDescent="0.35">
      <c r="A1737" s="5" t="str">
        <f>IFERROR(IF(Portafolio_Proyectos!$AQ579="","","CAP-"&amp;ROW()-1),"")</f>
        <v/>
      </c>
      <c r="B1737" s="5" t="str">
        <f>IFERROR(IF(Portafolio_Proyectos!$AQ579="","",Portafolio_Proyectos!$AQ579),"")</f>
        <v/>
      </c>
      <c r="C1737" s="5" t="str">
        <f>IFERROR(IF(Portafolio_Proyectos!$AQ579="","","Consolidada"),"")</f>
        <v/>
      </c>
      <c r="D1737" s="5" t="str">
        <f>IFERROR(IF(Portafolio_Proyectos!$AQ579="","",Portafolio_Proyectos!$C579),"")</f>
        <v/>
      </c>
      <c r="E1737" s="5" t="str">
        <f>IFERROR(IF(Portafolio_Proyectos!$AQ579="","",Portafolio_Proyectos!$B579),"")</f>
        <v/>
      </c>
      <c r="F1737" s="5" t="str">
        <f>IFERROR(IF(Portafolio_Proyectos!$AQ579="","",Portafolio_Proyectos!$D579),"")</f>
        <v/>
      </c>
      <c r="G1737" s="5" t="str">
        <f>IFERROR(IF(Portafolio_Proyectos!$AQ579="","",Portafolio_Proyectos!$A579),"")</f>
        <v/>
      </c>
      <c r="H1737" s="5" t="str">
        <f>IFERROR(IF(Portafolio_Proyectos!$AQ579="","",Portafolio_Proyectos!$E579),"")</f>
        <v/>
      </c>
    </row>
    <row r="1738" spans="1:8" x14ac:dyDescent="0.35">
      <c r="A1738" s="5" t="str">
        <f>IFERROR(IF(Portafolio_Proyectos!$AR579="","","CAP-"&amp;ROW()-1),"")</f>
        <v/>
      </c>
      <c r="B1738" s="5" t="str">
        <f>IFERROR(IF(Portafolio_Proyectos!$AR579="","",Portafolio_Proyectos!$AR579),"")</f>
        <v/>
      </c>
      <c r="C1738" s="5" t="str">
        <f>IFERROR(IF(Portafolio_Proyectos!$AR579="","","Distintiva"),"")</f>
        <v/>
      </c>
      <c r="D1738" s="5" t="str">
        <f>IFERROR(IF(Portafolio_Proyectos!$AR579="","",Portafolio_Proyectos!$C579),"")</f>
        <v/>
      </c>
      <c r="E1738" s="5" t="str">
        <f>IFERROR(IF(Portafolio_Proyectos!$AR579="","",Portafolio_Proyectos!$B579),"")</f>
        <v/>
      </c>
      <c r="F1738" s="5" t="str">
        <f>IFERROR(IF(Portafolio_Proyectos!$AR579="","",Portafolio_Proyectos!$D579),"")</f>
        <v/>
      </c>
      <c r="G1738" s="5" t="str">
        <f>IFERROR(IF(Portafolio_Proyectos!$AR579="","",Portafolio_Proyectos!$A579),"")</f>
        <v/>
      </c>
      <c r="H1738" s="5" t="str">
        <f>IFERROR(IF(Portafolio_Proyectos!$AR579="","",Portafolio_Proyectos!$E579),"")</f>
        <v/>
      </c>
    </row>
    <row r="1739" spans="1:8" x14ac:dyDescent="0.35">
      <c r="A1739" s="5" t="str">
        <f>IFERROR(IF(Portafolio_Proyectos!$AP580="","","CAP-"&amp;ROW()-1),"")</f>
        <v/>
      </c>
      <c r="B1739" s="5" t="str">
        <f>IFERROR(IF(Portafolio_Proyectos!$AP580="","",Portafolio_Proyectos!$AP580),"")</f>
        <v/>
      </c>
      <c r="C1739" s="5" t="str">
        <f>IFERROR(IF(Portafolio_Proyectos!$AP580="","","Emergente"),"")</f>
        <v/>
      </c>
      <c r="D1739" s="5" t="str">
        <f>IFERROR(IF(Portafolio_Proyectos!$AP580="","",Portafolio_Proyectos!$C580),"")</f>
        <v/>
      </c>
      <c r="E1739" s="5" t="str">
        <f>IFERROR(IF(Portafolio_Proyectos!$AP580="","",Portafolio_Proyectos!$B580),"")</f>
        <v/>
      </c>
      <c r="F1739" s="5" t="str">
        <f>IFERROR(IF(Portafolio_Proyectos!$AP580="","",Portafolio_Proyectos!$D580),"")</f>
        <v/>
      </c>
      <c r="G1739" s="5" t="str">
        <f>IFERROR(IF(Portafolio_Proyectos!$AP580="","",Portafolio_Proyectos!$A580),"")</f>
        <v/>
      </c>
      <c r="H1739" s="5" t="str">
        <f>IFERROR(IF(Portafolio_Proyectos!$AP580="","",Portafolio_Proyectos!$E580),"")</f>
        <v/>
      </c>
    </row>
    <row r="1740" spans="1:8" x14ac:dyDescent="0.35">
      <c r="A1740" s="5" t="str">
        <f>IFERROR(IF(Portafolio_Proyectos!$AQ580="","","CAP-"&amp;ROW()-1),"")</f>
        <v/>
      </c>
      <c r="B1740" s="5" t="str">
        <f>IFERROR(IF(Portafolio_Proyectos!$AQ580="","",Portafolio_Proyectos!$AQ580),"")</f>
        <v/>
      </c>
      <c r="C1740" s="5" t="str">
        <f>IFERROR(IF(Portafolio_Proyectos!$AQ580="","","Consolidada"),"")</f>
        <v/>
      </c>
      <c r="D1740" s="5" t="str">
        <f>IFERROR(IF(Portafolio_Proyectos!$AQ580="","",Portafolio_Proyectos!$C580),"")</f>
        <v/>
      </c>
      <c r="E1740" s="5" t="str">
        <f>IFERROR(IF(Portafolio_Proyectos!$AQ580="","",Portafolio_Proyectos!$B580),"")</f>
        <v/>
      </c>
      <c r="F1740" s="5" t="str">
        <f>IFERROR(IF(Portafolio_Proyectos!$AQ580="","",Portafolio_Proyectos!$D580),"")</f>
        <v/>
      </c>
      <c r="G1740" s="5" t="str">
        <f>IFERROR(IF(Portafolio_Proyectos!$AQ580="","",Portafolio_Proyectos!$A580),"")</f>
        <v/>
      </c>
      <c r="H1740" s="5" t="str">
        <f>IFERROR(IF(Portafolio_Proyectos!$AQ580="","",Portafolio_Proyectos!$E580),"")</f>
        <v/>
      </c>
    </row>
    <row r="1741" spans="1:8" x14ac:dyDescent="0.35">
      <c r="A1741" s="5" t="str">
        <f>IFERROR(IF(Portafolio_Proyectos!$AR580="","","CAP-"&amp;ROW()-1),"")</f>
        <v/>
      </c>
      <c r="B1741" s="5" t="str">
        <f>IFERROR(IF(Portafolio_Proyectos!$AR580="","",Portafolio_Proyectos!$AR580),"")</f>
        <v/>
      </c>
      <c r="C1741" s="5" t="str">
        <f>IFERROR(IF(Portafolio_Proyectos!$AR580="","","Distintiva"),"")</f>
        <v/>
      </c>
      <c r="D1741" s="5" t="str">
        <f>IFERROR(IF(Portafolio_Proyectos!$AR580="","",Portafolio_Proyectos!$C580),"")</f>
        <v/>
      </c>
      <c r="E1741" s="5" t="str">
        <f>IFERROR(IF(Portafolio_Proyectos!$AR580="","",Portafolio_Proyectos!$B580),"")</f>
        <v/>
      </c>
      <c r="F1741" s="5" t="str">
        <f>IFERROR(IF(Portafolio_Proyectos!$AR580="","",Portafolio_Proyectos!$D580),"")</f>
        <v/>
      </c>
      <c r="G1741" s="5" t="str">
        <f>IFERROR(IF(Portafolio_Proyectos!$AR580="","",Portafolio_Proyectos!$A580),"")</f>
        <v/>
      </c>
      <c r="H1741" s="5" t="str">
        <f>IFERROR(IF(Portafolio_Proyectos!$AR580="","",Portafolio_Proyectos!$E580),"")</f>
        <v/>
      </c>
    </row>
    <row r="1742" spans="1:8" x14ac:dyDescent="0.35">
      <c r="A1742" s="5" t="str">
        <f>IFERROR(IF(Portafolio_Proyectos!$AP581="","","CAP-"&amp;ROW()-1),"")</f>
        <v/>
      </c>
      <c r="B1742" s="5" t="str">
        <f>IFERROR(IF(Portafolio_Proyectos!$AP581="","",Portafolio_Proyectos!$AP581),"")</f>
        <v/>
      </c>
      <c r="C1742" s="5" t="str">
        <f>IFERROR(IF(Portafolio_Proyectos!$AP581="","","Emergente"),"")</f>
        <v/>
      </c>
      <c r="D1742" s="5" t="str">
        <f>IFERROR(IF(Portafolio_Proyectos!$AP581="","",Portafolio_Proyectos!$C581),"")</f>
        <v/>
      </c>
      <c r="E1742" s="5" t="str">
        <f>IFERROR(IF(Portafolio_Proyectos!$AP581="","",Portafolio_Proyectos!$B581),"")</f>
        <v/>
      </c>
      <c r="F1742" s="5" t="str">
        <f>IFERROR(IF(Portafolio_Proyectos!$AP581="","",Portafolio_Proyectos!$D581),"")</f>
        <v/>
      </c>
      <c r="G1742" s="5" t="str">
        <f>IFERROR(IF(Portafolio_Proyectos!$AP581="","",Portafolio_Proyectos!$A581),"")</f>
        <v/>
      </c>
      <c r="H1742" s="5" t="str">
        <f>IFERROR(IF(Portafolio_Proyectos!$AP581="","",Portafolio_Proyectos!$E581),"")</f>
        <v/>
      </c>
    </row>
    <row r="1743" spans="1:8" x14ac:dyDescent="0.35">
      <c r="A1743" s="5" t="str">
        <f>IFERROR(IF(Portafolio_Proyectos!$AQ581="","","CAP-"&amp;ROW()-1),"")</f>
        <v/>
      </c>
      <c r="B1743" s="5" t="str">
        <f>IFERROR(IF(Portafolio_Proyectos!$AQ581="","",Portafolio_Proyectos!$AQ581),"")</f>
        <v/>
      </c>
      <c r="C1743" s="5" t="str">
        <f>IFERROR(IF(Portafolio_Proyectos!$AQ581="","","Consolidada"),"")</f>
        <v/>
      </c>
      <c r="D1743" s="5" t="str">
        <f>IFERROR(IF(Portafolio_Proyectos!$AQ581="","",Portafolio_Proyectos!$C581),"")</f>
        <v/>
      </c>
      <c r="E1743" s="5" t="str">
        <f>IFERROR(IF(Portafolio_Proyectos!$AQ581="","",Portafolio_Proyectos!$B581),"")</f>
        <v/>
      </c>
      <c r="F1743" s="5" t="str">
        <f>IFERROR(IF(Portafolio_Proyectos!$AQ581="","",Portafolio_Proyectos!$D581),"")</f>
        <v/>
      </c>
      <c r="G1743" s="5" t="str">
        <f>IFERROR(IF(Portafolio_Proyectos!$AQ581="","",Portafolio_Proyectos!$A581),"")</f>
        <v/>
      </c>
      <c r="H1743" s="5" t="str">
        <f>IFERROR(IF(Portafolio_Proyectos!$AQ581="","",Portafolio_Proyectos!$E581),"")</f>
        <v/>
      </c>
    </row>
    <row r="1744" spans="1:8" x14ac:dyDescent="0.35">
      <c r="A1744" s="5" t="str">
        <f>IFERROR(IF(Portafolio_Proyectos!$AR581="","","CAP-"&amp;ROW()-1),"")</f>
        <v/>
      </c>
      <c r="B1744" s="5" t="str">
        <f>IFERROR(IF(Portafolio_Proyectos!$AR581="","",Portafolio_Proyectos!$AR581),"")</f>
        <v/>
      </c>
      <c r="C1744" s="5" t="str">
        <f>IFERROR(IF(Portafolio_Proyectos!$AR581="","","Distintiva"),"")</f>
        <v/>
      </c>
      <c r="D1744" s="5" t="str">
        <f>IFERROR(IF(Portafolio_Proyectos!$AR581="","",Portafolio_Proyectos!$C581),"")</f>
        <v/>
      </c>
      <c r="E1744" s="5" t="str">
        <f>IFERROR(IF(Portafolio_Proyectos!$AR581="","",Portafolio_Proyectos!$B581),"")</f>
        <v/>
      </c>
      <c r="F1744" s="5" t="str">
        <f>IFERROR(IF(Portafolio_Proyectos!$AR581="","",Portafolio_Proyectos!$D581),"")</f>
        <v/>
      </c>
      <c r="G1744" s="5" t="str">
        <f>IFERROR(IF(Portafolio_Proyectos!$AR581="","",Portafolio_Proyectos!$A581),"")</f>
        <v/>
      </c>
      <c r="H1744" s="5" t="str">
        <f>IFERROR(IF(Portafolio_Proyectos!$AR581="","",Portafolio_Proyectos!$E581),"")</f>
        <v/>
      </c>
    </row>
    <row r="1745" spans="1:8" x14ac:dyDescent="0.35">
      <c r="A1745" s="5" t="str">
        <f>IFERROR(IF(Portafolio_Proyectos!$AP582="","","CAP-"&amp;ROW()-1),"")</f>
        <v/>
      </c>
      <c r="B1745" s="5" t="str">
        <f>IFERROR(IF(Portafolio_Proyectos!$AP582="","",Portafolio_Proyectos!$AP582),"")</f>
        <v/>
      </c>
      <c r="C1745" s="5" t="str">
        <f>IFERROR(IF(Portafolio_Proyectos!$AP582="","","Emergente"),"")</f>
        <v/>
      </c>
      <c r="D1745" s="5" t="str">
        <f>IFERROR(IF(Portafolio_Proyectos!$AP582="","",Portafolio_Proyectos!$C582),"")</f>
        <v/>
      </c>
      <c r="E1745" s="5" t="str">
        <f>IFERROR(IF(Portafolio_Proyectos!$AP582="","",Portafolio_Proyectos!$B582),"")</f>
        <v/>
      </c>
      <c r="F1745" s="5" t="str">
        <f>IFERROR(IF(Portafolio_Proyectos!$AP582="","",Portafolio_Proyectos!$D582),"")</f>
        <v/>
      </c>
      <c r="G1745" s="5" t="str">
        <f>IFERROR(IF(Portafolio_Proyectos!$AP582="","",Portafolio_Proyectos!$A582),"")</f>
        <v/>
      </c>
      <c r="H1745" s="5" t="str">
        <f>IFERROR(IF(Portafolio_Proyectos!$AP582="","",Portafolio_Proyectos!$E582),"")</f>
        <v/>
      </c>
    </row>
    <row r="1746" spans="1:8" x14ac:dyDescent="0.35">
      <c r="A1746" s="5" t="str">
        <f>IFERROR(IF(Portafolio_Proyectos!$AQ582="","","CAP-"&amp;ROW()-1),"")</f>
        <v/>
      </c>
      <c r="B1746" s="5" t="str">
        <f>IFERROR(IF(Portafolio_Proyectos!$AQ582="","",Portafolio_Proyectos!$AQ582),"")</f>
        <v/>
      </c>
      <c r="C1746" s="5" t="str">
        <f>IFERROR(IF(Portafolio_Proyectos!$AQ582="","","Consolidada"),"")</f>
        <v/>
      </c>
      <c r="D1746" s="5" t="str">
        <f>IFERROR(IF(Portafolio_Proyectos!$AQ582="","",Portafolio_Proyectos!$C582),"")</f>
        <v/>
      </c>
      <c r="E1746" s="5" t="str">
        <f>IFERROR(IF(Portafolio_Proyectos!$AQ582="","",Portafolio_Proyectos!$B582),"")</f>
        <v/>
      </c>
      <c r="F1746" s="5" t="str">
        <f>IFERROR(IF(Portafolio_Proyectos!$AQ582="","",Portafolio_Proyectos!$D582),"")</f>
        <v/>
      </c>
      <c r="G1746" s="5" t="str">
        <f>IFERROR(IF(Portafolio_Proyectos!$AQ582="","",Portafolio_Proyectos!$A582),"")</f>
        <v/>
      </c>
      <c r="H1746" s="5" t="str">
        <f>IFERROR(IF(Portafolio_Proyectos!$AQ582="","",Portafolio_Proyectos!$E582),"")</f>
        <v/>
      </c>
    </row>
    <row r="1747" spans="1:8" x14ac:dyDescent="0.35">
      <c r="A1747" s="5" t="str">
        <f>IFERROR(IF(Portafolio_Proyectos!$AR582="","","CAP-"&amp;ROW()-1),"")</f>
        <v/>
      </c>
      <c r="B1747" s="5" t="str">
        <f>IFERROR(IF(Portafolio_Proyectos!$AR582="","",Portafolio_Proyectos!$AR582),"")</f>
        <v/>
      </c>
      <c r="C1747" s="5" t="str">
        <f>IFERROR(IF(Portafolio_Proyectos!$AR582="","","Distintiva"),"")</f>
        <v/>
      </c>
      <c r="D1747" s="5" t="str">
        <f>IFERROR(IF(Portafolio_Proyectos!$AR582="","",Portafolio_Proyectos!$C582),"")</f>
        <v/>
      </c>
      <c r="E1747" s="5" t="str">
        <f>IFERROR(IF(Portafolio_Proyectos!$AR582="","",Portafolio_Proyectos!$B582),"")</f>
        <v/>
      </c>
      <c r="F1747" s="5" t="str">
        <f>IFERROR(IF(Portafolio_Proyectos!$AR582="","",Portafolio_Proyectos!$D582),"")</f>
        <v/>
      </c>
      <c r="G1747" s="5" t="str">
        <f>IFERROR(IF(Portafolio_Proyectos!$AR582="","",Portafolio_Proyectos!$A582),"")</f>
        <v/>
      </c>
      <c r="H1747" s="5" t="str">
        <f>IFERROR(IF(Portafolio_Proyectos!$AR582="","",Portafolio_Proyectos!$E582),"")</f>
        <v/>
      </c>
    </row>
    <row r="1748" spans="1:8" x14ac:dyDescent="0.35">
      <c r="A1748" s="5" t="str">
        <f>IFERROR(IF(Portafolio_Proyectos!$AP583="","","CAP-"&amp;ROW()-1),"")</f>
        <v/>
      </c>
      <c r="B1748" s="5" t="str">
        <f>IFERROR(IF(Portafolio_Proyectos!$AP583="","",Portafolio_Proyectos!$AP583),"")</f>
        <v/>
      </c>
      <c r="C1748" s="5" t="str">
        <f>IFERROR(IF(Portafolio_Proyectos!$AP583="","","Emergente"),"")</f>
        <v/>
      </c>
      <c r="D1748" s="5" t="str">
        <f>IFERROR(IF(Portafolio_Proyectos!$AP583="","",Portafolio_Proyectos!$C583),"")</f>
        <v/>
      </c>
      <c r="E1748" s="5" t="str">
        <f>IFERROR(IF(Portafolio_Proyectos!$AP583="","",Portafolio_Proyectos!$B583),"")</f>
        <v/>
      </c>
      <c r="F1748" s="5" t="str">
        <f>IFERROR(IF(Portafolio_Proyectos!$AP583="","",Portafolio_Proyectos!$D583),"")</f>
        <v/>
      </c>
      <c r="G1748" s="5" t="str">
        <f>IFERROR(IF(Portafolio_Proyectos!$AP583="","",Portafolio_Proyectos!$A583),"")</f>
        <v/>
      </c>
      <c r="H1748" s="5" t="str">
        <f>IFERROR(IF(Portafolio_Proyectos!$AP583="","",Portafolio_Proyectos!$E583),"")</f>
        <v/>
      </c>
    </row>
    <row r="1749" spans="1:8" x14ac:dyDescent="0.35">
      <c r="A1749" s="5" t="str">
        <f>IFERROR(IF(Portafolio_Proyectos!$AQ583="","","CAP-"&amp;ROW()-1),"")</f>
        <v/>
      </c>
      <c r="B1749" s="5" t="str">
        <f>IFERROR(IF(Portafolio_Proyectos!$AQ583="","",Portafolio_Proyectos!$AQ583),"")</f>
        <v/>
      </c>
      <c r="C1749" s="5" t="str">
        <f>IFERROR(IF(Portafolio_Proyectos!$AQ583="","","Consolidada"),"")</f>
        <v/>
      </c>
      <c r="D1749" s="5" t="str">
        <f>IFERROR(IF(Portafolio_Proyectos!$AQ583="","",Portafolio_Proyectos!$C583),"")</f>
        <v/>
      </c>
      <c r="E1749" s="5" t="str">
        <f>IFERROR(IF(Portafolio_Proyectos!$AQ583="","",Portafolio_Proyectos!$B583),"")</f>
        <v/>
      </c>
      <c r="F1749" s="5" t="str">
        <f>IFERROR(IF(Portafolio_Proyectos!$AQ583="","",Portafolio_Proyectos!$D583),"")</f>
        <v/>
      </c>
      <c r="G1749" s="5" t="str">
        <f>IFERROR(IF(Portafolio_Proyectos!$AQ583="","",Portafolio_Proyectos!$A583),"")</f>
        <v/>
      </c>
      <c r="H1749" s="5" t="str">
        <f>IFERROR(IF(Portafolio_Proyectos!$AQ583="","",Portafolio_Proyectos!$E583),"")</f>
        <v/>
      </c>
    </row>
    <row r="1750" spans="1:8" x14ac:dyDescent="0.35">
      <c r="A1750" s="5" t="str">
        <f>IFERROR(IF(Portafolio_Proyectos!$AR583="","","CAP-"&amp;ROW()-1),"")</f>
        <v/>
      </c>
      <c r="B1750" s="5" t="str">
        <f>IFERROR(IF(Portafolio_Proyectos!$AR583="","",Portafolio_Proyectos!$AR583),"")</f>
        <v/>
      </c>
      <c r="C1750" s="5" t="str">
        <f>IFERROR(IF(Portafolio_Proyectos!$AR583="","","Distintiva"),"")</f>
        <v/>
      </c>
      <c r="D1750" s="5" t="str">
        <f>IFERROR(IF(Portafolio_Proyectos!$AR583="","",Portafolio_Proyectos!$C583),"")</f>
        <v/>
      </c>
      <c r="E1750" s="5" t="str">
        <f>IFERROR(IF(Portafolio_Proyectos!$AR583="","",Portafolio_Proyectos!$B583),"")</f>
        <v/>
      </c>
      <c r="F1750" s="5" t="str">
        <f>IFERROR(IF(Portafolio_Proyectos!$AR583="","",Portafolio_Proyectos!$D583),"")</f>
        <v/>
      </c>
      <c r="G1750" s="5" t="str">
        <f>IFERROR(IF(Portafolio_Proyectos!$AR583="","",Portafolio_Proyectos!$A583),"")</f>
        <v/>
      </c>
      <c r="H1750" s="5" t="str">
        <f>IFERROR(IF(Portafolio_Proyectos!$AR583="","",Portafolio_Proyectos!$E583),"")</f>
        <v/>
      </c>
    </row>
    <row r="1751" spans="1:8" x14ac:dyDescent="0.35">
      <c r="A1751" s="5" t="str">
        <f>IFERROR(IF(Portafolio_Proyectos!$AP584="","","CAP-"&amp;ROW()-1),"")</f>
        <v/>
      </c>
      <c r="B1751" s="5" t="str">
        <f>IFERROR(IF(Portafolio_Proyectos!$AP584="","",Portafolio_Proyectos!$AP584),"")</f>
        <v/>
      </c>
      <c r="C1751" s="5" t="str">
        <f>IFERROR(IF(Portafolio_Proyectos!$AP584="","","Emergente"),"")</f>
        <v/>
      </c>
      <c r="D1751" s="5" t="str">
        <f>IFERROR(IF(Portafolio_Proyectos!$AP584="","",Portafolio_Proyectos!$C584),"")</f>
        <v/>
      </c>
      <c r="E1751" s="5" t="str">
        <f>IFERROR(IF(Portafolio_Proyectos!$AP584="","",Portafolio_Proyectos!$B584),"")</f>
        <v/>
      </c>
      <c r="F1751" s="5" t="str">
        <f>IFERROR(IF(Portafolio_Proyectos!$AP584="","",Portafolio_Proyectos!$D584),"")</f>
        <v/>
      </c>
      <c r="G1751" s="5" t="str">
        <f>IFERROR(IF(Portafolio_Proyectos!$AP584="","",Portafolio_Proyectos!$A584),"")</f>
        <v/>
      </c>
      <c r="H1751" s="5" t="str">
        <f>IFERROR(IF(Portafolio_Proyectos!$AP584="","",Portafolio_Proyectos!$E584),"")</f>
        <v/>
      </c>
    </row>
    <row r="1752" spans="1:8" x14ac:dyDescent="0.35">
      <c r="A1752" s="5" t="str">
        <f>IFERROR(IF(Portafolio_Proyectos!$AQ584="","","CAP-"&amp;ROW()-1),"")</f>
        <v/>
      </c>
      <c r="B1752" s="5" t="str">
        <f>IFERROR(IF(Portafolio_Proyectos!$AQ584="","",Portafolio_Proyectos!$AQ584),"")</f>
        <v/>
      </c>
      <c r="C1752" s="5" t="str">
        <f>IFERROR(IF(Portafolio_Proyectos!$AQ584="","","Consolidada"),"")</f>
        <v/>
      </c>
      <c r="D1752" s="5" t="str">
        <f>IFERROR(IF(Portafolio_Proyectos!$AQ584="","",Portafolio_Proyectos!$C584),"")</f>
        <v/>
      </c>
      <c r="E1752" s="5" t="str">
        <f>IFERROR(IF(Portafolio_Proyectos!$AQ584="","",Portafolio_Proyectos!$B584),"")</f>
        <v/>
      </c>
      <c r="F1752" s="5" t="str">
        <f>IFERROR(IF(Portafolio_Proyectos!$AQ584="","",Portafolio_Proyectos!$D584),"")</f>
        <v/>
      </c>
      <c r="G1752" s="5" t="str">
        <f>IFERROR(IF(Portafolio_Proyectos!$AQ584="","",Portafolio_Proyectos!$A584),"")</f>
        <v/>
      </c>
      <c r="H1752" s="5" t="str">
        <f>IFERROR(IF(Portafolio_Proyectos!$AQ584="","",Portafolio_Proyectos!$E584),"")</f>
        <v/>
      </c>
    </row>
    <row r="1753" spans="1:8" x14ac:dyDescent="0.35">
      <c r="A1753" s="5" t="str">
        <f>IFERROR(IF(Portafolio_Proyectos!$AR584="","","CAP-"&amp;ROW()-1),"")</f>
        <v/>
      </c>
      <c r="B1753" s="5" t="str">
        <f>IFERROR(IF(Portafolio_Proyectos!$AR584="","",Portafolio_Proyectos!$AR584),"")</f>
        <v/>
      </c>
      <c r="C1753" s="5" t="str">
        <f>IFERROR(IF(Portafolio_Proyectos!$AR584="","","Distintiva"),"")</f>
        <v/>
      </c>
      <c r="D1753" s="5" t="str">
        <f>IFERROR(IF(Portafolio_Proyectos!$AR584="","",Portafolio_Proyectos!$C584),"")</f>
        <v/>
      </c>
      <c r="E1753" s="5" t="str">
        <f>IFERROR(IF(Portafolio_Proyectos!$AR584="","",Portafolio_Proyectos!$B584),"")</f>
        <v/>
      </c>
      <c r="F1753" s="5" t="str">
        <f>IFERROR(IF(Portafolio_Proyectos!$AR584="","",Portafolio_Proyectos!$D584),"")</f>
        <v/>
      </c>
      <c r="G1753" s="5" t="str">
        <f>IFERROR(IF(Portafolio_Proyectos!$AR584="","",Portafolio_Proyectos!$A584),"")</f>
        <v/>
      </c>
      <c r="H1753" s="5" t="str">
        <f>IFERROR(IF(Portafolio_Proyectos!$AR584="","",Portafolio_Proyectos!$E584),"")</f>
        <v/>
      </c>
    </row>
    <row r="1754" spans="1:8" x14ac:dyDescent="0.35">
      <c r="A1754" s="5" t="str">
        <f>IFERROR(IF(Portafolio_Proyectos!$AP585="","","CAP-"&amp;ROW()-1),"")</f>
        <v/>
      </c>
      <c r="B1754" s="5" t="str">
        <f>IFERROR(IF(Portafolio_Proyectos!$AP585="","",Portafolio_Proyectos!$AP585),"")</f>
        <v/>
      </c>
      <c r="C1754" s="5" t="str">
        <f>IFERROR(IF(Portafolio_Proyectos!$AP585="","","Emergente"),"")</f>
        <v/>
      </c>
      <c r="D1754" s="5" t="str">
        <f>IFERROR(IF(Portafolio_Proyectos!$AP585="","",Portafolio_Proyectos!$C585),"")</f>
        <v/>
      </c>
      <c r="E1754" s="5" t="str">
        <f>IFERROR(IF(Portafolio_Proyectos!$AP585="","",Portafolio_Proyectos!$B585),"")</f>
        <v/>
      </c>
      <c r="F1754" s="5" t="str">
        <f>IFERROR(IF(Portafolio_Proyectos!$AP585="","",Portafolio_Proyectos!$D585),"")</f>
        <v/>
      </c>
      <c r="G1754" s="5" t="str">
        <f>IFERROR(IF(Portafolio_Proyectos!$AP585="","",Portafolio_Proyectos!$A585),"")</f>
        <v/>
      </c>
      <c r="H1754" s="5" t="str">
        <f>IFERROR(IF(Portafolio_Proyectos!$AP585="","",Portafolio_Proyectos!$E585),"")</f>
        <v/>
      </c>
    </row>
    <row r="1755" spans="1:8" x14ac:dyDescent="0.35">
      <c r="A1755" s="5" t="str">
        <f>IFERROR(IF(Portafolio_Proyectos!$AQ585="","","CAP-"&amp;ROW()-1),"")</f>
        <v/>
      </c>
      <c r="B1755" s="5" t="str">
        <f>IFERROR(IF(Portafolio_Proyectos!$AQ585="","",Portafolio_Proyectos!$AQ585),"")</f>
        <v/>
      </c>
      <c r="C1755" s="5" t="str">
        <f>IFERROR(IF(Portafolio_Proyectos!$AQ585="","","Consolidada"),"")</f>
        <v/>
      </c>
      <c r="D1755" s="5" t="str">
        <f>IFERROR(IF(Portafolio_Proyectos!$AQ585="","",Portafolio_Proyectos!$C585),"")</f>
        <v/>
      </c>
      <c r="E1755" s="5" t="str">
        <f>IFERROR(IF(Portafolio_Proyectos!$AQ585="","",Portafolio_Proyectos!$B585),"")</f>
        <v/>
      </c>
      <c r="F1755" s="5" t="str">
        <f>IFERROR(IF(Portafolio_Proyectos!$AQ585="","",Portafolio_Proyectos!$D585),"")</f>
        <v/>
      </c>
      <c r="G1755" s="5" t="str">
        <f>IFERROR(IF(Portafolio_Proyectos!$AQ585="","",Portafolio_Proyectos!$A585),"")</f>
        <v/>
      </c>
      <c r="H1755" s="5" t="str">
        <f>IFERROR(IF(Portafolio_Proyectos!$AQ585="","",Portafolio_Proyectos!$E585),"")</f>
        <v/>
      </c>
    </row>
    <row r="1756" spans="1:8" x14ac:dyDescent="0.35">
      <c r="A1756" s="5" t="str">
        <f>IFERROR(IF(Portafolio_Proyectos!$AR585="","","CAP-"&amp;ROW()-1),"")</f>
        <v/>
      </c>
      <c r="B1756" s="5" t="str">
        <f>IFERROR(IF(Portafolio_Proyectos!$AR585="","",Portafolio_Proyectos!$AR585),"")</f>
        <v/>
      </c>
      <c r="C1756" s="5" t="str">
        <f>IFERROR(IF(Portafolio_Proyectos!$AR585="","","Distintiva"),"")</f>
        <v/>
      </c>
      <c r="D1756" s="5" t="str">
        <f>IFERROR(IF(Portafolio_Proyectos!$AR585="","",Portafolio_Proyectos!$C585),"")</f>
        <v/>
      </c>
      <c r="E1756" s="5" t="str">
        <f>IFERROR(IF(Portafolio_Proyectos!$AR585="","",Portafolio_Proyectos!$B585),"")</f>
        <v/>
      </c>
      <c r="F1756" s="5" t="str">
        <f>IFERROR(IF(Portafolio_Proyectos!$AR585="","",Portafolio_Proyectos!$D585),"")</f>
        <v/>
      </c>
      <c r="G1756" s="5" t="str">
        <f>IFERROR(IF(Portafolio_Proyectos!$AR585="","",Portafolio_Proyectos!$A585),"")</f>
        <v/>
      </c>
      <c r="H1756" s="5" t="str">
        <f>IFERROR(IF(Portafolio_Proyectos!$AR585="","",Portafolio_Proyectos!$E585),"")</f>
        <v/>
      </c>
    </row>
    <row r="1757" spans="1:8" x14ac:dyDescent="0.35">
      <c r="A1757" s="5" t="str">
        <f>IFERROR(IF(Portafolio_Proyectos!$AP586="","","CAP-"&amp;ROW()-1),"")</f>
        <v/>
      </c>
      <c r="B1757" s="5" t="str">
        <f>IFERROR(IF(Portafolio_Proyectos!$AP586="","",Portafolio_Proyectos!$AP586),"")</f>
        <v/>
      </c>
      <c r="C1757" s="5" t="str">
        <f>IFERROR(IF(Portafolio_Proyectos!$AP586="","","Emergente"),"")</f>
        <v/>
      </c>
      <c r="D1757" s="5" t="str">
        <f>IFERROR(IF(Portafolio_Proyectos!$AP586="","",Portafolio_Proyectos!$C586),"")</f>
        <v/>
      </c>
      <c r="E1757" s="5" t="str">
        <f>IFERROR(IF(Portafolio_Proyectos!$AP586="","",Portafolio_Proyectos!$B586),"")</f>
        <v/>
      </c>
      <c r="F1757" s="5" t="str">
        <f>IFERROR(IF(Portafolio_Proyectos!$AP586="","",Portafolio_Proyectos!$D586),"")</f>
        <v/>
      </c>
      <c r="G1757" s="5" t="str">
        <f>IFERROR(IF(Portafolio_Proyectos!$AP586="","",Portafolio_Proyectos!$A586),"")</f>
        <v/>
      </c>
      <c r="H1757" s="5" t="str">
        <f>IFERROR(IF(Portafolio_Proyectos!$AP586="","",Portafolio_Proyectos!$E586),"")</f>
        <v/>
      </c>
    </row>
    <row r="1758" spans="1:8" x14ac:dyDescent="0.35">
      <c r="A1758" s="5" t="str">
        <f>IFERROR(IF(Portafolio_Proyectos!$AQ586="","","CAP-"&amp;ROW()-1),"")</f>
        <v/>
      </c>
      <c r="B1758" s="5" t="str">
        <f>IFERROR(IF(Portafolio_Proyectos!$AQ586="","",Portafolio_Proyectos!$AQ586),"")</f>
        <v/>
      </c>
      <c r="C1758" s="5" t="str">
        <f>IFERROR(IF(Portafolio_Proyectos!$AQ586="","","Consolidada"),"")</f>
        <v/>
      </c>
      <c r="D1758" s="5" t="str">
        <f>IFERROR(IF(Portafolio_Proyectos!$AQ586="","",Portafolio_Proyectos!$C586),"")</f>
        <v/>
      </c>
      <c r="E1758" s="5" t="str">
        <f>IFERROR(IF(Portafolio_Proyectos!$AQ586="","",Portafolio_Proyectos!$B586),"")</f>
        <v/>
      </c>
      <c r="F1758" s="5" t="str">
        <f>IFERROR(IF(Portafolio_Proyectos!$AQ586="","",Portafolio_Proyectos!$D586),"")</f>
        <v/>
      </c>
      <c r="G1758" s="5" t="str">
        <f>IFERROR(IF(Portafolio_Proyectos!$AQ586="","",Portafolio_Proyectos!$A586),"")</f>
        <v/>
      </c>
      <c r="H1758" s="5" t="str">
        <f>IFERROR(IF(Portafolio_Proyectos!$AQ586="","",Portafolio_Proyectos!$E586),"")</f>
        <v/>
      </c>
    </row>
    <row r="1759" spans="1:8" x14ac:dyDescent="0.35">
      <c r="A1759" s="5" t="str">
        <f>IFERROR(IF(Portafolio_Proyectos!$AR586="","","CAP-"&amp;ROW()-1),"")</f>
        <v/>
      </c>
      <c r="B1759" s="5" t="str">
        <f>IFERROR(IF(Portafolio_Proyectos!$AR586="","",Portafolio_Proyectos!$AR586),"")</f>
        <v/>
      </c>
      <c r="C1759" s="5" t="str">
        <f>IFERROR(IF(Portafolio_Proyectos!$AR586="","","Distintiva"),"")</f>
        <v/>
      </c>
      <c r="D1759" s="5" t="str">
        <f>IFERROR(IF(Portafolio_Proyectos!$AR586="","",Portafolio_Proyectos!$C586),"")</f>
        <v/>
      </c>
      <c r="E1759" s="5" t="str">
        <f>IFERROR(IF(Portafolio_Proyectos!$AR586="","",Portafolio_Proyectos!$B586),"")</f>
        <v/>
      </c>
      <c r="F1759" s="5" t="str">
        <f>IFERROR(IF(Portafolio_Proyectos!$AR586="","",Portafolio_Proyectos!$D586),"")</f>
        <v/>
      </c>
      <c r="G1759" s="5" t="str">
        <f>IFERROR(IF(Portafolio_Proyectos!$AR586="","",Portafolio_Proyectos!$A586),"")</f>
        <v/>
      </c>
      <c r="H1759" s="5" t="str">
        <f>IFERROR(IF(Portafolio_Proyectos!$AR586="","",Portafolio_Proyectos!$E586),"")</f>
        <v/>
      </c>
    </row>
    <row r="1760" spans="1:8" x14ac:dyDescent="0.35">
      <c r="A1760" s="5" t="str">
        <f>IFERROR(IF(Portafolio_Proyectos!$AP587="","","CAP-"&amp;ROW()-1),"")</f>
        <v/>
      </c>
      <c r="B1760" s="5" t="str">
        <f>IFERROR(IF(Portafolio_Proyectos!$AP587="","",Portafolio_Proyectos!$AP587),"")</f>
        <v/>
      </c>
      <c r="C1760" s="5" t="str">
        <f>IFERROR(IF(Portafolio_Proyectos!$AP587="","","Emergente"),"")</f>
        <v/>
      </c>
      <c r="D1760" s="5" t="str">
        <f>IFERROR(IF(Portafolio_Proyectos!$AP587="","",Portafolio_Proyectos!$C587),"")</f>
        <v/>
      </c>
      <c r="E1760" s="5" t="str">
        <f>IFERROR(IF(Portafolio_Proyectos!$AP587="","",Portafolio_Proyectos!$B587),"")</f>
        <v/>
      </c>
      <c r="F1760" s="5" t="str">
        <f>IFERROR(IF(Portafolio_Proyectos!$AP587="","",Portafolio_Proyectos!$D587),"")</f>
        <v/>
      </c>
      <c r="G1760" s="5" t="str">
        <f>IFERROR(IF(Portafolio_Proyectos!$AP587="","",Portafolio_Proyectos!$A587),"")</f>
        <v/>
      </c>
      <c r="H1760" s="5" t="str">
        <f>IFERROR(IF(Portafolio_Proyectos!$AP587="","",Portafolio_Proyectos!$E587),"")</f>
        <v/>
      </c>
    </row>
    <row r="1761" spans="1:8" x14ac:dyDescent="0.35">
      <c r="A1761" s="5" t="str">
        <f>IFERROR(IF(Portafolio_Proyectos!$AQ587="","","CAP-"&amp;ROW()-1),"")</f>
        <v/>
      </c>
      <c r="B1761" s="5" t="str">
        <f>IFERROR(IF(Portafolio_Proyectos!$AQ587="","",Portafolio_Proyectos!$AQ587),"")</f>
        <v/>
      </c>
      <c r="C1761" s="5" t="str">
        <f>IFERROR(IF(Portafolio_Proyectos!$AQ587="","","Consolidada"),"")</f>
        <v/>
      </c>
      <c r="D1761" s="5" t="str">
        <f>IFERROR(IF(Portafolio_Proyectos!$AQ587="","",Portafolio_Proyectos!$C587),"")</f>
        <v/>
      </c>
      <c r="E1761" s="5" t="str">
        <f>IFERROR(IF(Portafolio_Proyectos!$AQ587="","",Portafolio_Proyectos!$B587),"")</f>
        <v/>
      </c>
      <c r="F1761" s="5" t="str">
        <f>IFERROR(IF(Portafolio_Proyectos!$AQ587="","",Portafolio_Proyectos!$D587),"")</f>
        <v/>
      </c>
      <c r="G1761" s="5" t="str">
        <f>IFERROR(IF(Portafolio_Proyectos!$AQ587="","",Portafolio_Proyectos!$A587),"")</f>
        <v/>
      </c>
      <c r="H1761" s="5" t="str">
        <f>IFERROR(IF(Portafolio_Proyectos!$AQ587="","",Portafolio_Proyectos!$E587),"")</f>
        <v/>
      </c>
    </row>
    <row r="1762" spans="1:8" x14ac:dyDescent="0.35">
      <c r="A1762" s="5" t="str">
        <f>IFERROR(IF(Portafolio_Proyectos!$AR587="","","CAP-"&amp;ROW()-1),"")</f>
        <v/>
      </c>
      <c r="B1762" s="5" t="str">
        <f>IFERROR(IF(Portafolio_Proyectos!$AR587="","",Portafolio_Proyectos!$AR587),"")</f>
        <v/>
      </c>
      <c r="C1762" s="5" t="str">
        <f>IFERROR(IF(Portafolio_Proyectos!$AR587="","","Distintiva"),"")</f>
        <v/>
      </c>
      <c r="D1762" s="5" t="str">
        <f>IFERROR(IF(Portafolio_Proyectos!$AR587="","",Portafolio_Proyectos!$C587),"")</f>
        <v/>
      </c>
      <c r="E1762" s="5" t="str">
        <f>IFERROR(IF(Portafolio_Proyectos!$AR587="","",Portafolio_Proyectos!$B587),"")</f>
        <v/>
      </c>
      <c r="F1762" s="5" t="str">
        <f>IFERROR(IF(Portafolio_Proyectos!$AR587="","",Portafolio_Proyectos!$D587),"")</f>
        <v/>
      </c>
      <c r="G1762" s="5" t="str">
        <f>IFERROR(IF(Portafolio_Proyectos!$AR587="","",Portafolio_Proyectos!$A587),"")</f>
        <v/>
      </c>
      <c r="H1762" s="5" t="str">
        <f>IFERROR(IF(Portafolio_Proyectos!$AR587="","",Portafolio_Proyectos!$E587),"")</f>
        <v/>
      </c>
    </row>
    <row r="1763" spans="1:8" x14ac:dyDescent="0.35">
      <c r="A1763" s="5" t="str">
        <f>IFERROR(IF(Portafolio_Proyectos!$AP588="","","CAP-"&amp;ROW()-1),"")</f>
        <v/>
      </c>
      <c r="B1763" s="5" t="str">
        <f>IFERROR(IF(Portafolio_Proyectos!$AP588="","",Portafolio_Proyectos!$AP588),"")</f>
        <v/>
      </c>
      <c r="C1763" s="5" t="str">
        <f>IFERROR(IF(Portafolio_Proyectos!$AP588="","","Emergente"),"")</f>
        <v/>
      </c>
      <c r="D1763" s="5" t="str">
        <f>IFERROR(IF(Portafolio_Proyectos!$AP588="","",Portafolio_Proyectos!$C588),"")</f>
        <v/>
      </c>
      <c r="E1763" s="5" t="str">
        <f>IFERROR(IF(Portafolio_Proyectos!$AP588="","",Portafolio_Proyectos!$B588),"")</f>
        <v/>
      </c>
      <c r="F1763" s="5" t="str">
        <f>IFERROR(IF(Portafolio_Proyectos!$AP588="","",Portafolio_Proyectos!$D588),"")</f>
        <v/>
      </c>
      <c r="G1763" s="5" t="str">
        <f>IFERROR(IF(Portafolio_Proyectos!$AP588="","",Portafolio_Proyectos!$A588),"")</f>
        <v/>
      </c>
      <c r="H1763" s="5" t="str">
        <f>IFERROR(IF(Portafolio_Proyectos!$AP588="","",Portafolio_Proyectos!$E588),"")</f>
        <v/>
      </c>
    </row>
    <row r="1764" spans="1:8" x14ac:dyDescent="0.35">
      <c r="A1764" s="5" t="str">
        <f>IFERROR(IF(Portafolio_Proyectos!$AQ588="","","CAP-"&amp;ROW()-1),"")</f>
        <v/>
      </c>
      <c r="B1764" s="5" t="str">
        <f>IFERROR(IF(Portafolio_Proyectos!$AQ588="","",Portafolio_Proyectos!$AQ588),"")</f>
        <v/>
      </c>
      <c r="C1764" s="5" t="str">
        <f>IFERROR(IF(Portafolio_Proyectos!$AQ588="","","Consolidada"),"")</f>
        <v/>
      </c>
      <c r="D1764" s="5" t="str">
        <f>IFERROR(IF(Portafolio_Proyectos!$AQ588="","",Portafolio_Proyectos!$C588),"")</f>
        <v/>
      </c>
      <c r="E1764" s="5" t="str">
        <f>IFERROR(IF(Portafolio_Proyectos!$AQ588="","",Portafolio_Proyectos!$B588),"")</f>
        <v/>
      </c>
      <c r="F1764" s="5" t="str">
        <f>IFERROR(IF(Portafolio_Proyectos!$AQ588="","",Portafolio_Proyectos!$D588),"")</f>
        <v/>
      </c>
      <c r="G1764" s="5" t="str">
        <f>IFERROR(IF(Portafolio_Proyectos!$AQ588="","",Portafolio_Proyectos!$A588),"")</f>
        <v/>
      </c>
      <c r="H1764" s="5" t="str">
        <f>IFERROR(IF(Portafolio_Proyectos!$AQ588="","",Portafolio_Proyectos!$E588),"")</f>
        <v/>
      </c>
    </row>
    <row r="1765" spans="1:8" x14ac:dyDescent="0.35">
      <c r="A1765" s="5" t="str">
        <f>IFERROR(IF(Portafolio_Proyectos!$AR588="","","CAP-"&amp;ROW()-1),"")</f>
        <v/>
      </c>
      <c r="B1765" s="5" t="str">
        <f>IFERROR(IF(Portafolio_Proyectos!$AR588="","",Portafolio_Proyectos!$AR588),"")</f>
        <v/>
      </c>
      <c r="C1765" s="5" t="str">
        <f>IFERROR(IF(Portafolio_Proyectos!$AR588="","","Distintiva"),"")</f>
        <v/>
      </c>
      <c r="D1765" s="5" t="str">
        <f>IFERROR(IF(Portafolio_Proyectos!$AR588="","",Portafolio_Proyectos!$C588),"")</f>
        <v/>
      </c>
      <c r="E1765" s="5" t="str">
        <f>IFERROR(IF(Portafolio_Proyectos!$AR588="","",Portafolio_Proyectos!$B588),"")</f>
        <v/>
      </c>
      <c r="F1765" s="5" t="str">
        <f>IFERROR(IF(Portafolio_Proyectos!$AR588="","",Portafolio_Proyectos!$D588),"")</f>
        <v/>
      </c>
      <c r="G1765" s="5" t="str">
        <f>IFERROR(IF(Portafolio_Proyectos!$AR588="","",Portafolio_Proyectos!$A588),"")</f>
        <v/>
      </c>
      <c r="H1765" s="5" t="str">
        <f>IFERROR(IF(Portafolio_Proyectos!$AR588="","",Portafolio_Proyectos!$E588),"")</f>
        <v/>
      </c>
    </row>
    <row r="1766" spans="1:8" x14ac:dyDescent="0.35">
      <c r="A1766" s="5" t="str">
        <f>IFERROR(IF(Portafolio_Proyectos!$AP589="","","CAP-"&amp;ROW()-1),"")</f>
        <v/>
      </c>
      <c r="B1766" s="5" t="str">
        <f>IFERROR(IF(Portafolio_Proyectos!$AP589="","",Portafolio_Proyectos!$AP589),"")</f>
        <v/>
      </c>
      <c r="C1766" s="5" t="str">
        <f>IFERROR(IF(Portafolio_Proyectos!$AP589="","","Emergente"),"")</f>
        <v/>
      </c>
      <c r="D1766" s="5" t="str">
        <f>IFERROR(IF(Portafolio_Proyectos!$AP589="","",Portafolio_Proyectos!$C589),"")</f>
        <v/>
      </c>
      <c r="E1766" s="5" t="str">
        <f>IFERROR(IF(Portafolio_Proyectos!$AP589="","",Portafolio_Proyectos!$B589),"")</f>
        <v/>
      </c>
      <c r="F1766" s="5" t="str">
        <f>IFERROR(IF(Portafolio_Proyectos!$AP589="","",Portafolio_Proyectos!$D589),"")</f>
        <v/>
      </c>
      <c r="G1766" s="5" t="str">
        <f>IFERROR(IF(Portafolio_Proyectos!$AP589="","",Portafolio_Proyectos!$A589),"")</f>
        <v/>
      </c>
      <c r="H1766" s="5" t="str">
        <f>IFERROR(IF(Portafolio_Proyectos!$AP589="","",Portafolio_Proyectos!$E589),"")</f>
        <v/>
      </c>
    </row>
    <row r="1767" spans="1:8" x14ac:dyDescent="0.35">
      <c r="A1767" s="5" t="str">
        <f>IFERROR(IF(Portafolio_Proyectos!$AQ589="","","CAP-"&amp;ROW()-1),"")</f>
        <v/>
      </c>
      <c r="B1767" s="5" t="str">
        <f>IFERROR(IF(Portafolio_Proyectos!$AQ589="","",Portafolio_Proyectos!$AQ589),"")</f>
        <v/>
      </c>
      <c r="C1767" s="5" t="str">
        <f>IFERROR(IF(Portafolio_Proyectos!$AQ589="","","Consolidada"),"")</f>
        <v/>
      </c>
      <c r="D1767" s="5" t="str">
        <f>IFERROR(IF(Portafolio_Proyectos!$AQ589="","",Portafolio_Proyectos!$C589),"")</f>
        <v/>
      </c>
      <c r="E1767" s="5" t="str">
        <f>IFERROR(IF(Portafolio_Proyectos!$AQ589="","",Portafolio_Proyectos!$B589),"")</f>
        <v/>
      </c>
      <c r="F1767" s="5" t="str">
        <f>IFERROR(IF(Portafolio_Proyectos!$AQ589="","",Portafolio_Proyectos!$D589),"")</f>
        <v/>
      </c>
      <c r="G1767" s="5" t="str">
        <f>IFERROR(IF(Portafolio_Proyectos!$AQ589="","",Portafolio_Proyectos!$A589),"")</f>
        <v/>
      </c>
      <c r="H1767" s="5" t="str">
        <f>IFERROR(IF(Portafolio_Proyectos!$AQ589="","",Portafolio_Proyectos!$E589),"")</f>
        <v/>
      </c>
    </row>
    <row r="1768" spans="1:8" x14ac:dyDescent="0.35">
      <c r="A1768" s="5" t="str">
        <f>IFERROR(IF(Portafolio_Proyectos!$AR589="","","CAP-"&amp;ROW()-1),"")</f>
        <v/>
      </c>
      <c r="B1768" s="5" t="str">
        <f>IFERROR(IF(Portafolio_Proyectos!$AR589="","",Portafolio_Proyectos!$AR589),"")</f>
        <v/>
      </c>
      <c r="C1768" s="5" t="str">
        <f>IFERROR(IF(Portafolio_Proyectos!$AR589="","","Distintiva"),"")</f>
        <v/>
      </c>
      <c r="D1768" s="5" t="str">
        <f>IFERROR(IF(Portafolio_Proyectos!$AR589="","",Portafolio_Proyectos!$C589),"")</f>
        <v/>
      </c>
      <c r="E1768" s="5" t="str">
        <f>IFERROR(IF(Portafolio_Proyectos!$AR589="","",Portafolio_Proyectos!$B589),"")</f>
        <v/>
      </c>
      <c r="F1768" s="5" t="str">
        <f>IFERROR(IF(Portafolio_Proyectos!$AR589="","",Portafolio_Proyectos!$D589),"")</f>
        <v/>
      </c>
      <c r="G1768" s="5" t="str">
        <f>IFERROR(IF(Portafolio_Proyectos!$AR589="","",Portafolio_Proyectos!$A589),"")</f>
        <v/>
      </c>
      <c r="H1768" s="5" t="str">
        <f>IFERROR(IF(Portafolio_Proyectos!$AR589="","",Portafolio_Proyectos!$E589),"")</f>
        <v/>
      </c>
    </row>
    <row r="1769" spans="1:8" x14ac:dyDescent="0.35">
      <c r="A1769" s="5" t="str">
        <f>IFERROR(IF(Portafolio_Proyectos!$AP590="","","CAP-"&amp;ROW()-1),"")</f>
        <v/>
      </c>
      <c r="B1769" s="5" t="str">
        <f>IFERROR(IF(Portafolio_Proyectos!$AP590="","",Portafolio_Proyectos!$AP590),"")</f>
        <v/>
      </c>
      <c r="C1769" s="5" t="str">
        <f>IFERROR(IF(Portafolio_Proyectos!$AP590="","","Emergente"),"")</f>
        <v/>
      </c>
      <c r="D1769" s="5" t="str">
        <f>IFERROR(IF(Portafolio_Proyectos!$AP590="","",Portafolio_Proyectos!$C590),"")</f>
        <v/>
      </c>
      <c r="E1769" s="5" t="str">
        <f>IFERROR(IF(Portafolio_Proyectos!$AP590="","",Portafolio_Proyectos!$B590),"")</f>
        <v/>
      </c>
      <c r="F1769" s="5" t="str">
        <f>IFERROR(IF(Portafolio_Proyectos!$AP590="","",Portafolio_Proyectos!$D590),"")</f>
        <v/>
      </c>
      <c r="G1769" s="5" t="str">
        <f>IFERROR(IF(Portafolio_Proyectos!$AP590="","",Portafolio_Proyectos!$A590),"")</f>
        <v/>
      </c>
      <c r="H1769" s="5" t="str">
        <f>IFERROR(IF(Portafolio_Proyectos!$AP590="","",Portafolio_Proyectos!$E590),"")</f>
        <v/>
      </c>
    </row>
    <row r="1770" spans="1:8" x14ac:dyDescent="0.35">
      <c r="A1770" s="5" t="str">
        <f>IFERROR(IF(Portafolio_Proyectos!$AQ590="","","CAP-"&amp;ROW()-1),"")</f>
        <v/>
      </c>
      <c r="B1770" s="5" t="str">
        <f>IFERROR(IF(Portafolio_Proyectos!$AQ590="","",Portafolio_Proyectos!$AQ590),"")</f>
        <v/>
      </c>
      <c r="C1770" s="5" t="str">
        <f>IFERROR(IF(Portafolio_Proyectos!$AQ590="","","Consolidada"),"")</f>
        <v/>
      </c>
      <c r="D1770" s="5" t="str">
        <f>IFERROR(IF(Portafolio_Proyectos!$AQ590="","",Portafolio_Proyectos!$C590),"")</f>
        <v/>
      </c>
      <c r="E1770" s="5" t="str">
        <f>IFERROR(IF(Portafolio_Proyectos!$AQ590="","",Portafolio_Proyectos!$B590),"")</f>
        <v/>
      </c>
      <c r="F1770" s="5" t="str">
        <f>IFERROR(IF(Portafolio_Proyectos!$AQ590="","",Portafolio_Proyectos!$D590),"")</f>
        <v/>
      </c>
      <c r="G1770" s="5" t="str">
        <f>IFERROR(IF(Portafolio_Proyectos!$AQ590="","",Portafolio_Proyectos!$A590),"")</f>
        <v/>
      </c>
      <c r="H1770" s="5" t="str">
        <f>IFERROR(IF(Portafolio_Proyectos!$AQ590="","",Portafolio_Proyectos!$E590),"")</f>
        <v/>
      </c>
    </row>
    <row r="1771" spans="1:8" x14ac:dyDescent="0.35">
      <c r="A1771" s="5" t="str">
        <f>IFERROR(IF(Portafolio_Proyectos!$AR590="","","CAP-"&amp;ROW()-1),"")</f>
        <v/>
      </c>
      <c r="B1771" s="5" t="str">
        <f>IFERROR(IF(Portafolio_Proyectos!$AR590="","",Portafolio_Proyectos!$AR590),"")</f>
        <v/>
      </c>
      <c r="C1771" s="5" t="str">
        <f>IFERROR(IF(Portafolio_Proyectos!$AR590="","","Distintiva"),"")</f>
        <v/>
      </c>
      <c r="D1771" s="5" t="str">
        <f>IFERROR(IF(Portafolio_Proyectos!$AR590="","",Portafolio_Proyectos!$C590),"")</f>
        <v/>
      </c>
      <c r="E1771" s="5" t="str">
        <f>IFERROR(IF(Portafolio_Proyectos!$AR590="","",Portafolio_Proyectos!$B590),"")</f>
        <v/>
      </c>
      <c r="F1771" s="5" t="str">
        <f>IFERROR(IF(Portafolio_Proyectos!$AR590="","",Portafolio_Proyectos!$D590),"")</f>
        <v/>
      </c>
      <c r="G1771" s="5" t="str">
        <f>IFERROR(IF(Portafolio_Proyectos!$AR590="","",Portafolio_Proyectos!$A590),"")</f>
        <v/>
      </c>
      <c r="H1771" s="5" t="str">
        <f>IFERROR(IF(Portafolio_Proyectos!$AR590="","",Portafolio_Proyectos!$E590),"")</f>
        <v/>
      </c>
    </row>
    <row r="1772" spans="1:8" x14ac:dyDescent="0.35">
      <c r="A1772" s="5" t="str">
        <f>IFERROR(IF(Portafolio_Proyectos!$AP591="","","CAP-"&amp;ROW()-1),"")</f>
        <v/>
      </c>
      <c r="B1772" s="5" t="str">
        <f>IFERROR(IF(Portafolio_Proyectos!$AP591="","",Portafolio_Proyectos!$AP591),"")</f>
        <v/>
      </c>
      <c r="C1772" s="5" t="str">
        <f>IFERROR(IF(Portafolio_Proyectos!$AP591="","","Emergente"),"")</f>
        <v/>
      </c>
      <c r="D1772" s="5" t="str">
        <f>IFERROR(IF(Portafolio_Proyectos!$AP591="","",Portafolio_Proyectos!$C591),"")</f>
        <v/>
      </c>
      <c r="E1772" s="5" t="str">
        <f>IFERROR(IF(Portafolio_Proyectos!$AP591="","",Portafolio_Proyectos!$B591),"")</f>
        <v/>
      </c>
      <c r="F1772" s="5" t="str">
        <f>IFERROR(IF(Portafolio_Proyectos!$AP591="","",Portafolio_Proyectos!$D591),"")</f>
        <v/>
      </c>
      <c r="G1772" s="5" t="str">
        <f>IFERROR(IF(Portafolio_Proyectos!$AP591="","",Portafolio_Proyectos!$A591),"")</f>
        <v/>
      </c>
      <c r="H1772" s="5" t="str">
        <f>IFERROR(IF(Portafolio_Proyectos!$AP591="","",Portafolio_Proyectos!$E591),"")</f>
        <v/>
      </c>
    </row>
    <row r="1773" spans="1:8" x14ac:dyDescent="0.35">
      <c r="A1773" s="5" t="str">
        <f>IFERROR(IF(Portafolio_Proyectos!$AQ591="","","CAP-"&amp;ROW()-1),"")</f>
        <v/>
      </c>
      <c r="B1773" s="5" t="str">
        <f>IFERROR(IF(Portafolio_Proyectos!$AQ591="","",Portafolio_Proyectos!$AQ591),"")</f>
        <v/>
      </c>
      <c r="C1773" s="5" t="str">
        <f>IFERROR(IF(Portafolio_Proyectos!$AQ591="","","Consolidada"),"")</f>
        <v/>
      </c>
      <c r="D1773" s="5" t="str">
        <f>IFERROR(IF(Portafolio_Proyectos!$AQ591="","",Portafolio_Proyectos!$C591),"")</f>
        <v/>
      </c>
      <c r="E1773" s="5" t="str">
        <f>IFERROR(IF(Portafolio_Proyectos!$AQ591="","",Portafolio_Proyectos!$B591),"")</f>
        <v/>
      </c>
      <c r="F1773" s="5" t="str">
        <f>IFERROR(IF(Portafolio_Proyectos!$AQ591="","",Portafolio_Proyectos!$D591),"")</f>
        <v/>
      </c>
      <c r="G1773" s="5" t="str">
        <f>IFERROR(IF(Portafolio_Proyectos!$AQ591="","",Portafolio_Proyectos!$A591),"")</f>
        <v/>
      </c>
      <c r="H1773" s="5" t="str">
        <f>IFERROR(IF(Portafolio_Proyectos!$AQ591="","",Portafolio_Proyectos!$E591),"")</f>
        <v/>
      </c>
    </row>
    <row r="1774" spans="1:8" x14ac:dyDescent="0.35">
      <c r="A1774" s="5" t="str">
        <f>IFERROR(IF(Portafolio_Proyectos!$AR591="","","CAP-"&amp;ROW()-1),"")</f>
        <v/>
      </c>
      <c r="B1774" s="5" t="str">
        <f>IFERROR(IF(Portafolio_Proyectos!$AR591="","",Portafolio_Proyectos!$AR591),"")</f>
        <v/>
      </c>
      <c r="C1774" s="5" t="str">
        <f>IFERROR(IF(Portafolio_Proyectos!$AR591="","","Distintiva"),"")</f>
        <v/>
      </c>
      <c r="D1774" s="5" t="str">
        <f>IFERROR(IF(Portafolio_Proyectos!$AR591="","",Portafolio_Proyectos!$C591),"")</f>
        <v/>
      </c>
      <c r="E1774" s="5" t="str">
        <f>IFERROR(IF(Portafolio_Proyectos!$AR591="","",Portafolio_Proyectos!$B591),"")</f>
        <v/>
      </c>
      <c r="F1774" s="5" t="str">
        <f>IFERROR(IF(Portafolio_Proyectos!$AR591="","",Portafolio_Proyectos!$D591),"")</f>
        <v/>
      </c>
      <c r="G1774" s="5" t="str">
        <f>IFERROR(IF(Portafolio_Proyectos!$AR591="","",Portafolio_Proyectos!$A591),"")</f>
        <v/>
      </c>
      <c r="H1774" s="5" t="str">
        <f>IFERROR(IF(Portafolio_Proyectos!$AR591="","",Portafolio_Proyectos!$E591),"")</f>
        <v/>
      </c>
    </row>
    <row r="1775" spans="1:8" x14ac:dyDescent="0.35">
      <c r="A1775" s="5" t="str">
        <f>IFERROR(IF(Portafolio_Proyectos!$AP592="","","CAP-"&amp;ROW()-1),"")</f>
        <v/>
      </c>
      <c r="B1775" s="5" t="str">
        <f>IFERROR(IF(Portafolio_Proyectos!$AP592="","",Portafolio_Proyectos!$AP592),"")</f>
        <v/>
      </c>
      <c r="C1775" s="5" t="str">
        <f>IFERROR(IF(Portafolio_Proyectos!$AP592="","","Emergente"),"")</f>
        <v/>
      </c>
      <c r="D1775" s="5" t="str">
        <f>IFERROR(IF(Portafolio_Proyectos!$AP592="","",Portafolio_Proyectos!$C592),"")</f>
        <v/>
      </c>
      <c r="E1775" s="5" t="str">
        <f>IFERROR(IF(Portafolio_Proyectos!$AP592="","",Portafolio_Proyectos!$B592),"")</f>
        <v/>
      </c>
      <c r="F1775" s="5" t="str">
        <f>IFERROR(IF(Portafolio_Proyectos!$AP592="","",Portafolio_Proyectos!$D592),"")</f>
        <v/>
      </c>
      <c r="G1775" s="5" t="str">
        <f>IFERROR(IF(Portafolio_Proyectos!$AP592="","",Portafolio_Proyectos!$A592),"")</f>
        <v/>
      </c>
      <c r="H1775" s="5" t="str">
        <f>IFERROR(IF(Portafolio_Proyectos!$AP592="","",Portafolio_Proyectos!$E592),"")</f>
        <v/>
      </c>
    </row>
    <row r="1776" spans="1:8" x14ac:dyDescent="0.35">
      <c r="A1776" s="5" t="str">
        <f>IFERROR(IF(Portafolio_Proyectos!$AQ592="","","CAP-"&amp;ROW()-1),"")</f>
        <v/>
      </c>
      <c r="B1776" s="5" t="str">
        <f>IFERROR(IF(Portafolio_Proyectos!$AQ592="","",Portafolio_Proyectos!$AQ592),"")</f>
        <v/>
      </c>
      <c r="C1776" s="5" t="str">
        <f>IFERROR(IF(Portafolio_Proyectos!$AQ592="","","Consolidada"),"")</f>
        <v/>
      </c>
      <c r="D1776" s="5" t="str">
        <f>IFERROR(IF(Portafolio_Proyectos!$AQ592="","",Portafolio_Proyectos!$C592),"")</f>
        <v/>
      </c>
      <c r="E1776" s="5" t="str">
        <f>IFERROR(IF(Portafolio_Proyectos!$AQ592="","",Portafolio_Proyectos!$B592),"")</f>
        <v/>
      </c>
      <c r="F1776" s="5" t="str">
        <f>IFERROR(IF(Portafolio_Proyectos!$AQ592="","",Portafolio_Proyectos!$D592),"")</f>
        <v/>
      </c>
      <c r="G1776" s="5" t="str">
        <f>IFERROR(IF(Portafolio_Proyectos!$AQ592="","",Portafolio_Proyectos!$A592),"")</f>
        <v/>
      </c>
      <c r="H1776" s="5" t="str">
        <f>IFERROR(IF(Portafolio_Proyectos!$AQ592="","",Portafolio_Proyectos!$E592),"")</f>
        <v/>
      </c>
    </row>
    <row r="1777" spans="1:8" x14ac:dyDescent="0.35">
      <c r="A1777" s="5" t="str">
        <f>IFERROR(IF(Portafolio_Proyectos!$AR592="","","CAP-"&amp;ROW()-1),"")</f>
        <v/>
      </c>
      <c r="B1777" s="5" t="str">
        <f>IFERROR(IF(Portafolio_Proyectos!$AR592="","",Portafolio_Proyectos!$AR592),"")</f>
        <v/>
      </c>
      <c r="C1777" s="5" t="str">
        <f>IFERROR(IF(Portafolio_Proyectos!$AR592="","","Distintiva"),"")</f>
        <v/>
      </c>
      <c r="D1777" s="5" t="str">
        <f>IFERROR(IF(Portafolio_Proyectos!$AR592="","",Portafolio_Proyectos!$C592),"")</f>
        <v/>
      </c>
      <c r="E1777" s="5" t="str">
        <f>IFERROR(IF(Portafolio_Proyectos!$AR592="","",Portafolio_Proyectos!$B592),"")</f>
        <v/>
      </c>
      <c r="F1777" s="5" t="str">
        <f>IFERROR(IF(Portafolio_Proyectos!$AR592="","",Portafolio_Proyectos!$D592),"")</f>
        <v/>
      </c>
      <c r="G1777" s="5" t="str">
        <f>IFERROR(IF(Portafolio_Proyectos!$AR592="","",Portafolio_Proyectos!$A592),"")</f>
        <v/>
      </c>
      <c r="H1777" s="5" t="str">
        <f>IFERROR(IF(Portafolio_Proyectos!$AR592="","",Portafolio_Proyectos!$E592),"")</f>
        <v/>
      </c>
    </row>
    <row r="1778" spans="1:8" x14ac:dyDescent="0.35">
      <c r="A1778" s="5" t="str">
        <f>IFERROR(IF(Portafolio_Proyectos!$AP593="","","CAP-"&amp;ROW()-1),"")</f>
        <v/>
      </c>
      <c r="B1778" s="5" t="str">
        <f>IFERROR(IF(Portafolio_Proyectos!$AP593="","",Portafolio_Proyectos!$AP593),"")</f>
        <v/>
      </c>
      <c r="C1778" s="5" t="str">
        <f>IFERROR(IF(Portafolio_Proyectos!$AP593="","","Emergente"),"")</f>
        <v/>
      </c>
      <c r="D1778" s="5" t="str">
        <f>IFERROR(IF(Portafolio_Proyectos!$AP593="","",Portafolio_Proyectos!$C593),"")</f>
        <v/>
      </c>
      <c r="E1778" s="5" t="str">
        <f>IFERROR(IF(Portafolio_Proyectos!$AP593="","",Portafolio_Proyectos!$B593),"")</f>
        <v/>
      </c>
      <c r="F1778" s="5" t="str">
        <f>IFERROR(IF(Portafolio_Proyectos!$AP593="","",Portafolio_Proyectos!$D593),"")</f>
        <v/>
      </c>
      <c r="G1778" s="5" t="str">
        <f>IFERROR(IF(Portafolio_Proyectos!$AP593="","",Portafolio_Proyectos!$A593),"")</f>
        <v/>
      </c>
      <c r="H1778" s="5" t="str">
        <f>IFERROR(IF(Portafolio_Proyectos!$AP593="","",Portafolio_Proyectos!$E593),"")</f>
        <v/>
      </c>
    </row>
    <row r="1779" spans="1:8" x14ac:dyDescent="0.35">
      <c r="A1779" s="5" t="str">
        <f>IFERROR(IF(Portafolio_Proyectos!$AQ593="","","CAP-"&amp;ROW()-1),"")</f>
        <v/>
      </c>
      <c r="B1779" s="5" t="str">
        <f>IFERROR(IF(Portafolio_Proyectos!$AQ593="","",Portafolio_Proyectos!$AQ593),"")</f>
        <v/>
      </c>
      <c r="C1779" s="5" t="str">
        <f>IFERROR(IF(Portafolio_Proyectos!$AQ593="","","Consolidada"),"")</f>
        <v/>
      </c>
      <c r="D1779" s="5" t="str">
        <f>IFERROR(IF(Portafolio_Proyectos!$AQ593="","",Portafolio_Proyectos!$C593),"")</f>
        <v/>
      </c>
      <c r="E1779" s="5" t="str">
        <f>IFERROR(IF(Portafolio_Proyectos!$AQ593="","",Portafolio_Proyectos!$B593),"")</f>
        <v/>
      </c>
      <c r="F1779" s="5" t="str">
        <f>IFERROR(IF(Portafolio_Proyectos!$AQ593="","",Portafolio_Proyectos!$D593),"")</f>
        <v/>
      </c>
      <c r="G1779" s="5" t="str">
        <f>IFERROR(IF(Portafolio_Proyectos!$AQ593="","",Portafolio_Proyectos!$A593),"")</f>
        <v/>
      </c>
      <c r="H1779" s="5" t="str">
        <f>IFERROR(IF(Portafolio_Proyectos!$AQ593="","",Portafolio_Proyectos!$E593),"")</f>
        <v/>
      </c>
    </row>
    <row r="1780" spans="1:8" x14ac:dyDescent="0.35">
      <c r="A1780" s="5" t="str">
        <f>IFERROR(IF(Portafolio_Proyectos!$AR593="","","CAP-"&amp;ROW()-1),"")</f>
        <v/>
      </c>
      <c r="B1780" s="5" t="str">
        <f>IFERROR(IF(Portafolio_Proyectos!$AR593="","",Portafolio_Proyectos!$AR593),"")</f>
        <v/>
      </c>
      <c r="C1780" s="5" t="str">
        <f>IFERROR(IF(Portafolio_Proyectos!$AR593="","","Distintiva"),"")</f>
        <v/>
      </c>
      <c r="D1780" s="5" t="str">
        <f>IFERROR(IF(Portafolio_Proyectos!$AR593="","",Portafolio_Proyectos!$C593),"")</f>
        <v/>
      </c>
      <c r="E1780" s="5" t="str">
        <f>IFERROR(IF(Portafolio_Proyectos!$AR593="","",Portafolio_Proyectos!$B593),"")</f>
        <v/>
      </c>
      <c r="F1780" s="5" t="str">
        <f>IFERROR(IF(Portafolio_Proyectos!$AR593="","",Portafolio_Proyectos!$D593),"")</f>
        <v/>
      </c>
      <c r="G1780" s="5" t="str">
        <f>IFERROR(IF(Portafolio_Proyectos!$AR593="","",Portafolio_Proyectos!$A593),"")</f>
        <v/>
      </c>
      <c r="H1780" s="5" t="str">
        <f>IFERROR(IF(Portafolio_Proyectos!$AR593="","",Portafolio_Proyectos!$E593),"")</f>
        <v/>
      </c>
    </row>
    <row r="1781" spans="1:8" x14ac:dyDescent="0.35">
      <c r="A1781" s="5" t="str">
        <f>IFERROR(IF(Portafolio_Proyectos!$AP594="","","CAP-"&amp;ROW()-1),"")</f>
        <v/>
      </c>
      <c r="B1781" s="5" t="str">
        <f>IFERROR(IF(Portafolio_Proyectos!$AP594="","",Portafolio_Proyectos!$AP594),"")</f>
        <v/>
      </c>
      <c r="C1781" s="5" t="str">
        <f>IFERROR(IF(Portafolio_Proyectos!$AP594="","","Emergente"),"")</f>
        <v/>
      </c>
      <c r="D1781" s="5" t="str">
        <f>IFERROR(IF(Portafolio_Proyectos!$AP594="","",Portafolio_Proyectos!$C594),"")</f>
        <v/>
      </c>
      <c r="E1781" s="5" t="str">
        <f>IFERROR(IF(Portafolio_Proyectos!$AP594="","",Portafolio_Proyectos!$B594),"")</f>
        <v/>
      </c>
      <c r="F1781" s="5" t="str">
        <f>IFERROR(IF(Portafolio_Proyectos!$AP594="","",Portafolio_Proyectos!$D594),"")</f>
        <v/>
      </c>
      <c r="G1781" s="5" t="str">
        <f>IFERROR(IF(Portafolio_Proyectos!$AP594="","",Portafolio_Proyectos!$A594),"")</f>
        <v/>
      </c>
      <c r="H1781" s="5" t="str">
        <f>IFERROR(IF(Portafolio_Proyectos!$AP594="","",Portafolio_Proyectos!$E594),"")</f>
        <v/>
      </c>
    </row>
    <row r="1782" spans="1:8" x14ac:dyDescent="0.35">
      <c r="A1782" s="5" t="str">
        <f>IFERROR(IF(Portafolio_Proyectos!$AQ594="","","CAP-"&amp;ROW()-1),"")</f>
        <v/>
      </c>
      <c r="B1782" s="5" t="str">
        <f>IFERROR(IF(Portafolio_Proyectos!$AQ594="","",Portafolio_Proyectos!$AQ594),"")</f>
        <v/>
      </c>
      <c r="C1782" s="5" t="str">
        <f>IFERROR(IF(Portafolio_Proyectos!$AQ594="","","Consolidada"),"")</f>
        <v/>
      </c>
      <c r="D1782" s="5" t="str">
        <f>IFERROR(IF(Portafolio_Proyectos!$AQ594="","",Portafolio_Proyectos!$C594),"")</f>
        <v/>
      </c>
      <c r="E1782" s="5" t="str">
        <f>IFERROR(IF(Portafolio_Proyectos!$AQ594="","",Portafolio_Proyectos!$B594),"")</f>
        <v/>
      </c>
      <c r="F1782" s="5" t="str">
        <f>IFERROR(IF(Portafolio_Proyectos!$AQ594="","",Portafolio_Proyectos!$D594),"")</f>
        <v/>
      </c>
      <c r="G1782" s="5" t="str">
        <f>IFERROR(IF(Portafolio_Proyectos!$AQ594="","",Portafolio_Proyectos!$A594),"")</f>
        <v/>
      </c>
      <c r="H1782" s="5" t="str">
        <f>IFERROR(IF(Portafolio_Proyectos!$AQ594="","",Portafolio_Proyectos!$E594),"")</f>
        <v/>
      </c>
    </row>
    <row r="1783" spans="1:8" x14ac:dyDescent="0.35">
      <c r="A1783" s="5" t="str">
        <f>IFERROR(IF(Portafolio_Proyectos!$AR594="","","CAP-"&amp;ROW()-1),"")</f>
        <v/>
      </c>
      <c r="B1783" s="5" t="str">
        <f>IFERROR(IF(Portafolio_Proyectos!$AR594="","",Portafolio_Proyectos!$AR594),"")</f>
        <v/>
      </c>
      <c r="C1783" s="5" t="str">
        <f>IFERROR(IF(Portafolio_Proyectos!$AR594="","","Distintiva"),"")</f>
        <v/>
      </c>
      <c r="D1783" s="5" t="str">
        <f>IFERROR(IF(Portafolio_Proyectos!$AR594="","",Portafolio_Proyectos!$C594),"")</f>
        <v/>
      </c>
      <c r="E1783" s="5" t="str">
        <f>IFERROR(IF(Portafolio_Proyectos!$AR594="","",Portafolio_Proyectos!$B594),"")</f>
        <v/>
      </c>
      <c r="F1783" s="5" t="str">
        <f>IFERROR(IF(Portafolio_Proyectos!$AR594="","",Portafolio_Proyectos!$D594),"")</f>
        <v/>
      </c>
      <c r="G1783" s="5" t="str">
        <f>IFERROR(IF(Portafolio_Proyectos!$AR594="","",Portafolio_Proyectos!$A594),"")</f>
        <v/>
      </c>
      <c r="H1783" s="5" t="str">
        <f>IFERROR(IF(Portafolio_Proyectos!$AR594="","",Portafolio_Proyectos!$E594),"")</f>
        <v/>
      </c>
    </row>
    <row r="1784" spans="1:8" x14ac:dyDescent="0.35">
      <c r="A1784" s="5" t="str">
        <f>IFERROR(IF(Portafolio_Proyectos!$AP595="","","CAP-"&amp;ROW()-1),"")</f>
        <v/>
      </c>
      <c r="B1784" s="5" t="str">
        <f>IFERROR(IF(Portafolio_Proyectos!$AP595="","",Portafolio_Proyectos!$AP595),"")</f>
        <v/>
      </c>
      <c r="C1784" s="5" t="str">
        <f>IFERROR(IF(Portafolio_Proyectos!$AP595="","","Emergente"),"")</f>
        <v/>
      </c>
      <c r="D1784" s="5" t="str">
        <f>IFERROR(IF(Portafolio_Proyectos!$AP595="","",Portafolio_Proyectos!$C595),"")</f>
        <v/>
      </c>
      <c r="E1784" s="5" t="str">
        <f>IFERROR(IF(Portafolio_Proyectos!$AP595="","",Portafolio_Proyectos!$B595),"")</f>
        <v/>
      </c>
      <c r="F1784" s="5" t="str">
        <f>IFERROR(IF(Portafolio_Proyectos!$AP595="","",Portafolio_Proyectos!$D595),"")</f>
        <v/>
      </c>
      <c r="G1784" s="5" t="str">
        <f>IFERROR(IF(Portafolio_Proyectos!$AP595="","",Portafolio_Proyectos!$A595),"")</f>
        <v/>
      </c>
      <c r="H1784" s="5" t="str">
        <f>IFERROR(IF(Portafolio_Proyectos!$AP595="","",Portafolio_Proyectos!$E595),"")</f>
        <v/>
      </c>
    </row>
    <row r="1785" spans="1:8" x14ac:dyDescent="0.35">
      <c r="A1785" s="5" t="str">
        <f>IFERROR(IF(Portafolio_Proyectos!$AQ595="","","CAP-"&amp;ROW()-1),"")</f>
        <v/>
      </c>
      <c r="B1785" s="5" t="str">
        <f>IFERROR(IF(Portafolio_Proyectos!$AQ595="","",Portafolio_Proyectos!$AQ595),"")</f>
        <v/>
      </c>
      <c r="C1785" s="5" t="str">
        <f>IFERROR(IF(Portafolio_Proyectos!$AQ595="","","Consolidada"),"")</f>
        <v/>
      </c>
      <c r="D1785" s="5" t="str">
        <f>IFERROR(IF(Portafolio_Proyectos!$AQ595="","",Portafolio_Proyectos!$C595),"")</f>
        <v/>
      </c>
      <c r="E1785" s="5" t="str">
        <f>IFERROR(IF(Portafolio_Proyectos!$AQ595="","",Portafolio_Proyectos!$B595),"")</f>
        <v/>
      </c>
      <c r="F1785" s="5" t="str">
        <f>IFERROR(IF(Portafolio_Proyectos!$AQ595="","",Portafolio_Proyectos!$D595),"")</f>
        <v/>
      </c>
      <c r="G1785" s="5" t="str">
        <f>IFERROR(IF(Portafolio_Proyectos!$AQ595="","",Portafolio_Proyectos!$A595),"")</f>
        <v/>
      </c>
      <c r="H1785" s="5" t="str">
        <f>IFERROR(IF(Portafolio_Proyectos!$AQ595="","",Portafolio_Proyectos!$E595),"")</f>
        <v/>
      </c>
    </row>
    <row r="1786" spans="1:8" x14ac:dyDescent="0.35">
      <c r="A1786" s="5" t="str">
        <f>IFERROR(IF(Portafolio_Proyectos!$AR595="","","CAP-"&amp;ROW()-1),"")</f>
        <v/>
      </c>
      <c r="B1786" s="5" t="str">
        <f>IFERROR(IF(Portafolio_Proyectos!$AR595="","",Portafolio_Proyectos!$AR595),"")</f>
        <v/>
      </c>
      <c r="C1786" s="5" t="str">
        <f>IFERROR(IF(Portafolio_Proyectos!$AR595="","","Distintiva"),"")</f>
        <v/>
      </c>
      <c r="D1786" s="5" t="str">
        <f>IFERROR(IF(Portafolio_Proyectos!$AR595="","",Portafolio_Proyectos!$C595),"")</f>
        <v/>
      </c>
      <c r="E1786" s="5" t="str">
        <f>IFERROR(IF(Portafolio_Proyectos!$AR595="","",Portafolio_Proyectos!$B595),"")</f>
        <v/>
      </c>
      <c r="F1786" s="5" t="str">
        <f>IFERROR(IF(Portafolio_Proyectos!$AR595="","",Portafolio_Proyectos!$D595),"")</f>
        <v/>
      </c>
      <c r="G1786" s="5" t="str">
        <f>IFERROR(IF(Portafolio_Proyectos!$AR595="","",Portafolio_Proyectos!$A595),"")</f>
        <v/>
      </c>
      <c r="H1786" s="5" t="str">
        <f>IFERROR(IF(Portafolio_Proyectos!$AR595="","",Portafolio_Proyectos!$E595),"")</f>
        <v/>
      </c>
    </row>
    <row r="1787" spans="1:8" x14ac:dyDescent="0.35">
      <c r="A1787" s="5" t="str">
        <f>IFERROR(IF(Portafolio_Proyectos!$AP596="","","CAP-"&amp;ROW()-1),"")</f>
        <v/>
      </c>
      <c r="B1787" s="5" t="str">
        <f>IFERROR(IF(Portafolio_Proyectos!$AP596="","",Portafolio_Proyectos!$AP596),"")</f>
        <v/>
      </c>
      <c r="C1787" s="5" t="str">
        <f>IFERROR(IF(Portafolio_Proyectos!$AP596="","","Emergente"),"")</f>
        <v/>
      </c>
      <c r="D1787" s="5" t="str">
        <f>IFERROR(IF(Portafolio_Proyectos!$AP596="","",Portafolio_Proyectos!$C596),"")</f>
        <v/>
      </c>
      <c r="E1787" s="5" t="str">
        <f>IFERROR(IF(Portafolio_Proyectos!$AP596="","",Portafolio_Proyectos!$B596),"")</f>
        <v/>
      </c>
      <c r="F1787" s="5" t="str">
        <f>IFERROR(IF(Portafolio_Proyectos!$AP596="","",Portafolio_Proyectos!$D596),"")</f>
        <v/>
      </c>
      <c r="G1787" s="5" t="str">
        <f>IFERROR(IF(Portafolio_Proyectos!$AP596="","",Portafolio_Proyectos!$A596),"")</f>
        <v/>
      </c>
      <c r="H1787" s="5" t="str">
        <f>IFERROR(IF(Portafolio_Proyectos!$AP596="","",Portafolio_Proyectos!$E596),"")</f>
        <v/>
      </c>
    </row>
    <row r="1788" spans="1:8" x14ac:dyDescent="0.35">
      <c r="A1788" s="5" t="str">
        <f>IFERROR(IF(Portafolio_Proyectos!$AQ596="","","CAP-"&amp;ROW()-1),"")</f>
        <v/>
      </c>
      <c r="B1788" s="5" t="str">
        <f>IFERROR(IF(Portafolio_Proyectos!$AQ596="","",Portafolio_Proyectos!$AQ596),"")</f>
        <v/>
      </c>
      <c r="C1788" s="5" t="str">
        <f>IFERROR(IF(Portafolio_Proyectos!$AQ596="","","Consolidada"),"")</f>
        <v/>
      </c>
      <c r="D1788" s="5" t="str">
        <f>IFERROR(IF(Portafolio_Proyectos!$AQ596="","",Portafolio_Proyectos!$C596),"")</f>
        <v/>
      </c>
      <c r="E1788" s="5" t="str">
        <f>IFERROR(IF(Portafolio_Proyectos!$AQ596="","",Portafolio_Proyectos!$B596),"")</f>
        <v/>
      </c>
      <c r="F1788" s="5" t="str">
        <f>IFERROR(IF(Portafolio_Proyectos!$AQ596="","",Portafolio_Proyectos!$D596),"")</f>
        <v/>
      </c>
      <c r="G1788" s="5" t="str">
        <f>IFERROR(IF(Portafolio_Proyectos!$AQ596="","",Portafolio_Proyectos!$A596),"")</f>
        <v/>
      </c>
      <c r="H1788" s="5" t="str">
        <f>IFERROR(IF(Portafolio_Proyectos!$AQ596="","",Portafolio_Proyectos!$E596),"")</f>
        <v/>
      </c>
    </row>
    <row r="1789" spans="1:8" x14ac:dyDescent="0.35">
      <c r="A1789" s="5" t="str">
        <f>IFERROR(IF(Portafolio_Proyectos!$AR596="","","CAP-"&amp;ROW()-1),"")</f>
        <v/>
      </c>
      <c r="B1789" s="5" t="str">
        <f>IFERROR(IF(Portafolio_Proyectos!$AR596="","",Portafolio_Proyectos!$AR596),"")</f>
        <v/>
      </c>
      <c r="C1789" s="5" t="str">
        <f>IFERROR(IF(Portafolio_Proyectos!$AR596="","","Distintiva"),"")</f>
        <v/>
      </c>
      <c r="D1789" s="5" t="str">
        <f>IFERROR(IF(Portafolio_Proyectos!$AR596="","",Portafolio_Proyectos!$C596),"")</f>
        <v/>
      </c>
      <c r="E1789" s="5" t="str">
        <f>IFERROR(IF(Portafolio_Proyectos!$AR596="","",Portafolio_Proyectos!$B596),"")</f>
        <v/>
      </c>
      <c r="F1789" s="5" t="str">
        <f>IFERROR(IF(Portafolio_Proyectos!$AR596="","",Portafolio_Proyectos!$D596),"")</f>
        <v/>
      </c>
      <c r="G1789" s="5" t="str">
        <f>IFERROR(IF(Portafolio_Proyectos!$AR596="","",Portafolio_Proyectos!$A596),"")</f>
        <v/>
      </c>
      <c r="H1789" s="5" t="str">
        <f>IFERROR(IF(Portafolio_Proyectos!$AR596="","",Portafolio_Proyectos!$E596),"")</f>
        <v/>
      </c>
    </row>
    <row r="1790" spans="1:8" x14ac:dyDescent="0.35">
      <c r="A1790" s="5" t="str">
        <f>IFERROR(IF(Portafolio_Proyectos!$AP597="","","CAP-"&amp;ROW()-1),"")</f>
        <v/>
      </c>
      <c r="B1790" s="5" t="str">
        <f>IFERROR(IF(Portafolio_Proyectos!$AP597="","",Portafolio_Proyectos!$AP597),"")</f>
        <v/>
      </c>
      <c r="C1790" s="5" t="str">
        <f>IFERROR(IF(Portafolio_Proyectos!$AP597="","","Emergente"),"")</f>
        <v/>
      </c>
      <c r="D1790" s="5" t="str">
        <f>IFERROR(IF(Portafolio_Proyectos!$AP597="","",Portafolio_Proyectos!$C597),"")</f>
        <v/>
      </c>
      <c r="E1790" s="5" t="str">
        <f>IFERROR(IF(Portafolio_Proyectos!$AP597="","",Portafolio_Proyectos!$B597),"")</f>
        <v/>
      </c>
      <c r="F1790" s="5" t="str">
        <f>IFERROR(IF(Portafolio_Proyectos!$AP597="","",Portafolio_Proyectos!$D597),"")</f>
        <v/>
      </c>
      <c r="G1790" s="5" t="str">
        <f>IFERROR(IF(Portafolio_Proyectos!$AP597="","",Portafolio_Proyectos!$A597),"")</f>
        <v/>
      </c>
      <c r="H1790" s="5" t="str">
        <f>IFERROR(IF(Portafolio_Proyectos!$AP597="","",Portafolio_Proyectos!$E597),"")</f>
        <v/>
      </c>
    </row>
    <row r="1791" spans="1:8" x14ac:dyDescent="0.35">
      <c r="A1791" s="5" t="str">
        <f>IFERROR(IF(Portafolio_Proyectos!$AQ597="","","CAP-"&amp;ROW()-1),"")</f>
        <v/>
      </c>
      <c r="B1791" s="5" t="str">
        <f>IFERROR(IF(Portafolio_Proyectos!$AQ597="","",Portafolio_Proyectos!$AQ597),"")</f>
        <v/>
      </c>
      <c r="C1791" s="5" t="str">
        <f>IFERROR(IF(Portafolio_Proyectos!$AQ597="","","Consolidada"),"")</f>
        <v/>
      </c>
      <c r="D1791" s="5" t="str">
        <f>IFERROR(IF(Portafolio_Proyectos!$AQ597="","",Portafolio_Proyectos!$C597),"")</f>
        <v/>
      </c>
      <c r="E1791" s="5" t="str">
        <f>IFERROR(IF(Portafolio_Proyectos!$AQ597="","",Portafolio_Proyectos!$B597),"")</f>
        <v/>
      </c>
      <c r="F1791" s="5" t="str">
        <f>IFERROR(IF(Portafolio_Proyectos!$AQ597="","",Portafolio_Proyectos!$D597),"")</f>
        <v/>
      </c>
      <c r="G1791" s="5" t="str">
        <f>IFERROR(IF(Portafolio_Proyectos!$AQ597="","",Portafolio_Proyectos!$A597),"")</f>
        <v/>
      </c>
      <c r="H1791" s="5" t="str">
        <f>IFERROR(IF(Portafolio_Proyectos!$AQ597="","",Portafolio_Proyectos!$E597),"")</f>
        <v/>
      </c>
    </row>
    <row r="1792" spans="1:8" x14ac:dyDescent="0.35">
      <c r="A1792" s="5" t="str">
        <f>IFERROR(IF(Portafolio_Proyectos!$AR597="","","CAP-"&amp;ROW()-1),"")</f>
        <v/>
      </c>
      <c r="B1792" s="5" t="str">
        <f>IFERROR(IF(Portafolio_Proyectos!$AR597="","",Portafolio_Proyectos!$AR597),"")</f>
        <v/>
      </c>
      <c r="C1792" s="5" t="str">
        <f>IFERROR(IF(Portafolio_Proyectos!$AR597="","","Distintiva"),"")</f>
        <v/>
      </c>
      <c r="D1792" s="5" t="str">
        <f>IFERROR(IF(Portafolio_Proyectos!$AR597="","",Portafolio_Proyectos!$C597),"")</f>
        <v/>
      </c>
      <c r="E1792" s="5" t="str">
        <f>IFERROR(IF(Portafolio_Proyectos!$AR597="","",Portafolio_Proyectos!$B597),"")</f>
        <v/>
      </c>
      <c r="F1792" s="5" t="str">
        <f>IFERROR(IF(Portafolio_Proyectos!$AR597="","",Portafolio_Proyectos!$D597),"")</f>
        <v/>
      </c>
      <c r="G1792" s="5" t="str">
        <f>IFERROR(IF(Portafolio_Proyectos!$AR597="","",Portafolio_Proyectos!$A597),"")</f>
        <v/>
      </c>
      <c r="H1792" s="5" t="str">
        <f>IFERROR(IF(Portafolio_Proyectos!$AR597="","",Portafolio_Proyectos!$E597),"")</f>
        <v/>
      </c>
    </row>
    <row r="1793" spans="1:8" x14ac:dyDescent="0.35">
      <c r="A1793" s="5" t="str">
        <f>IFERROR(IF(Portafolio_Proyectos!$AP598="","","CAP-"&amp;ROW()-1),"")</f>
        <v/>
      </c>
      <c r="B1793" s="5" t="str">
        <f>IFERROR(IF(Portafolio_Proyectos!$AP598="","",Portafolio_Proyectos!$AP598),"")</f>
        <v/>
      </c>
      <c r="C1793" s="5" t="str">
        <f>IFERROR(IF(Portafolio_Proyectos!$AP598="","","Emergente"),"")</f>
        <v/>
      </c>
      <c r="D1793" s="5" t="str">
        <f>IFERROR(IF(Portafolio_Proyectos!$AP598="","",Portafolio_Proyectos!$C598),"")</f>
        <v/>
      </c>
      <c r="E1793" s="5" t="str">
        <f>IFERROR(IF(Portafolio_Proyectos!$AP598="","",Portafolio_Proyectos!$B598),"")</f>
        <v/>
      </c>
      <c r="F1793" s="5" t="str">
        <f>IFERROR(IF(Portafolio_Proyectos!$AP598="","",Portafolio_Proyectos!$D598),"")</f>
        <v/>
      </c>
      <c r="G1793" s="5" t="str">
        <f>IFERROR(IF(Portafolio_Proyectos!$AP598="","",Portafolio_Proyectos!$A598),"")</f>
        <v/>
      </c>
      <c r="H1793" s="5" t="str">
        <f>IFERROR(IF(Portafolio_Proyectos!$AP598="","",Portafolio_Proyectos!$E598),"")</f>
        <v/>
      </c>
    </row>
    <row r="1794" spans="1:8" x14ac:dyDescent="0.35">
      <c r="A1794" s="5" t="str">
        <f>IFERROR(IF(Portafolio_Proyectos!$AQ598="","","CAP-"&amp;ROW()-1),"")</f>
        <v/>
      </c>
      <c r="B1794" s="5" t="str">
        <f>IFERROR(IF(Portafolio_Proyectos!$AQ598="","",Portafolio_Proyectos!$AQ598),"")</f>
        <v/>
      </c>
      <c r="C1794" s="5" t="str">
        <f>IFERROR(IF(Portafolio_Proyectos!$AQ598="","","Consolidada"),"")</f>
        <v/>
      </c>
      <c r="D1794" s="5" t="str">
        <f>IFERROR(IF(Portafolio_Proyectos!$AQ598="","",Portafolio_Proyectos!$C598),"")</f>
        <v/>
      </c>
      <c r="E1794" s="5" t="str">
        <f>IFERROR(IF(Portafolio_Proyectos!$AQ598="","",Portafolio_Proyectos!$B598),"")</f>
        <v/>
      </c>
      <c r="F1794" s="5" t="str">
        <f>IFERROR(IF(Portafolio_Proyectos!$AQ598="","",Portafolio_Proyectos!$D598),"")</f>
        <v/>
      </c>
      <c r="G1794" s="5" t="str">
        <f>IFERROR(IF(Portafolio_Proyectos!$AQ598="","",Portafolio_Proyectos!$A598),"")</f>
        <v/>
      </c>
      <c r="H1794" s="5" t="str">
        <f>IFERROR(IF(Portafolio_Proyectos!$AQ598="","",Portafolio_Proyectos!$E598),"")</f>
        <v/>
      </c>
    </row>
    <row r="1795" spans="1:8" x14ac:dyDescent="0.35">
      <c r="A1795" s="5" t="str">
        <f>IFERROR(IF(Portafolio_Proyectos!$AR598="","","CAP-"&amp;ROW()-1),"")</f>
        <v/>
      </c>
      <c r="B1795" s="5" t="str">
        <f>IFERROR(IF(Portafolio_Proyectos!$AR598="","",Portafolio_Proyectos!$AR598),"")</f>
        <v/>
      </c>
      <c r="C1795" s="5" t="str">
        <f>IFERROR(IF(Portafolio_Proyectos!$AR598="","","Distintiva"),"")</f>
        <v/>
      </c>
      <c r="D1795" s="5" t="str">
        <f>IFERROR(IF(Portafolio_Proyectos!$AR598="","",Portafolio_Proyectos!$C598),"")</f>
        <v/>
      </c>
      <c r="E1795" s="5" t="str">
        <f>IFERROR(IF(Portafolio_Proyectos!$AR598="","",Portafolio_Proyectos!$B598),"")</f>
        <v/>
      </c>
      <c r="F1795" s="5" t="str">
        <f>IFERROR(IF(Portafolio_Proyectos!$AR598="","",Portafolio_Proyectos!$D598),"")</f>
        <v/>
      </c>
      <c r="G1795" s="5" t="str">
        <f>IFERROR(IF(Portafolio_Proyectos!$AR598="","",Portafolio_Proyectos!$A598),"")</f>
        <v/>
      </c>
      <c r="H1795" s="5" t="str">
        <f>IFERROR(IF(Portafolio_Proyectos!$AR598="","",Portafolio_Proyectos!$E598),"")</f>
        <v/>
      </c>
    </row>
    <row r="1796" spans="1:8" x14ac:dyDescent="0.35">
      <c r="A1796" s="5" t="str">
        <f>IFERROR(IF(Portafolio_Proyectos!$AP599="","","CAP-"&amp;ROW()-1),"")</f>
        <v/>
      </c>
      <c r="B1796" s="5" t="str">
        <f>IFERROR(IF(Portafolio_Proyectos!$AP599="","",Portafolio_Proyectos!$AP599),"")</f>
        <v/>
      </c>
      <c r="C1796" s="5" t="str">
        <f>IFERROR(IF(Portafolio_Proyectos!$AP599="","","Emergente"),"")</f>
        <v/>
      </c>
      <c r="D1796" s="5" t="str">
        <f>IFERROR(IF(Portafolio_Proyectos!$AP599="","",Portafolio_Proyectos!$C599),"")</f>
        <v/>
      </c>
      <c r="E1796" s="5" t="str">
        <f>IFERROR(IF(Portafolio_Proyectos!$AP599="","",Portafolio_Proyectos!$B599),"")</f>
        <v/>
      </c>
      <c r="F1796" s="5" t="str">
        <f>IFERROR(IF(Portafolio_Proyectos!$AP599="","",Portafolio_Proyectos!$D599),"")</f>
        <v/>
      </c>
      <c r="G1796" s="5" t="str">
        <f>IFERROR(IF(Portafolio_Proyectos!$AP599="","",Portafolio_Proyectos!$A599),"")</f>
        <v/>
      </c>
      <c r="H1796" s="5" t="str">
        <f>IFERROR(IF(Portafolio_Proyectos!$AP599="","",Portafolio_Proyectos!$E599),"")</f>
        <v/>
      </c>
    </row>
    <row r="1797" spans="1:8" x14ac:dyDescent="0.35">
      <c r="A1797" s="5" t="str">
        <f>IFERROR(IF(Portafolio_Proyectos!$AQ599="","","CAP-"&amp;ROW()-1),"")</f>
        <v/>
      </c>
      <c r="B1797" s="5" t="str">
        <f>IFERROR(IF(Portafolio_Proyectos!$AQ599="","",Portafolio_Proyectos!$AQ599),"")</f>
        <v/>
      </c>
      <c r="C1797" s="5" t="str">
        <f>IFERROR(IF(Portafolio_Proyectos!$AQ599="","","Consolidada"),"")</f>
        <v/>
      </c>
      <c r="D1797" s="5" t="str">
        <f>IFERROR(IF(Portafolio_Proyectos!$AQ599="","",Portafolio_Proyectos!$C599),"")</f>
        <v/>
      </c>
      <c r="E1797" s="5" t="str">
        <f>IFERROR(IF(Portafolio_Proyectos!$AQ599="","",Portafolio_Proyectos!$B599),"")</f>
        <v/>
      </c>
      <c r="F1797" s="5" t="str">
        <f>IFERROR(IF(Portafolio_Proyectos!$AQ599="","",Portafolio_Proyectos!$D599),"")</f>
        <v/>
      </c>
      <c r="G1797" s="5" t="str">
        <f>IFERROR(IF(Portafolio_Proyectos!$AQ599="","",Portafolio_Proyectos!$A599),"")</f>
        <v/>
      </c>
      <c r="H1797" s="5" t="str">
        <f>IFERROR(IF(Portafolio_Proyectos!$AQ599="","",Portafolio_Proyectos!$E599),"")</f>
        <v/>
      </c>
    </row>
    <row r="1798" spans="1:8" x14ac:dyDescent="0.35">
      <c r="A1798" s="5" t="str">
        <f>IFERROR(IF(Portafolio_Proyectos!$AR599="","","CAP-"&amp;ROW()-1),"")</f>
        <v/>
      </c>
      <c r="B1798" s="5" t="str">
        <f>IFERROR(IF(Portafolio_Proyectos!$AR599="","",Portafolio_Proyectos!$AR599),"")</f>
        <v/>
      </c>
      <c r="C1798" s="5" t="str">
        <f>IFERROR(IF(Portafolio_Proyectos!$AR599="","","Distintiva"),"")</f>
        <v/>
      </c>
      <c r="D1798" s="5" t="str">
        <f>IFERROR(IF(Portafolio_Proyectos!$AR599="","",Portafolio_Proyectos!$C599),"")</f>
        <v/>
      </c>
      <c r="E1798" s="5" t="str">
        <f>IFERROR(IF(Portafolio_Proyectos!$AR599="","",Portafolio_Proyectos!$B599),"")</f>
        <v/>
      </c>
      <c r="F1798" s="5" t="str">
        <f>IFERROR(IF(Portafolio_Proyectos!$AR599="","",Portafolio_Proyectos!$D599),"")</f>
        <v/>
      </c>
      <c r="G1798" s="5" t="str">
        <f>IFERROR(IF(Portafolio_Proyectos!$AR599="","",Portafolio_Proyectos!$A599),"")</f>
        <v/>
      </c>
      <c r="H1798" s="5" t="str">
        <f>IFERROR(IF(Portafolio_Proyectos!$AR599="","",Portafolio_Proyectos!$E599),"")</f>
        <v/>
      </c>
    </row>
    <row r="1799" spans="1:8" x14ac:dyDescent="0.35">
      <c r="A1799" s="5" t="str">
        <f>IFERROR(IF(Portafolio_Proyectos!$AP600="","","CAP-"&amp;ROW()-1),"")</f>
        <v/>
      </c>
      <c r="B1799" s="5" t="str">
        <f>IFERROR(IF(Portafolio_Proyectos!$AP600="","",Portafolio_Proyectos!$AP600),"")</f>
        <v/>
      </c>
      <c r="C1799" s="5" t="str">
        <f>IFERROR(IF(Portafolio_Proyectos!$AP600="","","Emergente"),"")</f>
        <v/>
      </c>
      <c r="D1799" s="5" t="str">
        <f>IFERROR(IF(Portafolio_Proyectos!$AP600="","",Portafolio_Proyectos!$C600),"")</f>
        <v/>
      </c>
      <c r="E1799" s="5" t="str">
        <f>IFERROR(IF(Portafolio_Proyectos!$AP600="","",Portafolio_Proyectos!$B600),"")</f>
        <v/>
      </c>
      <c r="F1799" s="5" t="str">
        <f>IFERROR(IF(Portafolio_Proyectos!$AP600="","",Portafolio_Proyectos!$D600),"")</f>
        <v/>
      </c>
      <c r="G1799" s="5" t="str">
        <f>IFERROR(IF(Portafolio_Proyectos!$AP600="","",Portafolio_Proyectos!$A600),"")</f>
        <v/>
      </c>
      <c r="H1799" s="5" t="str">
        <f>IFERROR(IF(Portafolio_Proyectos!$AP600="","",Portafolio_Proyectos!$E600),"")</f>
        <v/>
      </c>
    </row>
    <row r="1800" spans="1:8" x14ac:dyDescent="0.35">
      <c r="A1800" s="5" t="str">
        <f>IFERROR(IF(Portafolio_Proyectos!$AQ600="","","CAP-"&amp;ROW()-1),"")</f>
        <v/>
      </c>
      <c r="B1800" s="5" t="str">
        <f>IFERROR(IF(Portafolio_Proyectos!$AQ600="","",Portafolio_Proyectos!$AQ600),"")</f>
        <v/>
      </c>
      <c r="C1800" s="5" t="str">
        <f>IFERROR(IF(Portafolio_Proyectos!$AQ600="","","Consolidada"),"")</f>
        <v/>
      </c>
      <c r="D1800" s="5" t="str">
        <f>IFERROR(IF(Portafolio_Proyectos!$AQ600="","",Portafolio_Proyectos!$C600),"")</f>
        <v/>
      </c>
      <c r="E1800" s="5" t="str">
        <f>IFERROR(IF(Portafolio_Proyectos!$AQ600="","",Portafolio_Proyectos!$B600),"")</f>
        <v/>
      </c>
      <c r="F1800" s="5" t="str">
        <f>IFERROR(IF(Portafolio_Proyectos!$AQ600="","",Portafolio_Proyectos!$D600),"")</f>
        <v/>
      </c>
      <c r="G1800" s="5" t="str">
        <f>IFERROR(IF(Portafolio_Proyectos!$AQ600="","",Portafolio_Proyectos!$A600),"")</f>
        <v/>
      </c>
      <c r="H1800" s="5" t="str">
        <f>IFERROR(IF(Portafolio_Proyectos!$AQ600="","",Portafolio_Proyectos!$E600),"")</f>
        <v/>
      </c>
    </row>
    <row r="1801" spans="1:8" x14ac:dyDescent="0.35">
      <c r="A1801" s="5" t="str">
        <f>IFERROR(IF(Portafolio_Proyectos!$AR600="","","CAP-"&amp;ROW()-1),"")</f>
        <v/>
      </c>
      <c r="B1801" s="5" t="str">
        <f>IFERROR(IF(Portafolio_Proyectos!$AR600="","",Portafolio_Proyectos!$AR600),"")</f>
        <v/>
      </c>
      <c r="C1801" s="5" t="str">
        <f>IFERROR(IF(Portafolio_Proyectos!$AR600="","","Distintiva"),"")</f>
        <v/>
      </c>
      <c r="D1801" s="5" t="str">
        <f>IFERROR(IF(Portafolio_Proyectos!$AR600="","",Portafolio_Proyectos!$C600),"")</f>
        <v/>
      </c>
      <c r="E1801" s="5" t="str">
        <f>IFERROR(IF(Portafolio_Proyectos!$AR600="","",Portafolio_Proyectos!$B600),"")</f>
        <v/>
      </c>
      <c r="F1801" s="5" t="str">
        <f>IFERROR(IF(Portafolio_Proyectos!$AR600="","",Portafolio_Proyectos!$D600),"")</f>
        <v/>
      </c>
      <c r="G1801" s="5" t="str">
        <f>IFERROR(IF(Portafolio_Proyectos!$AR600="","",Portafolio_Proyectos!$A600),"")</f>
        <v/>
      </c>
      <c r="H1801" s="5" t="str">
        <f>IFERROR(IF(Portafolio_Proyectos!$AR600="","",Portafolio_Proyectos!$E600),"")</f>
        <v/>
      </c>
    </row>
    <row r="1802" spans="1:8" x14ac:dyDescent="0.35">
      <c r="A1802" s="5" t="str">
        <f>IFERROR(IF(Portafolio_Proyectos!$AP601="","","CAP-"&amp;ROW()-1),"")</f>
        <v/>
      </c>
      <c r="B1802" s="5" t="str">
        <f>IFERROR(IF(Portafolio_Proyectos!$AP601="","",Portafolio_Proyectos!$AP601),"")</f>
        <v/>
      </c>
      <c r="C1802" s="5" t="str">
        <f>IFERROR(IF(Portafolio_Proyectos!$AP601="","","Emergente"),"")</f>
        <v/>
      </c>
      <c r="D1802" s="5" t="str">
        <f>IFERROR(IF(Portafolio_Proyectos!$AP601="","",Portafolio_Proyectos!$C601),"")</f>
        <v/>
      </c>
      <c r="E1802" s="5" t="str">
        <f>IFERROR(IF(Portafolio_Proyectos!$AP601="","",Portafolio_Proyectos!$B601),"")</f>
        <v/>
      </c>
      <c r="F1802" s="5" t="str">
        <f>IFERROR(IF(Portafolio_Proyectos!$AP601="","",Portafolio_Proyectos!$D601),"")</f>
        <v/>
      </c>
      <c r="G1802" s="5" t="str">
        <f>IFERROR(IF(Portafolio_Proyectos!$AP601="","",Portafolio_Proyectos!$A601),"")</f>
        <v/>
      </c>
      <c r="H1802" s="5" t="str">
        <f>IFERROR(IF(Portafolio_Proyectos!$AP601="","",Portafolio_Proyectos!$E601),"")</f>
        <v/>
      </c>
    </row>
    <row r="1803" spans="1:8" x14ac:dyDescent="0.35">
      <c r="A1803" s="5" t="str">
        <f>IFERROR(IF(Portafolio_Proyectos!$AQ601="","","CAP-"&amp;ROW()-1),"")</f>
        <v/>
      </c>
      <c r="B1803" s="5" t="str">
        <f>IFERROR(IF(Portafolio_Proyectos!$AQ601="","",Portafolio_Proyectos!$AQ601),"")</f>
        <v/>
      </c>
      <c r="C1803" s="5" t="str">
        <f>IFERROR(IF(Portafolio_Proyectos!$AQ601="","","Consolidada"),"")</f>
        <v/>
      </c>
      <c r="D1803" s="5" t="str">
        <f>IFERROR(IF(Portafolio_Proyectos!$AQ601="","",Portafolio_Proyectos!$C601),"")</f>
        <v/>
      </c>
      <c r="E1803" s="5" t="str">
        <f>IFERROR(IF(Portafolio_Proyectos!$AQ601="","",Portafolio_Proyectos!$B601),"")</f>
        <v/>
      </c>
      <c r="F1803" s="5" t="str">
        <f>IFERROR(IF(Portafolio_Proyectos!$AQ601="","",Portafolio_Proyectos!$D601),"")</f>
        <v/>
      </c>
      <c r="G1803" s="5" t="str">
        <f>IFERROR(IF(Portafolio_Proyectos!$AQ601="","",Portafolio_Proyectos!$A601),"")</f>
        <v/>
      </c>
      <c r="H1803" s="5" t="str">
        <f>IFERROR(IF(Portafolio_Proyectos!$AQ601="","",Portafolio_Proyectos!$E601),"")</f>
        <v/>
      </c>
    </row>
    <row r="1804" spans="1:8" x14ac:dyDescent="0.35">
      <c r="A1804" s="5" t="str">
        <f>IFERROR(IF(Portafolio_Proyectos!$AR601="","","CAP-"&amp;ROW()-1),"")</f>
        <v/>
      </c>
      <c r="B1804" s="5" t="str">
        <f>IFERROR(IF(Portafolio_Proyectos!$AR601="","",Portafolio_Proyectos!$AR601),"")</f>
        <v/>
      </c>
      <c r="C1804" s="5" t="str">
        <f>IFERROR(IF(Portafolio_Proyectos!$AR601="","","Distintiva"),"")</f>
        <v/>
      </c>
      <c r="D1804" s="5" t="str">
        <f>IFERROR(IF(Portafolio_Proyectos!$AR601="","",Portafolio_Proyectos!$C601),"")</f>
        <v/>
      </c>
      <c r="E1804" s="5" t="str">
        <f>IFERROR(IF(Portafolio_Proyectos!$AR601="","",Portafolio_Proyectos!$B601),"")</f>
        <v/>
      </c>
      <c r="F1804" s="5" t="str">
        <f>IFERROR(IF(Portafolio_Proyectos!$AR601="","",Portafolio_Proyectos!$D601),"")</f>
        <v/>
      </c>
      <c r="G1804" s="5" t="str">
        <f>IFERROR(IF(Portafolio_Proyectos!$AR601="","",Portafolio_Proyectos!$A601),"")</f>
        <v/>
      </c>
      <c r="H1804" s="5" t="str">
        <f>IFERROR(IF(Portafolio_Proyectos!$AR601="","",Portafolio_Proyectos!$E601),"")</f>
        <v/>
      </c>
    </row>
    <row r="1805" spans="1:8" x14ac:dyDescent="0.35">
      <c r="A1805" s="5" t="str">
        <f>IFERROR(IF(Portafolio_Proyectos!$AP602="","","CAP-"&amp;ROW()-1),"")</f>
        <v/>
      </c>
      <c r="B1805" s="5" t="str">
        <f>IFERROR(IF(Portafolio_Proyectos!$AP602="","",Portafolio_Proyectos!$AP602),"")</f>
        <v/>
      </c>
      <c r="C1805" s="5" t="str">
        <f>IFERROR(IF(Portafolio_Proyectos!$AP602="","","Emergente"),"")</f>
        <v/>
      </c>
      <c r="D1805" s="5" t="str">
        <f>IFERROR(IF(Portafolio_Proyectos!$AP602="","",Portafolio_Proyectos!$C602),"")</f>
        <v/>
      </c>
      <c r="E1805" s="5" t="str">
        <f>IFERROR(IF(Portafolio_Proyectos!$AP602="","",Portafolio_Proyectos!$B602),"")</f>
        <v/>
      </c>
      <c r="F1805" s="5" t="str">
        <f>IFERROR(IF(Portafolio_Proyectos!$AP602="","",Portafolio_Proyectos!$D602),"")</f>
        <v/>
      </c>
      <c r="G1805" s="5" t="str">
        <f>IFERROR(IF(Portafolio_Proyectos!$AP602="","",Portafolio_Proyectos!$A602),"")</f>
        <v/>
      </c>
      <c r="H1805" s="5" t="str">
        <f>IFERROR(IF(Portafolio_Proyectos!$AP602="","",Portafolio_Proyectos!$E602),"")</f>
        <v/>
      </c>
    </row>
    <row r="1806" spans="1:8" x14ac:dyDescent="0.35">
      <c r="A1806" s="5" t="str">
        <f>IFERROR(IF(Portafolio_Proyectos!$AQ602="","","CAP-"&amp;ROW()-1),"")</f>
        <v/>
      </c>
      <c r="B1806" s="5" t="str">
        <f>IFERROR(IF(Portafolio_Proyectos!$AQ602="","",Portafolio_Proyectos!$AQ602),"")</f>
        <v/>
      </c>
      <c r="C1806" s="5" t="str">
        <f>IFERROR(IF(Portafolio_Proyectos!$AQ602="","","Consolidada"),"")</f>
        <v/>
      </c>
      <c r="D1806" s="5" t="str">
        <f>IFERROR(IF(Portafolio_Proyectos!$AQ602="","",Portafolio_Proyectos!$C602),"")</f>
        <v/>
      </c>
      <c r="E1806" s="5" t="str">
        <f>IFERROR(IF(Portafolio_Proyectos!$AQ602="","",Portafolio_Proyectos!$B602),"")</f>
        <v/>
      </c>
      <c r="F1806" s="5" t="str">
        <f>IFERROR(IF(Portafolio_Proyectos!$AQ602="","",Portafolio_Proyectos!$D602),"")</f>
        <v/>
      </c>
      <c r="G1806" s="5" t="str">
        <f>IFERROR(IF(Portafolio_Proyectos!$AQ602="","",Portafolio_Proyectos!$A602),"")</f>
        <v/>
      </c>
      <c r="H1806" s="5" t="str">
        <f>IFERROR(IF(Portafolio_Proyectos!$AQ602="","",Portafolio_Proyectos!$E602),"")</f>
        <v/>
      </c>
    </row>
    <row r="1807" spans="1:8" x14ac:dyDescent="0.35">
      <c r="A1807" s="5" t="str">
        <f>IFERROR(IF(Portafolio_Proyectos!$AR602="","","CAP-"&amp;ROW()-1),"")</f>
        <v/>
      </c>
      <c r="B1807" s="5" t="str">
        <f>IFERROR(IF(Portafolio_Proyectos!$AR602="","",Portafolio_Proyectos!$AR602),"")</f>
        <v/>
      </c>
      <c r="C1807" s="5" t="str">
        <f>IFERROR(IF(Portafolio_Proyectos!$AR602="","","Distintiva"),"")</f>
        <v/>
      </c>
      <c r="D1807" s="5" t="str">
        <f>IFERROR(IF(Portafolio_Proyectos!$AR602="","",Portafolio_Proyectos!$C602),"")</f>
        <v/>
      </c>
      <c r="E1807" s="5" t="str">
        <f>IFERROR(IF(Portafolio_Proyectos!$AR602="","",Portafolio_Proyectos!$B602),"")</f>
        <v/>
      </c>
      <c r="F1807" s="5" t="str">
        <f>IFERROR(IF(Portafolio_Proyectos!$AR602="","",Portafolio_Proyectos!$D602),"")</f>
        <v/>
      </c>
      <c r="G1807" s="5" t="str">
        <f>IFERROR(IF(Portafolio_Proyectos!$AR602="","",Portafolio_Proyectos!$A602),"")</f>
        <v/>
      </c>
      <c r="H1807" s="5" t="str">
        <f>IFERROR(IF(Portafolio_Proyectos!$AR602="","",Portafolio_Proyectos!$E602),"")</f>
        <v/>
      </c>
    </row>
    <row r="1808" spans="1:8" x14ac:dyDescent="0.35">
      <c r="A1808" s="5" t="str">
        <f>IFERROR(IF(Portafolio_Proyectos!$AP603="","","CAP-"&amp;ROW()-1),"")</f>
        <v/>
      </c>
      <c r="B1808" s="5" t="str">
        <f>IFERROR(IF(Portafolio_Proyectos!$AP603="","",Portafolio_Proyectos!$AP603),"")</f>
        <v/>
      </c>
      <c r="C1808" s="5" t="str">
        <f>IFERROR(IF(Portafolio_Proyectos!$AP603="","","Emergente"),"")</f>
        <v/>
      </c>
      <c r="D1808" s="5" t="str">
        <f>IFERROR(IF(Portafolio_Proyectos!$AP603="","",Portafolio_Proyectos!$C603),"")</f>
        <v/>
      </c>
      <c r="E1808" s="5" t="str">
        <f>IFERROR(IF(Portafolio_Proyectos!$AP603="","",Portafolio_Proyectos!$B603),"")</f>
        <v/>
      </c>
      <c r="F1808" s="5" t="str">
        <f>IFERROR(IF(Portafolio_Proyectos!$AP603="","",Portafolio_Proyectos!$D603),"")</f>
        <v/>
      </c>
      <c r="G1808" s="5" t="str">
        <f>IFERROR(IF(Portafolio_Proyectos!$AP603="","",Portafolio_Proyectos!$A603),"")</f>
        <v/>
      </c>
      <c r="H1808" s="5" t="str">
        <f>IFERROR(IF(Portafolio_Proyectos!$AP603="","",Portafolio_Proyectos!$E603),"")</f>
        <v/>
      </c>
    </row>
    <row r="1809" spans="1:8" x14ac:dyDescent="0.35">
      <c r="A1809" s="5" t="str">
        <f>IFERROR(IF(Portafolio_Proyectos!$AQ603="","","CAP-"&amp;ROW()-1),"")</f>
        <v/>
      </c>
      <c r="B1809" s="5" t="str">
        <f>IFERROR(IF(Portafolio_Proyectos!$AQ603="","",Portafolio_Proyectos!$AQ603),"")</f>
        <v/>
      </c>
      <c r="C1809" s="5" t="str">
        <f>IFERROR(IF(Portafolio_Proyectos!$AQ603="","","Consolidada"),"")</f>
        <v/>
      </c>
      <c r="D1809" s="5" t="str">
        <f>IFERROR(IF(Portafolio_Proyectos!$AQ603="","",Portafolio_Proyectos!$C603),"")</f>
        <v/>
      </c>
      <c r="E1809" s="5" t="str">
        <f>IFERROR(IF(Portafolio_Proyectos!$AQ603="","",Portafolio_Proyectos!$B603),"")</f>
        <v/>
      </c>
      <c r="F1809" s="5" t="str">
        <f>IFERROR(IF(Portafolio_Proyectos!$AQ603="","",Portafolio_Proyectos!$D603),"")</f>
        <v/>
      </c>
      <c r="G1809" s="5" t="str">
        <f>IFERROR(IF(Portafolio_Proyectos!$AQ603="","",Portafolio_Proyectos!$A603),"")</f>
        <v/>
      </c>
      <c r="H1809" s="5" t="str">
        <f>IFERROR(IF(Portafolio_Proyectos!$AQ603="","",Portafolio_Proyectos!$E603),"")</f>
        <v/>
      </c>
    </row>
    <row r="1810" spans="1:8" x14ac:dyDescent="0.35">
      <c r="A1810" s="5" t="str">
        <f>IFERROR(IF(Portafolio_Proyectos!$AR603="","","CAP-"&amp;ROW()-1),"")</f>
        <v/>
      </c>
      <c r="B1810" s="5" t="str">
        <f>IFERROR(IF(Portafolio_Proyectos!$AR603="","",Portafolio_Proyectos!$AR603),"")</f>
        <v/>
      </c>
      <c r="C1810" s="5" t="str">
        <f>IFERROR(IF(Portafolio_Proyectos!$AR603="","","Distintiva"),"")</f>
        <v/>
      </c>
      <c r="D1810" s="5" t="str">
        <f>IFERROR(IF(Portafolio_Proyectos!$AR603="","",Portafolio_Proyectos!$C603),"")</f>
        <v/>
      </c>
      <c r="E1810" s="5" t="str">
        <f>IFERROR(IF(Portafolio_Proyectos!$AR603="","",Portafolio_Proyectos!$B603),"")</f>
        <v/>
      </c>
      <c r="F1810" s="5" t="str">
        <f>IFERROR(IF(Portafolio_Proyectos!$AR603="","",Portafolio_Proyectos!$D603),"")</f>
        <v/>
      </c>
      <c r="G1810" s="5" t="str">
        <f>IFERROR(IF(Portafolio_Proyectos!$AR603="","",Portafolio_Proyectos!$A603),"")</f>
        <v/>
      </c>
      <c r="H1810" s="5" t="str">
        <f>IFERROR(IF(Portafolio_Proyectos!$AR603="","",Portafolio_Proyectos!$E603),"")</f>
        <v/>
      </c>
    </row>
    <row r="1811" spans="1:8" x14ac:dyDescent="0.35">
      <c r="A1811" s="5" t="str">
        <f>IFERROR(IF(Portafolio_Proyectos!$AP604="","","CAP-"&amp;ROW()-1),"")</f>
        <v/>
      </c>
      <c r="B1811" s="5" t="str">
        <f>IFERROR(IF(Portafolio_Proyectos!$AP604="","",Portafolio_Proyectos!$AP604),"")</f>
        <v/>
      </c>
      <c r="C1811" s="5" t="str">
        <f>IFERROR(IF(Portafolio_Proyectos!$AP604="","","Emergente"),"")</f>
        <v/>
      </c>
      <c r="D1811" s="5" t="str">
        <f>IFERROR(IF(Portafolio_Proyectos!$AP604="","",Portafolio_Proyectos!$C604),"")</f>
        <v/>
      </c>
      <c r="E1811" s="5" t="str">
        <f>IFERROR(IF(Portafolio_Proyectos!$AP604="","",Portafolio_Proyectos!$B604),"")</f>
        <v/>
      </c>
      <c r="F1811" s="5" t="str">
        <f>IFERROR(IF(Portafolio_Proyectos!$AP604="","",Portafolio_Proyectos!$D604),"")</f>
        <v/>
      </c>
      <c r="G1811" s="5" t="str">
        <f>IFERROR(IF(Portafolio_Proyectos!$AP604="","",Portafolio_Proyectos!$A604),"")</f>
        <v/>
      </c>
      <c r="H1811" s="5" t="str">
        <f>IFERROR(IF(Portafolio_Proyectos!$AP604="","",Portafolio_Proyectos!$E604),"")</f>
        <v/>
      </c>
    </row>
    <row r="1812" spans="1:8" x14ac:dyDescent="0.35">
      <c r="A1812" s="5" t="str">
        <f>IFERROR(IF(Portafolio_Proyectos!$AQ604="","","CAP-"&amp;ROW()-1),"")</f>
        <v/>
      </c>
      <c r="B1812" s="5" t="str">
        <f>IFERROR(IF(Portafolio_Proyectos!$AQ604="","",Portafolio_Proyectos!$AQ604),"")</f>
        <v/>
      </c>
      <c r="C1812" s="5" t="str">
        <f>IFERROR(IF(Portafolio_Proyectos!$AQ604="","","Consolidada"),"")</f>
        <v/>
      </c>
      <c r="D1812" s="5" t="str">
        <f>IFERROR(IF(Portafolio_Proyectos!$AQ604="","",Portafolio_Proyectos!$C604),"")</f>
        <v/>
      </c>
      <c r="E1812" s="5" t="str">
        <f>IFERROR(IF(Portafolio_Proyectos!$AQ604="","",Portafolio_Proyectos!$B604),"")</f>
        <v/>
      </c>
      <c r="F1812" s="5" t="str">
        <f>IFERROR(IF(Portafolio_Proyectos!$AQ604="","",Portafolio_Proyectos!$D604),"")</f>
        <v/>
      </c>
      <c r="G1812" s="5" t="str">
        <f>IFERROR(IF(Portafolio_Proyectos!$AQ604="","",Portafolio_Proyectos!$A604),"")</f>
        <v/>
      </c>
      <c r="H1812" s="5" t="str">
        <f>IFERROR(IF(Portafolio_Proyectos!$AQ604="","",Portafolio_Proyectos!$E604),"")</f>
        <v/>
      </c>
    </row>
    <row r="1813" spans="1:8" x14ac:dyDescent="0.35">
      <c r="A1813" s="5" t="str">
        <f>IFERROR(IF(Portafolio_Proyectos!$AR604="","","CAP-"&amp;ROW()-1),"")</f>
        <v/>
      </c>
      <c r="B1813" s="5" t="str">
        <f>IFERROR(IF(Portafolio_Proyectos!$AR604="","",Portafolio_Proyectos!$AR604),"")</f>
        <v/>
      </c>
      <c r="C1813" s="5" t="str">
        <f>IFERROR(IF(Portafolio_Proyectos!$AR604="","","Distintiva"),"")</f>
        <v/>
      </c>
      <c r="D1813" s="5" t="str">
        <f>IFERROR(IF(Portafolio_Proyectos!$AR604="","",Portafolio_Proyectos!$C604),"")</f>
        <v/>
      </c>
      <c r="E1813" s="5" t="str">
        <f>IFERROR(IF(Portafolio_Proyectos!$AR604="","",Portafolio_Proyectos!$B604),"")</f>
        <v/>
      </c>
      <c r="F1813" s="5" t="str">
        <f>IFERROR(IF(Portafolio_Proyectos!$AR604="","",Portafolio_Proyectos!$D604),"")</f>
        <v/>
      </c>
      <c r="G1813" s="5" t="str">
        <f>IFERROR(IF(Portafolio_Proyectos!$AR604="","",Portafolio_Proyectos!$A604),"")</f>
        <v/>
      </c>
      <c r="H1813" s="5" t="str">
        <f>IFERROR(IF(Portafolio_Proyectos!$AR604="","",Portafolio_Proyectos!$E604),"")</f>
        <v/>
      </c>
    </row>
    <row r="1814" spans="1:8" x14ac:dyDescent="0.35">
      <c r="A1814" s="5" t="str">
        <f>IFERROR(IF(Portafolio_Proyectos!$AP605="","","CAP-"&amp;ROW()-1),"")</f>
        <v/>
      </c>
      <c r="B1814" s="5" t="str">
        <f>IFERROR(IF(Portafolio_Proyectos!$AP605="","",Portafolio_Proyectos!$AP605),"")</f>
        <v/>
      </c>
      <c r="C1814" s="5" t="str">
        <f>IFERROR(IF(Portafolio_Proyectos!$AP605="","","Emergente"),"")</f>
        <v/>
      </c>
      <c r="D1814" s="5" t="str">
        <f>IFERROR(IF(Portafolio_Proyectos!$AP605="","",Portafolio_Proyectos!$C605),"")</f>
        <v/>
      </c>
      <c r="E1814" s="5" t="str">
        <f>IFERROR(IF(Portafolio_Proyectos!$AP605="","",Portafolio_Proyectos!$B605),"")</f>
        <v/>
      </c>
      <c r="F1814" s="5" t="str">
        <f>IFERROR(IF(Portafolio_Proyectos!$AP605="","",Portafolio_Proyectos!$D605),"")</f>
        <v/>
      </c>
      <c r="G1814" s="5" t="str">
        <f>IFERROR(IF(Portafolio_Proyectos!$AP605="","",Portafolio_Proyectos!$A605),"")</f>
        <v/>
      </c>
      <c r="H1814" s="5" t="str">
        <f>IFERROR(IF(Portafolio_Proyectos!$AP605="","",Portafolio_Proyectos!$E605),"")</f>
        <v/>
      </c>
    </row>
    <row r="1815" spans="1:8" x14ac:dyDescent="0.35">
      <c r="A1815" s="5" t="str">
        <f>IFERROR(IF(Portafolio_Proyectos!$AQ605="","","CAP-"&amp;ROW()-1),"")</f>
        <v/>
      </c>
      <c r="B1815" s="5" t="str">
        <f>IFERROR(IF(Portafolio_Proyectos!$AQ605="","",Portafolio_Proyectos!$AQ605),"")</f>
        <v/>
      </c>
      <c r="C1815" s="5" t="str">
        <f>IFERROR(IF(Portafolio_Proyectos!$AQ605="","","Consolidada"),"")</f>
        <v/>
      </c>
      <c r="D1815" s="5" t="str">
        <f>IFERROR(IF(Portafolio_Proyectos!$AQ605="","",Portafolio_Proyectos!$C605),"")</f>
        <v/>
      </c>
      <c r="E1815" s="5" t="str">
        <f>IFERROR(IF(Portafolio_Proyectos!$AQ605="","",Portafolio_Proyectos!$B605),"")</f>
        <v/>
      </c>
      <c r="F1815" s="5" t="str">
        <f>IFERROR(IF(Portafolio_Proyectos!$AQ605="","",Portafolio_Proyectos!$D605),"")</f>
        <v/>
      </c>
      <c r="G1815" s="5" t="str">
        <f>IFERROR(IF(Portafolio_Proyectos!$AQ605="","",Portafolio_Proyectos!$A605),"")</f>
        <v/>
      </c>
      <c r="H1815" s="5" t="str">
        <f>IFERROR(IF(Portafolio_Proyectos!$AQ605="","",Portafolio_Proyectos!$E605),"")</f>
        <v/>
      </c>
    </row>
    <row r="1816" spans="1:8" x14ac:dyDescent="0.35">
      <c r="A1816" s="5" t="str">
        <f>IFERROR(IF(Portafolio_Proyectos!$AR605="","","CAP-"&amp;ROW()-1),"")</f>
        <v/>
      </c>
      <c r="B1816" s="5" t="str">
        <f>IFERROR(IF(Portafolio_Proyectos!$AR605="","",Portafolio_Proyectos!$AR605),"")</f>
        <v/>
      </c>
      <c r="C1816" s="5" t="str">
        <f>IFERROR(IF(Portafolio_Proyectos!$AR605="","","Distintiva"),"")</f>
        <v/>
      </c>
      <c r="D1816" s="5" t="str">
        <f>IFERROR(IF(Portafolio_Proyectos!$AR605="","",Portafolio_Proyectos!$C605),"")</f>
        <v/>
      </c>
      <c r="E1816" s="5" t="str">
        <f>IFERROR(IF(Portafolio_Proyectos!$AR605="","",Portafolio_Proyectos!$B605),"")</f>
        <v/>
      </c>
      <c r="F1816" s="5" t="str">
        <f>IFERROR(IF(Portafolio_Proyectos!$AR605="","",Portafolio_Proyectos!$D605),"")</f>
        <v/>
      </c>
      <c r="G1816" s="5" t="str">
        <f>IFERROR(IF(Portafolio_Proyectos!$AR605="","",Portafolio_Proyectos!$A605),"")</f>
        <v/>
      </c>
      <c r="H1816" s="5" t="str">
        <f>IFERROR(IF(Portafolio_Proyectos!$AR605="","",Portafolio_Proyectos!$E605),"")</f>
        <v/>
      </c>
    </row>
    <row r="1817" spans="1:8" x14ac:dyDescent="0.35">
      <c r="A1817" s="5" t="str">
        <f>IFERROR(IF(Portafolio_Proyectos!$AP606="","","CAP-"&amp;ROW()-1),"")</f>
        <v/>
      </c>
      <c r="B1817" s="5" t="str">
        <f>IFERROR(IF(Portafolio_Proyectos!$AP606="","",Portafolio_Proyectos!$AP606),"")</f>
        <v/>
      </c>
      <c r="C1817" s="5" t="str">
        <f>IFERROR(IF(Portafolio_Proyectos!$AP606="","","Emergente"),"")</f>
        <v/>
      </c>
      <c r="D1817" s="5" t="str">
        <f>IFERROR(IF(Portafolio_Proyectos!$AP606="","",Portafolio_Proyectos!$C606),"")</f>
        <v/>
      </c>
      <c r="E1817" s="5" t="str">
        <f>IFERROR(IF(Portafolio_Proyectos!$AP606="","",Portafolio_Proyectos!$B606),"")</f>
        <v/>
      </c>
      <c r="F1817" s="5" t="str">
        <f>IFERROR(IF(Portafolio_Proyectos!$AP606="","",Portafolio_Proyectos!$D606),"")</f>
        <v/>
      </c>
      <c r="G1817" s="5" t="str">
        <f>IFERROR(IF(Portafolio_Proyectos!$AP606="","",Portafolio_Proyectos!$A606),"")</f>
        <v/>
      </c>
      <c r="H1817" s="5" t="str">
        <f>IFERROR(IF(Portafolio_Proyectos!$AP606="","",Portafolio_Proyectos!$E606),"")</f>
        <v/>
      </c>
    </row>
    <row r="1818" spans="1:8" x14ac:dyDescent="0.35">
      <c r="A1818" s="5" t="str">
        <f>IFERROR(IF(Portafolio_Proyectos!$AQ606="","","CAP-"&amp;ROW()-1),"")</f>
        <v/>
      </c>
      <c r="B1818" s="5" t="str">
        <f>IFERROR(IF(Portafolio_Proyectos!$AQ606="","",Portafolio_Proyectos!$AQ606),"")</f>
        <v/>
      </c>
      <c r="C1818" s="5" t="str">
        <f>IFERROR(IF(Portafolio_Proyectos!$AQ606="","","Consolidada"),"")</f>
        <v/>
      </c>
      <c r="D1818" s="5" t="str">
        <f>IFERROR(IF(Portafolio_Proyectos!$AQ606="","",Portafolio_Proyectos!$C606),"")</f>
        <v/>
      </c>
      <c r="E1818" s="5" t="str">
        <f>IFERROR(IF(Portafolio_Proyectos!$AQ606="","",Portafolio_Proyectos!$B606),"")</f>
        <v/>
      </c>
      <c r="F1818" s="5" t="str">
        <f>IFERROR(IF(Portafolio_Proyectos!$AQ606="","",Portafolio_Proyectos!$D606),"")</f>
        <v/>
      </c>
      <c r="G1818" s="5" t="str">
        <f>IFERROR(IF(Portafolio_Proyectos!$AQ606="","",Portafolio_Proyectos!$A606),"")</f>
        <v/>
      </c>
      <c r="H1818" s="5" t="str">
        <f>IFERROR(IF(Portafolio_Proyectos!$AQ606="","",Portafolio_Proyectos!$E606),"")</f>
        <v/>
      </c>
    </row>
    <row r="1819" spans="1:8" x14ac:dyDescent="0.35">
      <c r="A1819" s="5" t="str">
        <f>IFERROR(IF(Portafolio_Proyectos!$AR606="","","CAP-"&amp;ROW()-1),"")</f>
        <v/>
      </c>
      <c r="B1819" s="5" t="str">
        <f>IFERROR(IF(Portafolio_Proyectos!$AR606="","",Portafolio_Proyectos!$AR606),"")</f>
        <v/>
      </c>
      <c r="C1819" s="5" t="str">
        <f>IFERROR(IF(Portafolio_Proyectos!$AR606="","","Distintiva"),"")</f>
        <v/>
      </c>
      <c r="D1819" s="5" t="str">
        <f>IFERROR(IF(Portafolio_Proyectos!$AR606="","",Portafolio_Proyectos!$C606),"")</f>
        <v/>
      </c>
      <c r="E1819" s="5" t="str">
        <f>IFERROR(IF(Portafolio_Proyectos!$AR606="","",Portafolio_Proyectos!$B606),"")</f>
        <v/>
      </c>
      <c r="F1819" s="5" t="str">
        <f>IFERROR(IF(Portafolio_Proyectos!$AR606="","",Portafolio_Proyectos!$D606),"")</f>
        <v/>
      </c>
      <c r="G1819" s="5" t="str">
        <f>IFERROR(IF(Portafolio_Proyectos!$AR606="","",Portafolio_Proyectos!$A606),"")</f>
        <v/>
      </c>
      <c r="H1819" s="5" t="str">
        <f>IFERROR(IF(Portafolio_Proyectos!$AR606="","",Portafolio_Proyectos!$E606),"")</f>
        <v/>
      </c>
    </row>
    <row r="1820" spans="1:8" x14ac:dyDescent="0.35">
      <c r="A1820" s="5" t="str">
        <f>IFERROR(IF(Portafolio_Proyectos!$AP607="","","CAP-"&amp;ROW()-1),"")</f>
        <v/>
      </c>
      <c r="B1820" s="5" t="str">
        <f>IFERROR(IF(Portafolio_Proyectos!$AP607="","",Portafolio_Proyectos!$AP607),"")</f>
        <v/>
      </c>
      <c r="C1820" s="5" t="str">
        <f>IFERROR(IF(Portafolio_Proyectos!$AP607="","","Emergente"),"")</f>
        <v/>
      </c>
      <c r="D1820" s="5" t="str">
        <f>IFERROR(IF(Portafolio_Proyectos!$AP607="","",Portafolio_Proyectos!$C607),"")</f>
        <v/>
      </c>
      <c r="E1820" s="5" t="str">
        <f>IFERROR(IF(Portafolio_Proyectos!$AP607="","",Portafolio_Proyectos!$B607),"")</f>
        <v/>
      </c>
      <c r="F1820" s="5" t="str">
        <f>IFERROR(IF(Portafolio_Proyectos!$AP607="","",Portafolio_Proyectos!$D607),"")</f>
        <v/>
      </c>
      <c r="G1820" s="5" t="str">
        <f>IFERROR(IF(Portafolio_Proyectos!$AP607="","",Portafolio_Proyectos!$A607),"")</f>
        <v/>
      </c>
      <c r="H1820" s="5" t="str">
        <f>IFERROR(IF(Portafolio_Proyectos!$AP607="","",Portafolio_Proyectos!$E607),"")</f>
        <v/>
      </c>
    </row>
    <row r="1821" spans="1:8" x14ac:dyDescent="0.35">
      <c r="A1821" s="5" t="str">
        <f>IFERROR(IF(Portafolio_Proyectos!$AQ607="","","CAP-"&amp;ROW()-1),"")</f>
        <v/>
      </c>
      <c r="B1821" s="5" t="str">
        <f>IFERROR(IF(Portafolio_Proyectos!$AQ607="","",Portafolio_Proyectos!$AQ607),"")</f>
        <v/>
      </c>
      <c r="C1821" s="5" t="str">
        <f>IFERROR(IF(Portafolio_Proyectos!$AQ607="","","Consolidada"),"")</f>
        <v/>
      </c>
      <c r="D1821" s="5" t="str">
        <f>IFERROR(IF(Portafolio_Proyectos!$AQ607="","",Portafolio_Proyectos!$C607),"")</f>
        <v/>
      </c>
      <c r="E1821" s="5" t="str">
        <f>IFERROR(IF(Portafolio_Proyectos!$AQ607="","",Portafolio_Proyectos!$B607),"")</f>
        <v/>
      </c>
      <c r="F1821" s="5" t="str">
        <f>IFERROR(IF(Portafolio_Proyectos!$AQ607="","",Portafolio_Proyectos!$D607),"")</f>
        <v/>
      </c>
      <c r="G1821" s="5" t="str">
        <f>IFERROR(IF(Portafolio_Proyectos!$AQ607="","",Portafolio_Proyectos!$A607),"")</f>
        <v/>
      </c>
      <c r="H1821" s="5" t="str">
        <f>IFERROR(IF(Portafolio_Proyectos!$AQ607="","",Portafolio_Proyectos!$E607),"")</f>
        <v/>
      </c>
    </row>
    <row r="1822" spans="1:8" x14ac:dyDescent="0.35">
      <c r="A1822" s="5" t="str">
        <f>IFERROR(IF(Portafolio_Proyectos!$AR607="","","CAP-"&amp;ROW()-1),"")</f>
        <v/>
      </c>
      <c r="B1822" s="5" t="str">
        <f>IFERROR(IF(Portafolio_Proyectos!$AR607="","",Portafolio_Proyectos!$AR607),"")</f>
        <v/>
      </c>
      <c r="C1822" s="5" t="str">
        <f>IFERROR(IF(Portafolio_Proyectos!$AR607="","","Distintiva"),"")</f>
        <v/>
      </c>
      <c r="D1822" s="5" t="str">
        <f>IFERROR(IF(Portafolio_Proyectos!$AR607="","",Portafolio_Proyectos!$C607),"")</f>
        <v/>
      </c>
      <c r="E1822" s="5" t="str">
        <f>IFERROR(IF(Portafolio_Proyectos!$AR607="","",Portafolio_Proyectos!$B607),"")</f>
        <v/>
      </c>
      <c r="F1822" s="5" t="str">
        <f>IFERROR(IF(Portafolio_Proyectos!$AR607="","",Portafolio_Proyectos!$D607),"")</f>
        <v/>
      </c>
      <c r="G1822" s="5" t="str">
        <f>IFERROR(IF(Portafolio_Proyectos!$AR607="","",Portafolio_Proyectos!$A607),"")</f>
        <v/>
      </c>
      <c r="H1822" s="5" t="str">
        <f>IFERROR(IF(Portafolio_Proyectos!$AR607="","",Portafolio_Proyectos!$E607),"")</f>
        <v/>
      </c>
    </row>
    <row r="1823" spans="1:8" x14ac:dyDescent="0.35">
      <c r="A1823" s="5" t="str">
        <f>IFERROR(IF(Portafolio_Proyectos!$AP608="","","CAP-"&amp;ROW()-1),"")</f>
        <v/>
      </c>
      <c r="B1823" s="5" t="str">
        <f>IFERROR(IF(Portafolio_Proyectos!$AP608="","",Portafolio_Proyectos!$AP608),"")</f>
        <v/>
      </c>
      <c r="C1823" s="5" t="str">
        <f>IFERROR(IF(Portafolio_Proyectos!$AP608="","","Emergente"),"")</f>
        <v/>
      </c>
      <c r="D1823" s="5" t="str">
        <f>IFERROR(IF(Portafolio_Proyectos!$AP608="","",Portafolio_Proyectos!$C608),"")</f>
        <v/>
      </c>
      <c r="E1823" s="5" t="str">
        <f>IFERROR(IF(Portafolio_Proyectos!$AP608="","",Portafolio_Proyectos!$B608),"")</f>
        <v/>
      </c>
      <c r="F1823" s="5" t="str">
        <f>IFERROR(IF(Portafolio_Proyectos!$AP608="","",Portafolio_Proyectos!$D608),"")</f>
        <v/>
      </c>
      <c r="G1823" s="5" t="str">
        <f>IFERROR(IF(Portafolio_Proyectos!$AP608="","",Portafolio_Proyectos!$A608),"")</f>
        <v/>
      </c>
      <c r="H1823" s="5" t="str">
        <f>IFERROR(IF(Portafolio_Proyectos!$AP608="","",Portafolio_Proyectos!$E608),"")</f>
        <v/>
      </c>
    </row>
    <row r="1824" spans="1:8" x14ac:dyDescent="0.35">
      <c r="A1824" s="5" t="str">
        <f>IFERROR(IF(Portafolio_Proyectos!$AQ608="","","CAP-"&amp;ROW()-1),"")</f>
        <v/>
      </c>
      <c r="B1824" s="5" t="str">
        <f>IFERROR(IF(Portafolio_Proyectos!$AQ608="","",Portafolio_Proyectos!$AQ608),"")</f>
        <v/>
      </c>
      <c r="C1824" s="5" t="str">
        <f>IFERROR(IF(Portafolio_Proyectos!$AQ608="","","Consolidada"),"")</f>
        <v/>
      </c>
      <c r="D1824" s="5" t="str">
        <f>IFERROR(IF(Portafolio_Proyectos!$AQ608="","",Portafolio_Proyectos!$C608),"")</f>
        <v/>
      </c>
      <c r="E1824" s="5" t="str">
        <f>IFERROR(IF(Portafolio_Proyectos!$AQ608="","",Portafolio_Proyectos!$B608),"")</f>
        <v/>
      </c>
      <c r="F1824" s="5" t="str">
        <f>IFERROR(IF(Portafolio_Proyectos!$AQ608="","",Portafolio_Proyectos!$D608),"")</f>
        <v/>
      </c>
      <c r="G1824" s="5" t="str">
        <f>IFERROR(IF(Portafolio_Proyectos!$AQ608="","",Portafolio_Proyectos!$A608),"")</f>
        <v/>
      </c>
      <c r="H1824" s="5" t="str">
        <f>IFERROR(IF(Portafolio_Proyectos!$AQ608="","",Portafolio_Proyectos!$E608),"")</f>
        <v/>
      </c>
    </row>
    <row r="1825" spans="1:8" x14ac:dyDescent="0.35">
      <c r="A1825" s="5" t="str">
        <f>IFERROR(IF(Portafolio_Proyectos!$AR608="","","CAP-"&amp;ROW()-1),"")</f>
        <v/>
      </c>
      <c r="B1825" s="5" t="str">
        <f>IFERROR(IF(Portafolio_Proyectos!$AR608="","",Portafolio_Proyectos!$AR608),"")</f>
        <v/>
      </c>
      <c r="C1825" s="5" t="str">
        <f>IFERROR(IF(Portafolio_Proyectos!$AR608="","","Distintiva"),"")</f>
        <v/>
      </c>
      <c r="D1825" s="5" t="str">
        <f>IFERROR(IF(Portafolio_Proyectos!$AR608="","",Portafolio_Proyectos!$C608),"")</f>
        <v/>
      </c>
      <c r="E1825" s="5" t="str">
        <f>IFERROR(IF(Portafolio_Proyectos!$AR608="","",Portafolio_Proyectos!$B608),"")</f>
        <v/>
      </c>
      <c r="F1825" s="5" t="str">
        <f>IFERROR(IF(Portafolio_Proyectos!$AR608="","",Portafolio_Proyectos!$D608),"")</f>
        <v/>
      </c>
      <c r="G1825" s="5" t="str">
        <f>IFERROR(IF(Portafolio_Proyectos!$AR608="","",Portafolio_Proyectos!$A608),"")</f>
        <v/>
      </c>
      <c r="H1825" s="5" t="str">
        <f>IFERROR(IF(Portafolio_Proyectos!$AR608="","",Portafolio_Proyectos!$E608),"")</f>
        <v/>
      </c>
    </row>
    <row r="1826" spans="1:8" x14ac:dyDescent="0.35">
      <c r="A1826" s="5" t="str">
        <f>IFERROR(IF(Portafolio_Proyectos!$AP609="","","CAP-"&amp;ROW()-1),"")</f>
        <v/>
      </c>
      <c r="B1826" s="5" t="str">
        <f>IFERROR(IF(Portafolio_Proyectos!$AP609="","",Portafolio_Proyectos!$AP609),"")</f>
        <v/>
      </c>
      <c r="C1826" s="5" t="str">
        <f>IFERROR(IF(Portafolio_Proyectos!$AP609="","","Emergente"),"")</f>
        <v/>
      </c>
      <c r="D1826" s="5" t="str">
        <f>IFERROR(IF(Portafolio_Proyectos!$AP609="","",Portafolio_Proyectos!$C609),"")</f>
        <v/>
      </c>
      <c r="E1826" s="5" t="str">
        <f>IFERROR(IF(Portafolio_Proyectos!$AP609="","",Portafolio_Proyectos!$B609),"")</f>
        <v/>
      </c>
      <c r="F1826" s="5" t="str">
        <f>IFERROR(IF(Portafolio_Proyectos!$AP609="","",Portafolio_Proyectos!$D609),"")</f>
        <v/>
      </c>
      <c r="G1826" s="5" t="str">
        <f>IFERROR(IF(Portafolio_Proyectos!$AP609="","",Portafolio_Proyectos!$A609),"")</f>
        <v/>
      </c>
      <c r="H1826" s="5" t="str">
        <f>IFERROR(IF(Portafolio_Proyectos!$AP609="","",Portafolio_Proyectos!$E609),"")</f>
        <v/>
      </c>
    </row>
    <row r="1827" spans="1:8" x14ac:dyDescent="0.35">
      <c r="A1827" s="5" t="str">
        <f>IFERROR(IF(Portafolio_Proyectos!$AQ609="","","CAP-"&amp;ROW()-1),"")</f>
        <v/>
      </c>
      <c r="B1827" s="5" t="str">
        <f>IFERROR(IF(Portafolio_Proyectos!$AQ609="","",Portafolio_Proyectos!$AQ609),"")</f>
        <v/>
      </c>
      <c r="C1827" s="5" t="str">
        <f>IFERROR(IF(Portafolio_Proyectos!$AQ609="","","Consolidada"),"")</f>
        <v/>
      </c>
      <c r="D1827" s="5" t="str">
        <f>IFERROR(IF(Portafolio_Proyectos!$AQ609="","",Portafolio_Proyectos!$C609),"")</f>
        <v/>
      </c>
      <c r="E1827" s="5" t="str">
        <f>IFERROR(IF(Portafolio_Proyectos!$AQ609="","",Portafolio_Proyectos!$B609),"")</f>
        <v/>
      </c>
      <c r="F1827" s="5" t="str">
        <f>IFERROR(IF(Portafolio_Proyectos!$AQ609="","",Portafolio_Proyectos!$D609),"")</f>
        <v/>
      </c>
      <c r="G1827" s="5" t="str">
        <f>IFERROR(IF(Portafolio_Proyectos!$AQ609="","",Portafolio_Proyectos!$A609),"")</f>
        <v/>
      </c>
      <c r="H1827" s="5" t="str">
        <f>IFERROR(IF(Portafolio_Proyectos!$AQ609="","",Portafolio_Proyectos!$E609),"")</f>
        <v/>
      </c>
    </row>
    <row r="1828" spans="1:8" x14ac:dyDescent="0.35">
      <c r="A1828" s="5" t="str">
        <f>IFERROR(IF(Portafolio_Proyectos!$AR609="","","CAP-"&amp;ROW()-1),"")</f>
        <v/>
      </c>
      <c r="B1828" s="5" t="str">
        <f>IFERROR(IF(Portafolio_Proyectos!$AR609="","",Portafolio_Proyectos!$AR609),"")</f>
        <v/>
      </c>
      <c r="C1828" s="5" t="str">
        <f>IFERROR(IF(Portafolio_Proyectos!$AR609="","","Distintiva"),"")</f>
        <v/>
      </c>
      <c r="D1828" s="5" t="str">
        <f>IFERROR(IF(Portafolio_Proyectos!$AR609="","",Portafolio_Proyectos!$C609),"")</f>
        <v/>
      </c>
      <c r="E1828" s="5" t="str">
        <f>IFERROR(IF(Portafolio_Proyectos!$AR609="","",Portafolio_Proyectos!$B609),"")</f>
        <v/>
      </c>
      <c r="F1828" s="5" t="str">
        <f>IFERROR(IF(Portafolio_Proyectos!$AR609="","",Portafolio_Proyectos!$D609),"")</f>
        <v/>
      </c>
      <c r="G1828" s="5" t="str">
        <f>IFERROR(IF(Portafolio_Proyectos!$AR609="","",Portafolio_Proyectos!$A609),"")</f>
        <v/>
      </c>
      <c r="H1828" s="5" t="str">
        <f>IFERROR(IF(Portafolio_Proyectos!$AR609="","",Portafolio_Proyectos!$E609),"")</f>
        <v/>
      </c>
    </row>
    <row r="1829" spans="1:8" x14ac:dyDescent="0.35">
      <c r="A1829" s="5" t="str">
        <f>IFERROR(IF(Portafolio_Proyectos!$AP610="","","CAP-"&amp;ROW()-1),"")</f>
        <v/>
      </c>
      <c r="B1829" s="5" t="str">
        <f>IFERROR(IF(Portafolio_Proyectos!$AP610="","",Portafolio_Proyectos!$AP610),"")</f>
        <v/>
      </c>
      <c r="C1829" s="5" t="str">
        <f>IFERROR(IF(Portafolio_Proyectos!$AP610="","","Emergente"),"")</f>
        <v/>
      </c>
      <c r="D1829" s="5" t="str">
        <f>IFERROR(IF(Portafolio_Proyectos!$AP610="","",Portafolio_Proyectos!$C610),"")</f>
        <v/>
      </c>
      <c r="E1829" s="5" t="str">
        <f>IFERROR(IF(Portafolio_Proyectos!$AP610="","",Portafolio_Proyectos!$B610),"")</f>
        <v/>
      </c>
      <c r="F1829" s="5" t="str">
        <f>IFERROR(IF(Portafolio_Proyectos!$AP610="","",Portafolio_Proyectos!$D610),"")</f>
        <v/>
      </c>
      <c r="G1829" s="5" t="str">
        <f>IFERROR(IF(Portafolio_Proyectos!$AP610="","",Portafolio_Proyectos!$A610),"")</f>
        <v/>
      </c>
      <c r="H1829" s="5" t="str">
        <f>IFERROR(IF(Portafolio_Proyectos!$AP610="","",Portafolio_Proyectos!$E610),"")</f>
        <v/>
      </c>
    </row>
    <row r="1830" spans="1:8" x14ac:dyDescent="0.35">
      <c r="A1830" s="5" t="str">
        <f>IFERROR(IF(Portafolio_Proyectos!$AQ610="","","CAP-"&amp;ROW()-1),"")</f>
        <v/>
      </c>
      <c r="B1830" s="5" t="str">
        <f>IFERROR(IF(Portafolio_Proyectos!$AQ610="","",Portafolio_Proyectos!$AQ610),"")</f>
        <v/>
      </c>
      <c r="C1830" s="5" t="str">
        <f>IFERROR(IF(Portafolio_Proyectos!$AQ610="","","Consolidada"),"")</f>
        <v/>
      </c>
      <c r="D1830" s="5" t="str">
        <f>IFERROR(IF(Portafolio_Proyectos!$AQ610="","",Portafolio_Proyectos!$C610),"")</f>
        <v/>
      </c>
      <c r="E1830" s="5" t="str">
        <f>IFERROR(IF(Portafolio_Proyectos!$AQ610="","",Portafolio_Proyectos!$B610),"")</f>
        <v/>
      </c>
      <c r="F1830" s="5" t="str">
        <f>IFERROR(IF(Portafolio_Proyectos!$AQ610="","",Portafolio_Proyectos!$D610),"")</f>
        <v/>
      </c>
      <c r="G1830" s="5" t="str">
        <f>IFERROR(IF(Portafolio_Proyectos!$AQ610="","",Portafolio_Proyectos!$A610),"")</f>
        <v/>
      </c>
      <c r="H1830" s="5" t="str">
        <f>IFERROR(IF(Portafolio_Proyectos!$AQ610="","",Portafolio_Proyectos!$E610),"")</f>
        <v/>
      </c>
    </row>
    <row r="1831" spans="1:8" x14ac:dyDescent="0.35">
      <c r="A1831" s="5" t="str">
        <f>IFERROR(IF(Portafolio_Proyectos!$AR610="","","CAP-"&amp;ROW()-1),"")</f>
        <v/>
      </c>
      <c r="B1831" s="5" t="str">
        <f>IFERROR(IF(Portafolio_Proyectos!$AR610="","",Portafolio_Proyectos!$AR610),"")</f>
        <v/>
      </c>
      <c r="C1831" s="5" t="str">
        <f>IFERROR(IF(Portafolio_Proyectos!$AR610="","","Distintiva"),"")</f>
        <v/>
      </c>
      <c r="D1831" s="5" t="str">
        <f>IFERROR(IF(Portafolio_Proyectos!$AR610="","",Portafolio_Proyectos!$C610),"")</f>
        <v/>
      </c>
      <c r="E1831" s="5" t="str">
        <f>IFERROR(IF(Portafolio_Proyectos!$AR610="","",Portafolio_Proyectos!$B610),"")</f>
        <v/>
      </c>
      <c r="F1831" s="5" t="str">
        <f>IFERROR(IF(Portafolio_Proyectos!$AR610="","",Portafolio_Proyectos!$D610),"")</f>
        <v/>
      </c>
      <c r="G1831" s="5" t="str">
        <f>IFERROR(IF(Portafolio_Proyectos!$AR610="","",Portafolio_Proyectos!$A610),"")</f>
        <v/>
      </c>
      <c r="H1831" s="5" t="str">
        <f>IFERROR(IF(Portafolio_Proyectos!$AR610="","",Portafolio_Proyectos!$E610),"")</f>
        <v/>
      </c>
    </row>
    <row r="1832" spans="1:8" x14ac:dyDescent="0.35">
      <c r="A1832" s="5" t="str">
        <f>IFERROR(IF(Portafolio_Proyectos!$AP611="","","CAP-"&amp;ROW()-1),"")</f>
        <v/>
      </c>
      <c r="B1832" s="5" t="str">
        <f>IFERROR(IF(Portafolio_Proyectos!$AP611="","",Portafolio_Proyectos!$AP611),"")</f>
        <v/>
      </c>
      <c r="C1832" s="5" t="str">
        <f>IFERROR(IF(Portafolio_Proyectos!$AP611="","","Emergente"),"")</f>
        <v/>
      </c>
      <c r="D1832" s="5" t="str">
        <f>IFERROR(IF(Portafolio_Proyectos!$AP611="","",Portafolio_Proyectos!$C611),"")</f>
        <v/>
      </c>
      <c r="E1832" s="5" t="str">
        <f>IFERROR(IF(Portafolio_Proyectos!$AP611="","",Portafolio_Proyectos!$B611),"")</f>
        <v/>
      </c>
      <c r="F1832" s="5" t="str">
        <f>IFERROR(IF(Portafolio_Proyectos!$AP611="","",Portafolio_Proyectos!$D611),"")</f>
        <v/>
      </c>
      <c r="G1832" s="5" t="str">
        <f>IFERROR(IF(Portafolio_Proyectos!$AP611="","",Portafolio_Proyectos!$A611),"")</f>
        <v/>
      </c>
      <c r="H1832" s="5" t="str">
        <f>IFERROR(IF(Portafolio_Proyectos!$AP611="","",Portafolio_Proyectos!$E611),"")</f>
        <v/>
      </c>
    </row>
    <row r="1833" spans="1:8" x14ac:dyDescent="0.35">
      <c r="A1833" s="5" t="str">
        <f>IFERROR(IF(Portafolio_Proyectos!$AQ611="","","CAP-"&amp;ROW()-1),"")</f>
        <v/>
      </c>
      <c r="B1833" s="5" t="str">
        <f>IFERROR(IF(Portafolio_Proyectos!$AQ611="","",Portafolio_Proyectos!$AQ611),"")</f>
        <v/>
      </c>
      <c r="C1833" s="5" t="str">
        <f>IFERROR(IF(Portafolio_Proyectos!$AQ611="","","Consolidada"),"")</f>
        <v/>
      </c>
      <c r="D1833" s="5" t="str">
        <f>IFERROR(IF(Portafolio_Proyectos!$AQ611="","",Portafolio_Proyectos!$C611),"")</f>
        <v/>
      </c>
      <c r="E1833" s="5" t="str">
        <f>IFERROR(IF(Portafolio_Proyectos!$AQ611="","",Portafolio_Proyectos!$B611),"")</f>
        <v/>
      </c>
      <c r="F1833" s="5" t="str">
        <f>IFERROR(IF(Portafolio_Proyectos!$AQ611="","",Portafolio_Proyectos!$D611),"")</f>
        <v/>
      </c>
      <c r="G1833" s="5" t="str">
        <f>IFERROR(IF(Portafolio_Proyectos!$AQ611="","",Portafolio_Proyectos!$A611),"")</f>
        <v/>
      </c>
      <c r="H1833" s="5" t="str">
        <f>IFERROR(IF(Portafolio_Proyectos!$AQ611="","",Portafolio_Proyectos!$E611),"")</f>
        <v/>
      </c>
    </row>
    <row r="1834" spans="1:8" x14ac:dyDescent="0.35">
      <c r="A1834" s="5" t="str">
        <f>IFERROR(IF(Portafolio_Proyectos!$AR611="","","CAP-"&amp;ROW()-1),"")</f>
        <v/>
      </c>
      <c r="B1834" s="5" t="str">
        <f>IFERROR(IF(Portafolio_Proyectos!$AR611="","",Portafolio_Proyectos!$AR611),"")</f>
        <v/>
      </c>
      <c r="C1834" s="5" t="str">
        <f>IFERROR(IF(Portafolio_Proyectos!$AR611="","","Distintiva"),"")</f>
        <v/>
      </c>
      <c r="D1834" s="5" t="str">
        <f>IFERROR(IF(Portafolio_Proyectos!$AR611="","",Portafolio_Proyectos!$C611),"")</f>
        <v/>
      </c>
      <c r="E1834" s="5" t="str">
        <f>IFERROR(IF(Portafolio_Proyectos!$AR611="","",Portafolio_Proyectos!$B611),"")</f>
        <v/>
      </c>
      <c r="F1834" s="5" t="str">
        <f>IFERROR(IF(Portafolio_Proyectos!$AR611="","",Portafolio_Proyectos!$D611),"")</f>
        <v/>
      </c>
      <c r="G1834" s="5" t="str">
        <f>IFERROR(IF(Portafolio_Proyectos!$AR611="","",Portafolio_Proyectos!$A611),"")</f>
        <v/>
      </c>
      <c r="H1834" s="5" t="str">
        <f>IFERROR(IF(Portafolio_Proyectos!$AR611="","",Portafolio_Proyectos!$E611),"")</f>
        <v/>
      </c>
    </row>
    <row r="1835" spans="1:8" x14ac:dyDescent="0.35">
      <c r="A1835" s="5" t="str">
        <f>IFERROR(IF(Portafolio_Proyectos!$AP612="","","CAP-"&amp;ROW()-1),"")</f>
        <v/>
      </c>
      <c r="B1835" s="5" t="str">
        <f>IFERROR(IF(Portafolio_Proyectos!$AP612="","",Portafolio_Proyectos!$AP612),"")</f>
        <v/>
      </c>
      <c r="C1835" s="5" t="str">
        <f>IFERROR(IF(Portafolio_Proyectos!$AP612="","","Emergente"),"")</f>
        <v/>
      </c>
      <c r="D1835" s="5" t="str">
        <f>IFERROR(IF(Portafolio_Proyectos!$AP612="","",Portafolio_Proyectos!$C612),"")</f>
        <v/>
      </c>
      <c r="E1835" s="5" t="str">
        <f>IFERROR(IF(Portafolio_Proyectos!$AP612="","",Portafolio_Proyectos!$B612),"")</f>
        <v/>
      </c>
      <c r="F1835" s="5" t="str">
        <f>IFERROR(IF(Portafolio_Proyectos!$AP612="","",Portafolio_Proyectos!$D612),"")</f>
        <v/>
      </c>
      <c r="G1835" s="5" t="str">
        <f>IFERROR(IF(Portafolio_Proyectos!$AP612="","",Portafolio_Proyectos!$A612),"")</f>
        <v/>
      </c>
      <c r="H1835" s="5" t="str">
        <f>IFERROR(IF(Portafolio_Proyectos!$AP612="","",Portafolio_Proyectos!$E612),"")</f>
        <v/>
      </c>
    </row>
    <row r="1836" spans="1:8" x14ac:dyDescent="0.35">
      <c r="A1836" s="5" t="str">
        <f>IFERROR(IF(Portafolio_Proyectos!$AQ612="","","CAP-"&amp;ROW()-1),"")</f>
        <v/>
      </c>
      <c r="B1836" s="5" t="str">
        <f>IFERROR(IF(Portafolio_Proyectos!$AQ612="","",Portafolio_Proyectos!$AQ612),"")</f>
        <v/>
      </c>
      <c r="C1836" s="5" t="str">
        <f>IFERROR(IF(Portafolio_Proyectos!$AQ612="","","Consolidada"),"")</f>
        <v/>
      </c>
      <c r="D1836" s="5" t="str">
        <f>IFERROR(IF(Portafolio_Proyectos!$AQ612="","",Portafolio_Proyectos!$C612),"")</f>
        <v/>
      </c>
      <c r="E1836" s="5" t="str">
        <f>IFERROR(IF(Portafolio_Proyectos!$AQ612="","",Portafolio_Proyectos!$B612),"")</f>
        <v/>
      </c>
      <c r="F1836" s="5" t="str">
        <f>IFERROR(IF(Portafolio_Proyectos!$AQ612="","",Portafolio_Proyectos!$D612),"")</f>
        <v/>
      </c>
      <c r="G1836" s="5" t="str">
        <f>IFERROR(IF(Portafolio_Proyectos!$AQ612="","",Portafolio_Proyectos!$A612),"")</f>
        <v/>
      </c>
      <c r="H1836" s="5" t="str">
        <f>IFERROR(IF(Portafolio_Proyectos!$AQ612="","",Portafolio_Proyectos!$E612),"")</f>
        <v/>
      </c>
    </row>
    <row r="1837" spans="1:8" x14ac:dyDescent="0.35">
      <c r="A1837" s="5" t="str">
        <f>IFERROR(IF(Portafolio_Proyectos!$AR612="","","CAP-"&amp;ROW()-1),"")</f>
        <v/>
      </c>
      <c r="B1837" s="5" t="str">
        <f>IFERROR(IF(Portafolio_Proyectos!$AR612="","",Portafolio_Proyectos!$AR612),"")</f>
        <v/>
      </c>
      <c r="C1837" s="5" t="str">
        <f>IFERROR(IF(Portafolio_Proyectos!$AR612="","","Distintiva"),"")</f>
        <v/>
      </c>
      <c r="D1837" s="5" t="str">
        <f>IFERROR(IF(Portafolio_Proyectos!$AR612="","",Portafolio_Proyectos!$C612),"")</f>
        <v/>
      </c>
      <c r="E1837" s="5" t="str">
        <f>IFERROR(IF(Portafolio_Proyectos!$AR612="","",Portafolio_Proyectos!$B612),"")</f>
        <v/>
      </c>
      <c r="F1837" s="5" t="str">
        <f>IFERROR(IF(Portafolio_Proyectos!$AR612="","",Portafolio_Proyectos!$D612),"")</f>
        <v/>
      </c>
      <c r="G1837" s="5" t="str">
        <f>IFERROR(IF(Portafolio_Proyectos!$AR612="","",Portafolio_Proyectos!$A612),"")</f>
        <v/>
      </c>
      <c r="H1837" s="5" t="str">
        <f>IFERROR(IF(Portafolio_Proyectos!$AR612="","",Portafolio_Proyectos!$E612),"")</f>
        <v/>
      </c>
    </row>
    <row r="1838" spans="1:8" x14ac:dyDescent="0.35">
      <c r="A1838" s="5" t="str">
        <f>IFERROR(IF(Portafolio_Proyectos!$AP613="","","CAP-"&amp;ROW()-1),"")</f>
        <v/>
      </c>
      <c r="B1838" s="5" t="str">
        <f>IFERROR(IF(Portafolio_Proyectos!$AP613="","",Portafolio_Proyectos!$AP613),"")</f>
        <v/>
      </c>
      <c r="C1838" s="5" t="str">
        <f>IFERROR(IF(Portafolio_Proyectos!$AP613="","","Emergente"),"")</f>
        <v/>
      </c>
      <c r="D1838" s="5" t="str">
        <f>IFERROR(IF(Portafolio_Proyectos!$AP613="","",Portafolio_Proyectos!$C613),"")</f>
        <v/>
      </c>
      <c r="E1838" s="5" t="str">
        <f>IFERROR(IF(Portafolio_Proyectos!$AP613="","",Portafolio_Proyectos!$B613),"")</f>
        <v/>
      </c>
      <c r="F1838" s="5" t="str">
        <f>IFERROR(IF(Portafolio_Proyectos!$AP613="","",Portafolio_Proyectos!$D613),"")</f>
        <v/>
      </c>
      <c r="G1838" s="5" t="str">
        <f>IFERROR(IF(Portafolio_Proyectos!$AP613="","",Portafolio_Proyectos!$A613),"")</f>
        <v/>
      </c>
      <c r="H1838" s="5" t="str">
        <f>IFERROR(IF(Portafolio_Proyectos!$AP613="","",Portafolio_Proyectos!$E613),"")</f>
        <v/>
      </c>
    </row>
    <row r="1839" spans="1:8" x14ac:dyDescent="0.35">
      <c r="A1839" s="5" t="str">
        <f>IFERROR(IF(Portafolio_Proyectos!$AQ613="","","CAP-"&amp;ROW()-1),"")</f>
        <v/>
      </c>
      <c r="B1839" s="5" t="str">
        <f>IFERROR(IF(Portafolio_Proyectos!$AQ613="","",Portafolio_Proyectos!$AQ613),"")</f>
        <v/>
      </c>
      <c r="C1839" s="5" t="str">
        <f>IFERROR(IF(Portafolio_Proyectos!$AQ613="","","Consolidada"),"")</f>
        <v/>
      </c>
      <c r="D1839" s="5" t="str">
        <f>IFERROR(IF(Portafolio_Proyectos!$AQ613="","",Portafolio_Proyectos!$C613),"")</f>
        <v/>
      </c>
      <c r="E1839" s="5" t="str">
        <f>IFERROR(IF(Portafolio_Proyectos!$AQ613="","",Portafolio_Proyectos!$B613),"")</f>
        <v/>
      </c>
      <c r="F1839" s="5" t="str">
        <f>IFERROR(IF(Portafolio_Proyectos!$AQ613="","",Portafolio_Proyectos!$D613),"")</f>
        <v/>
      </c>
      <c r="G1839" s="5" t="str">
        <f>IFERROR(IF(Portafolio_Proyectos!$AQ613="","",Portafolio_Proyectos!$A613),"")</f>
        <v/>
      </c>
      <c r="H1839" s="5" t="str">
        <f>IFERROR(IF(Portafolio_Proyectos!$AQ613="","",Portafolio_Proyectos!$E613),"")</f>
        <v/>
      </c>
    </row>
    <row r="1840" spans="1:8" x14ac:dyDescent="0.35">
      <c r="A1840" s="5" t="str">
        <f>IFERROR(IF(Portafolio_Proyectos!$AR613="","","CAP-"&amp;ROW()-1),"")</f>
        <v/>
      </c>
      <c r="B1840" s="5" t="str">
        <f>IFERROR(IF(Portafolio_Proyectos!$AR613="","",Portafolio_Proyectos!$AR613),"")</f>
        <v/>
      </c>
      <c r="C1840" s="5" t="str">
        <f>IFERROR(IF(Portafolio_Proyectos!$AR613="","","Distintiva"),"")</f>
        <v/>
      </c>
      <c r="D1840" s="5" t="str">
        <f>IFERROR(IF(Portafolio_Proyectos!$AR613="","",Portafolio_Proyectos!$C613),"")</f>
        <v/>
      </c>
      <c r="E1840" s="5" t="str">
        <f>IFERROR(IF(Portafolio_Proyectos!$AR613="","",Portafolio_Proyectos!$B613),"")</f>
        <v/>
      </c>
      <c r="F1840" s="5" t="str">
        <f>IFERROR(IF(Portafolio_Proyectos!$AR613="","",Portafolio_Proyectos!$D613),"")</f>
        <v/>
      </c>
      <c r="G1840" s="5" t="str">
        <f>IFERROR(IF(Portafolio_Proyectos!$AR613="","",Portafolio_Proyectos!$A613),"")</f>
        <v/>
      </c>
      <c r="H1840" s="5" t="str">
        <f>IFERROR(IF(Portafolio_Proyectos!$AR613="","",Portafolio_Proyectos!$E613),"")</f>
        <v/>
      </c>
    </row>
    <row r="1841" spans="1:8" x14ac:dyDescent="0.35">
      <c r="A1841" s="5" t="str">
        <f>IFERROR(IF(Portafolio_Proyectos!$AP614="","","CAP-"&amp;ROW()-1),"")</f>
        <v/>
      </c>
      <c r="B1841" s="5" t="str">
        <f>IFERROR(IF(Portafolio_Proyectos!$AP614="","",Portafolio_Proyectos!$AP614),"")</f>
        <v/>
      </c>
      <c r="C1841" s="5" t="str">
        <f>IFERROR(IF(Portafolio_Proyectos!$AP614="","","Emergente"),"")</f>
        <v/>
      </c>
      <c r="D1841" s="5" t="str">
        <f>IFERROR(IF(Portafolio_Proyectos!$AP614="","",Portafolio_Proyectos!$C614),"")</f>
        <v/>
      </c>
      <c r="E1841" s="5" t="str">
        <f>IFERROR(IF(Portafolio_Proyectos!$AP614="","",Portafolio_Proyectos!$B614),"")</f>
        <v/>
      </c>
      <c r="F1841" s="5" t="str">
        <f>IFERROR(IF(Portafolio_Proyectos!$AP614="","",Portafolio_Proyectos!$D614),"")</f>
        <v/>
      </c>
      <c r="G1841" s="5" t="str">
        <f>IFERROR(IF(Portafolio_Proyectos!$AP614="","",Portafolio_Proyectos!$A614),"")</f>
        <v/>
      </c>
      <c r="H1841" s="5" t="str">
        <f>IFERROR(IF(Portafolio_Proyectos!$AP614="","",Portafolio_Proyectos!$E614),"")</f>
        <v/>
      </c>
    </row>
    <row r="1842" spans="1:8" x14ac:dyDescent="0.35">
      <c r="A1842" s="5" t="str">
        <f>IFERROR(IF(Portafolio_Proyectos!$AQ614="","","CAP-"&amp;ROW()-1),"")</f>
        <v/>
      </c>
      <c r="B1842" s="5" t="str">
        <f>IFERROR(IF(Portafolio_Proyectos!$AQ614="","",Portafolio_Proyectos!$AQ614),"")</f>
        <v/>
      </c>
      <c r="C1842" s="5" t="str">
        <f>IFERROR(IF(Portafolio_Proyectos!$AQ614="","","Consolidada"),"")</f>
        <v/>
      </c>
      <c r="D1842" s="5" t="str">
        <f>IFERROR(IF(Portafolio_Proyectos!$AQ614="","",Portafolio_Proyectos!$C614),"")</f>
        <v/>
      </c>
      <c r="E1842" s="5" t="str">
        <f>IFERROR(IF(Portafolio_Proyectos!$AQ614="","",Portafolio_Proyectos!$B614),"")</f>
        <v/>
      </c>
      <c r="F1842" s="5" t="str">
        <f>IFERROR(IF(Portafolio_Proyectos!$AQ614="","",Portafolio_Proyectos!$D614),"")</f>
        <v/>
      </c>
      <c r="G1842" s="5" t="str">
        <f>IFERROR(IF(Portafolio_Proyectos!$AQ614="","",Portafolio_Proyectos!$A614),"")</f>
        <v/>
      </c>
      <c r="H1842" s="5" t="str">
        <f>IFERROR(IF(Portafolio_Proyectos!$AQ614="","",Portafolio_Proyectos!$E614),"")</f>
        <v/>
      </c>
    </row>
    <row r="1843" spans="1:8" x14ac:dyDescent="0.35">
      <c r="A1843" s="5" t="str">
        <f>IFERROR(IF(Portafolio_Proyectos!$AR614="","","CAP-"&amp;ROW()-1),"")</f>
        <v/>
      </c>
      <c r="B1843" s="5" t="str">
        <f>IFERROR(IF(Portafolio_Proyectos!$AR614="","",Portafolio_Proyectos!$AR614),"")</f>
        <v/>
      </c>
      <c r="C1843" s="5" t="str">
        <f>IFERROR(IF(Portafolio_Proyectos!$AR614="","","Distintiva"),"")</f>
        <v/>
      </c>
      <c r="D1843" s="5" t="str">
        <f>IFERROR(IF(Portafolio_Proyectos!$AR614="","",Portafolio_Proyectos!$C614),"")</f>
        <v/>
      </c>
      <c r="E1843" s="5" t="str">
        <f>IFERROR(IF(Portafolio_Proyectos!$AR614="","",Portafolio_Proyectos!$B614),"")</f>
        <v/>
      </c>
      <c r="F1843" s="5" t="str">
        <f>IFERROR(IF(Portafolio_Proyectos!$AR614="","",Portafolio_Proyectos!$D614),"")</f>
        <v/>
      </c>
      <c r="G1843" s="5" t="str">
        <f>IFERROR(IF(Portafolio_Proyectos!$AR614="","",Portafolio_Proyectos!$A614),"")</f>
        <v/>
      </c>
      <c r="H1843" s="5" t="str">
        <f>IFERROR(IF(Portafolio_Proyectos!$AR614="","",Portafolio_Proyectos!$E614),"")</f>
        <v/>
      </c>
    </row>
    <row r="1844" spans="1:8" x14ac:dyDescent="0.35">
      <c r="A1844" s="5" t="str">
        <f>IFERROR(IF(Portafolio_Proyectos!$AP615="","","CAP-"&amp;ROW()-1),"")</f>
        <v/>
      </c>
      <c r="B1844" s="5" t="str">
        <f>IFERROR(IF(Portafolio_Proyectos!$AP615="","",Portafolio_Proyectos!$AP615),"")</f>
        <v/>
      </c>
      <c r="C1844" s="5" t="str">
        <f>IFERROR(IF(Portafolio_Proyectos!$AP615="","","Emergente"),"")</f>
        <v/>
      </c>
      <c r="D1844" s="5" t="str">
        <f>IFERROR(IF(Portafolio_Proyectos!$AP615="","",Portafolio_Proyectos!$C615),"")</f>
        <v/>
      </c>
      <c r="E1844" s="5" t="str">
        <f>IFERROR(IF(Portafolio_Proyectos!$AP615="","",Portafolio_Proyectos!$B615),"")</f>
        <v/>
      </c>
      <c r="F1844" s="5" t="str">
        <f>IFERROR(IF(Portafolio_Proyectos!$AP615="","",Portafolio_Proyectos!$D615),"")</f>
        <v/>
      </c>
      <c r="G1844" s="5" t="str">
        <f>IFERROR(IF(Portafolio_Proyectos!$AP615="","",Portafolio_Proyectos!$A615),"")</f>
        <v/>
      </c>
      <c r="H1844" s="5" t="str">
        <f>IFERROR(IF(Portafolio_Proyectos!$AP615="","",Portafolio_Proyectos!$E615),"")</f>
        <v/>
      </c>
    </row>
    <row r="1845" spans="1:8" x14ac:dyDescent="0.35">
      <c r="A1845" s="5" t="str">
        <f>IFERROR(IF(Portafolio_Proyectos!$AQ615="","","CAP-"&amp;ROW()-1),"")</f>
        <v/>
      </c>
      <c r="B1845" s="5" t="str">
        <f>IFERROR(IF(Portafolio_Proyectos!$AQ615="","",Portafolio_Proyectos!$AQ615),"")</f>
        <v/>
      </c>
      <c r="C1845" s="5" t="str">
        <f>IFERROR(IF(Portafolio_Proyectos!$AQ615="","","Consolidada"),"")</f>
        <v/>
      </c>
      <c r="D1845" s="5" t="str">
        <f>IFERROR(IF(Portafolio_Proyectos!$AQ615="","",Portafolio_Proyectos!$C615),"")</f>
        <v/>
      </c>
      <c r="E1845" s="5" t="str">
        <f>IFERROR(IF(Portafolio_Proyectos!$AQ615="","",Portafolio_Proyectos!$B615),"")</f>
        <v/>
      </c>
      <c r="F1845" s="5" t="str">
        <f>IFERROR(IF(Portafolio_Proyectos!$AQ615="","",Portafolio_Proyectos!$D615),"")</f>
        <v/>
      </c>
      <c r="G1845" s="5" t="str">
        <f>IFERROR(IF(Portafolio_Proyectos!$AQ615="","",Portafolio_Proyectos!$A615),"")</f>
        <v/>
      </c>
      <c r="H1845" s="5" t="str">
        <f>IFERROR(IF(Portafolio_Proyectos!$AQ615="","",Portafolio_Proyectos!$E615),"")</f>
        <v/>
      </c>
    </row>
    <row r="1846" spans="1:8" x14ac:dyDescent="0.35">
      <c r="A1846" s="5" t="str">
        <f>IFERROR(IF(Portafolio_Proyectos!$AR615="","","CAP-"&amp;ROW()-1),"")</f>
        <v/>
      </c>
      <c r="B1846" s="5" t="str">
        <f>IFERROR(IF(Portafolio_Proyectos!$AR615="","",Portafolio_Proyectos!$AR615),"")</f>
        <v/>
      </c>
      <c r="C1846" s="5" t="str">
        <f>IFERROR(IF(Portafolio_Proyectos!$AR615="","","Distintiva"),"")</f>
        <v/>
      </c>
      <c r="D1846" s="5" t="str">
        <f>IFERROR(IF(Portafolio_Proyectos!$AR615="","",Portafolio_Proyectos!$C615),"")</f>
        <v/>
      </c>
      <c r="E1846" s="5" t="str">
        <f>IFERROR(IF(Portafolio_Proyectos!$AR615="","",Portafolio_Proyectos!$B615),"")</f>
        <v/>
      </c>
      <c r="F1846" s="5" t="str">
        <f>IFERROR(IF(Portafolio_Proyectos!$AR615="","",Portafolio_Proyectos!$D615),"")</f>
        <v/>
      </c>
      <c r="G1846" s="5" t="str">
        <f>IFERROR(IF(Portafolio_Proyectos!$AR615="","",Portafolio_Proyectos!$A615),"")</f>
        <v/>
      </c>
      <c r="H1846" s="5" t="str">
        <f>IFERROR(IF(Portafolio_Proyectos!$AR615="","",Portafolio_Proyectos!$E615),"")</f>
        <v/>
      </c>
    </row>
    <row r="1847" spans="1:8" x14ac:dyDescent="0.35">
      <c r="A1847" s="5" t="str">
        <f>IFERROR(IF(Portafolio_Proyectos!$AP616="","","CAP-"&amp;ROW()-1),"")</f>
        <v/>
      </c>
      <c r="B1847" s="5" t="str">
        <f>IFERROR(IF(Portafolio_Proyectos!$AP616="","",Portafolio_Proyectos!$AP616),"")</f>
        <v/>
      </c>
      <c r="C1847" s="5" t="str">
        <f>IFERROR(IF(Portafolio_Proyectos!$AP616="","","Emergente"),"")</f>
        <v/>
      </c>
      <c r="D1847" s="5" t="str">
        <f>IFERROR(IF(Portafolio_Proyectos!$AP616="","",Portafolio_Proyectos!$C616),"")</f>
        <v/>
      </c>
      <c r="E1847" s="5" t="str">
        <f>IFERROR(IF(Portafolio_Proyectos!$AP616="","",Portafolio_Proyectos!$B616),"")</f>
        <v/>
      </c>
      <c r="F1847" s="5" t="str">
        <f>IFERROR(IF(Portafolio_Proyectos!$AP616="","",Portafolio_Proyectos!$D616),"")</f>
        <v/>
      </c>
      <c r="G1847" s="5" t="str">
        <f>IFERROR(IF(Portafolio_Proyectos!$AP616="","",Portafolio_Proyectos!$A616),"")</f>
        <v/>
      </c>
      <c r="H1847" s="5" t="str">
        <f>IFERROR(IF(Portafolio_Proyectos!$AP616="","",Portafolio_Proyectos!$E616),"")</f>
        <v/>
      </c>
    </row>
    <row r="1848" spans="1:8" x14ac:dyDescent="0.35">
      <c r="A1848" s="5" t="str">
        <f>IFERROR(IF(Portafolio_Proyectos!$AQ616="","","CAP-"&amp;ROW()-1),"")</f>
        <v/>
      </c>
      <c r="B1848" s="5" t="str">
        <f>IFERROR(IF(Portafolio_Proyectos!$AQ616="","",Portafolio_Proyectos!$AQ616),"")</f>
        <v/>
      </c>
      <c r="C1848" s="5" t="str">
        <f>IFERROR(IF(Portafolio_Proyectos!$AQ616="","","Consolidada"),"")</f>
        <v/>
      </c>
      <c r="D1848" s="5" t="str">
        <f>IFERROR(IF(Portafolio_Proyectos!$AQ616="","",Portafolio_Proyectos!$C616),"")</f>
        <v/>
      </c>
      <c r="E1848" s="5" t="str">
        <f>IFERROR(IF(Portafolio_Proyectos!$AQ616="","",Portafolio_Proyectos!$B616),"")</f>
        <v/>
      </c>
      <c r="F1848" s="5" t="str">
        <f>IFERROR(IF(Portafolio_Proyectos!$AQ616="","",Portafolio_Proyectos!$D616),"")</f>
        <v/>
      </c>
      <c r="G1848" s="5" t="str">
        <f>IFERROR(IF(Portafolio_Proyectos!$AQ616="","",Portafolio_Proyectos!$A616),"")</f>
        <v/>
      </c>
      <c r="H1848" s="5" t="str">
        <f>IFERROR(IF(Portafolio_Proyectos!$AQ616="","",Portafolio_Proyectos!$E616),"")</f>
        <v/>
      </c>
    </row>
    <row r="1849" spans="1:8" x14ac:dyDescent="0.35">
      <c r="A1849" s="5" t="str">
        <f>IFERROR(IF(Portafolio_Proyectos!$AR616="","","CAP-"&amp;ROW()-1),"")</f>
        <v/>
      </c>
      <c r="B1849" s="5" t="str">
        <f>IFERROR(IF(Portafolio_Proyectos!$AR616="","",Portafolio_Proyectos!$AR616),"")</f>
        <v/>
      </c>
      <c r="C1849" s="5" t="str">
        <f>IFERROR(IF(Portafolio_Proyectos!$AR616="","","Distintiva"),"")</f>
        <v/>
      </c>
      <c r="D1849" s="5" t="str">
        <f>IFERROR(IF(Portafolio_Proyectos!$AR616="","",Portafolio_Proyectos!$C616),"")</f>
        <v/>
      </c>
      <c r="E1849" s="5" t="str">
        <f>IFERROR(IF(Portafolio_Proyectos!$AR616="","",Portafolio_Proyectos!$B616),"")</f>
        <v/>
      </c>
      <c r="F1849" s="5" t="str">
        <f>IFERROR(IF(Portafolio_Proyectos!$AR616="","",Portafolio_Proyectos!$D616),"")</f>
        <v/>
      </c>
      <c r="G1849" s="5" t="str">
        <f>IFERROR(IF(Portafolio_Proyectos!$AR616="","",Portafolio_Proyectos!$A616),"")</f>
        <v/>
      </c>
      <c r="H1849" s="5" t="str">
        <f>IFERROR(IF(Portafolio_Proyectos!$AR616="","",Portafolio_Proyectos!$E616),"")</f>
        <v/>
      </c>
    </row>
    <row r="1850" spans="1:8" x14ac:dyDescent="0.35">
      <c r="A1850" s="5" t="str">
        <f>IFERROR(IF(Portafolio_Proyectos!$AP617="","","CAP-"&amp;ROW()-1),"")</f>
        <v/>
      </c>
      <c r="B1850" s="5" t="str">
        <f>IFERROR(IF(Portafolio_Proyectos!$AP617="","",Portafolio_Proyectos!$AP617),"")</f>
        <v/>
      </c>
      <c r="C1850" s="5" t="str">
        <f>IFERROR(IF(Portafolio_Proyectos!$AP617="","","Emergente"),"")</f>
        <v/>
      </c>
      <c r="D1850" s="5" t="str">
        <f>IFERROR(IF(Portafolio_Proyectos!$AP617="","",Portafolio_Proyectos!$C617),"")</f>
        <v/>
      </c>
      <c r="E1850" s="5" t="str">
        <f>IFERROR(IF(Portafolio_Proyectos!$AP617="","",Portafolio_Proyectos!$B617),"")</f>
        <v/>
      </c>
      <c r="F1850" s="5" t="str">
        <f>IFERROR(IF(Portafolio_Proyectos!$AP617="","",Portafolio_Proyectos!$D617),"")</f>
        <v/>
      </c>
      <c r="G1850" s="5" t="str">
        <f>IFERROR(IF(Portafolio_Proyectos!$AP617="","",Portafolio_Proyectos!$A617),"")</f>
        <v/>
      </c>
      <c r="H1850" s="5" t="str">
        <f>IFERROR(IF(Portafolio_Proyectos!$AP617="","",Portafolio_Proyectos!$E617),"")</f>
        <v/>
      </c>
    </row>
    <row r="1851" spans="1:8" x14ac:dyDescent="0.35">
      <c r="A1851" s="5" t="str">
        <f>IFERROR(IF(Portafolio_Proyectos!$AQ617="","","CAP-"&amp;ROW()-1),"")</f>
        <v/>
      </c>
      <c r="B1851" s="5" t="str">
        <f>IFERROR(IF(Portafolio_Proyectos!$AQ617="","",Portafolio_Proyectos!$AQ617),"")</f>
        <v/>
      </c>
      <c r="C1851" s="5" t="str">
        <f>IFERROR(IF(Portafolio_Proyectos!$AQ617="","","Consolidada"),"")</f>
        <v/>
      </c>
      <c r="D1851" s="5" t="str">
        <f>IFERROR(IF(Portafolio_Proyectos!$AQ617="","",Portafolio_Proyectos!$C617),"")</f>
        <v/>
      </c>
      <c r="E1851" s="5" t="str">
        <f>IFERROR(IF(Portafolio_Proyectos!$AQ617="","",Portafolio_Proyectos!$B617),"")</f>
        <v/>
      </c>
      <c r="F1851" s="5" t="str">
        <f>IFERROR(IF(Portafolio_Proyectos!$AQ617="","",Portafolio_Proyectos!$D617),"")</f>
        <v/>
      </c>
      <c r="G1851" s="5" t="str">
        <f>IFERROR(IF(Portafolio_Proyectos!$AQ617="","",Portafolio_Proyectos!$A617),"")</f>
        <v/>
      </c>
      <c r="H1851" s="5" t="str">
        <f>IFERROR(IF(Portafolio_Proyectos!$AQ617="","",Portafolio_Proyectos!$E617),"")</f>
        <v/>
      </c>
    </row>
    <row r="1852" spans="1:8" x14ac:dyDescent="0.35">
      <c r="A1852" s="5" t="str">
        <f>IFERROR(IF(Portafolio_Proyectos!$AR617="","","CAP-"&amp;ROW()-1),"")</f>
        <v/>
      </c>
      <c r="B1852" s="5" t="str">
        <f>IFERROR(IF(Portafolio_Proyectos!$AR617="","",Portafolio_Proyectos!$AR617),"")</f>
        <v/>
      </c>
      <c r="C1852" s="5" t="str">
        <f>IFERROR(IF(Portafolio_Proyectos!$AR617="","","Distintiva"),"")</f>
        <v/>
      </c>
      <c r="D1852" s="5" t="str">
        <f>IFERROR(IF(Portafolio_Proyectos!$AR617="","",Portafolio_Proyectos!$C617),"")</f>
        <v/>
      </c>
      <c r="E1852" s="5" t="str">
        <f>IFERROR(IF(Portafolio_Proyectos!$AR617="","",Portafolio_Proyectos!$B617),"")</f>
        <v/>
      </c>
      <c r="F1852" s="5" t="str">
        <f>IFERROR(IF(Portafolio_Proyectos!$AR617="","",Portafolio_Proyectos!$D617),"")</f>
        <v/>
      </c>
      <c r="G1852" s="5" t="str">
        <f>IFERROR(IF(Portafolio_Proyectos!$AR617="","",Portafolio_Proyectos!$A617),"")</f>
        <v/>
      </c>
      <c r="H1852" s="5" t="str">
        <f>IFERROR(IF(Portafolio_Proyectos!$AR617="","",Portafolio_Proyectos!$E617),"")</f>
        <v/>
      </c>
    </row>
    <row r="1853" spans="1:8" x14ac:dyDescent="0.35">
      <c r="A1853" s="5" t="str">
        <f>IFERROR(IF(Portafolio_Proyectos!$AP618="","","CAP-"&amp;ROW()-1),"")</f>
        <v/>
      </c>
      <c r="B1853" s="5" t="str">
        <f>IFERROR(IF(Portafolio_Proyectos!$AP618="","",Portafolio_Proyectos!$AP618),"")</f>
        <v/>
      </c>
      <c r="C1853" s="5" t="str">
        <f>IFERROR(IF(Portafolio_Proyectos!$AP618="","","Emergente"),"")</f>
        <v/>
      </c>
      <c r="D1853" s="5" t="str">
        <f>IFERROR(IF(Portafolio_Proyectos!$AP618="","",Portafolio_Proyectos!$C618),"")</f>
        <v/>
      </c>
      <c r="E1853" s="5" t="str">
        <f>IFERROR(IF(Portafolio_Proyectos!$AP618="","",Portafolio_Proyectos!$B618),"")</f>
        <v/>
      </c>
      <c r="F1853" s="5" t="str">
        <f>IFERROR(IF(Portafolio_Proyectos!$AP618="","",Portafolio_Proyectos!$D618),"")</f>
        <v/>
      </c>
      <c r="G1853" s="5" t="str">
        <f>IFERROR(IF(Portafolio_Proyectos!$AP618="","",Portafolio_Proyectos!$A618),"")</f>
        <v/>
      </c>
      <c r="H1853" s="5" t="str">
        <f>IFERROR(IF(Portafolio_Proyectos!$AP618="","",Portafolio_Proyectos!$E618),"")</f>
        <v/>
      </c>
    </row>
    <row r="1854" spans="1:8" x14ac:dyDescent="0.35">
      <c r="A1854" s="5" t="str">
        <f>IFERROR(IF(Portafolio_Proyectos!$AQ618="","","CAP-"&amp;ROW()-1),"")</f>
        <v/>
      </c>
      <c r="B1854" s="5" t="str">
        <f>IFERROR(IF(Portafolio_Proyectos!$AQ618="","",Portafolio_Proyectos!$AQ618),"")</f>
        <v/>
      </c>
      <c r="C1854" s="5" t="str">
        <f>IFERROR(IF(Portafolio_Proyectos!$AQ618="","","Consolidada"),"")</f>
        <v/>
      </c>
      <c r="D1854" s="5" t="str">
        <f>IFERROR(IF(Portafolio_Proyectos!$AQ618="","",Portafolio_Proyectos!$C618),"")</f>
        <v/>
      </c>
      <c r="E1854" s="5" t="str">
        <f>IFERROR(IF(Portafolio_Proyectos!$AQ618="","",Portafolio_Proyectos!$B618),"")</f>
        <v/>
      </c>
      <c r="F1854" s="5" t="str">
        <f>IFERROR(IF(Portafolio_Proyectos!$AQ618="","",Portafolio_Proyectos!$D618),"")</f>
        <v/>
      </c>
      <c r="G1854" s="5" t="str">
        <f>IFERROR(IF(Portafolio_Proyectos!$AQ618="","",Portafolio_Proyectos!$A618),"")</f>
        <v/>
      </c>
      <c r="H1854" s="5" t="str">
        <f>IFERROR(IF(Portafolio_Proyectos!$AQ618="","",Portafolio_Proyectos!$E618),"")</f>
        <v/>
      </c>
    </row>
    <row r="1855" spans="1:8" x14ac:dyDescent="0.35">
      <c r="A1855" s="5" t="str">
        <f>IFERROR(IF(Portafolio_Proyectos!$AR618="","","CAP-"&amp;ROW()-1),"")</f>
        <v/>
      </c>
      <c r="B1855" s="5" t="str">
        <f>IFERROR(IF(Portafolio_Proyectos!$AR618="","",Portafolio_Proyectos!$AR618),"")</f>
        <v/>
      </c>
      <c r="C1855" s="5" t="str">
        <f>IFERROR(IF(Portafolio_Proyectos!$AR618="","","Distintiva"),"")</f>
        <v/>
      </c>
      <c r="D1855" s="5" t="str">
        <f>IFERROR(IF(Portafolio_Proyectos!$AR618="","",Portafolio_Proyectos!$C618),"")</f>
        <v/>
      </c>
      <c r="E1855" s="5" t="str">
        <f>IFERROR(IF(Portafolio_Proyectos!$AR618="","",Portafolio_Proyectos!$B618),"")</f>
        <v/>
      </c>
      <c r="F1855" s="5" t="str">
        <f>IFERROR(IF(Portafolio_Proyectos!$AR618="","",Portafolio_Proyectos!$D618),"")</f>
        <v/>
      </c>
      <c r="G1855" s="5" t="str">
        <f>IFERROR(IF(Portafolio_Proyectos!$AR618="","",Portafolio_Proyectos!$A618),"")</f>
        <v/>
      </c>
      <c r="H1855" s="5" t="str">
        <f>IFERROR(IF(Portafolio_Proyectos!$AR618="","",Portafolio_Proyectos!$E618),"")</f>
        <v/>
      </c>
    </row>
    <row r="1856" spans="1:8" x14ac:dyDescent="0.35">
      <c r="A1856" s="5" t="str">
        <f>IFERROR(IF(Portafolio_Proyectos!$AP619="","","CAP-"&amp;ROW()-1),"")</f>
        <v/>
      </c>
      <c r="B1856" s="5" t="str">
        <f>IFERROR(IF(Portafolio_Proyectos!$AP619="","",Portafolio_Proyectos!$AP619),"")</f>
        <v/>
      </c>
      <c r="C1856" s="5" t="str">
        <f>IFERROR(IF(Portafolio_Proyectos!$AP619="","","Emergente"),"")</f>
        <v/>
      </c>
      <c r="D1856" s="5" t="str">
        <f>IFERROR(IF(Portafolio_Proyectos!$AP619="","",Portafolio_Proyectos!$C619),"")</f>
        <v/>
      </c>
      <c r="E1856" s="5" t="str">
        <f>IFERROR(IF(Portafolio_Proyectos!$AP619="","",Portafolio_Proyectos!$B619),"")</f>
        <v/>
      </c>
      <c r="F1856" s="5" t="str">
        <f>IFERROR(IF(Portafolio_Proyectos!$AP619="","",Portafolio_Proyectos!$D619),"")</f>
        <v/>
      </c>
      <c r="G1856" s="5" t="str">
        <f>IFERROR(IF(Portafolio_Proyectos!$AP619="","",Portafolio_Proyectos!$A619),"")</f>
        <v/>
      </c>
      <c r="H1856" s="5" t="str">
        <f>IFERROR(IF(Portafolio_Proyectos!$AP619="","",Portafolio_Proyectos!$E619),"")</f>
        <v/>
      </c>
    </row>
    <row r="1857" spans="1:8" x14ac:dyDescent="0.35">
      <c r="A1857" s="5" t="str">
        <f>IFERROR(IF(Portafolio_Proyectos!$AQ619="","","CAP-"&amp;ROW()-1),"")</f>
        <v/>
      </c>
      <c r="B1857" s="5" t="str">
        <f>IFERROR(IF(Portafolio_Proyectos!$AQ619="","",Portafolio_Proyectos!$AQ619),"")</f>
        <v/>
      </c>
      <c r="C1857" s="5" t="str">
        <f>IFERROR(IF(Portafolio_Proyectos!$AQ619="","","Consolidada"),"")</f>
        <v/>
      </c>
      <c r="D1857" s="5" t="str">
        <f>IFERROR(IF(Portafolio_Proyectos!$AQ619="","",Portafolio_Proyectos!$C619),"")</f>
        <v/>
      </c>
      <c r="E1857" s="5" t="str">
        <f>IFERROR(IF(Portafolio_Proyectos!$AQ619="","",Portafolio_Proyectos!$B619),"")</f>
        <v/>
      </c>
      <c r="F1857" s="5" t="str">
        <f>IFERROR(IF(Portafolio_Proyectos!$AQ619="","",Portafolio_Proyectos!$D619),"")</f>
        <v/>
      </c>
      <c r="G1857" s="5" t="str">
        <f>IFERROR(IF(Portafolio_Proyectos!$AQ619="","",Portafolio_Proyectos!$A619),"")</f>
        <v/>
      </c>
      <c r="H1857" s="5" t="str">
        <f>IFERROR(IF(Portafolio_Proyectos!$AQ619="","",Portafolio_Proyectos!$E619),"")</f>
        <v/>
      </c>
    </row>
    <row r="1858" spans="1:8" x14ac:dyDescent="0.35">
      <c r="A1858" s="5" t="str">
        <f>IFERROR(IF(Portafolio_Proyectos!$AR619="","","CAP-"&amp;ROW()-1),"")</f>
        <v/>
      </c>
      <c r="B1858" s="5" t="str">
        <f>IFERROR(IF(Portafolio_Proyectos!$AR619="","",Portafolio_Proyectos!$AR619),"")</f>
        <v/>
      </c>
      <c r="C1858" s="5" t="str">
        <f>IFERROR(IF(Portafolio_Proyectos!$AR619="","","Distintiva"),"")</f>
        <v/>
      </c>
      <c r="D1858" s="5" t="str">
        <f>IFERROR(IF(Portafolio_Proyectos!$AR619="","",Portafolio_Proyectos!$C619),"")</f>
        <v/>
      </c>
      <c r="E1858" s="5" t="str">
        <f>IFERROR(IF(Portafolio_Proyectos!$AR619="","",Portafolio_Proyectos!$B619),"")</f>
        <v/>
      </c>
      <c r="F1858" s="5" t="str">
        <f>IFERROR(IF(Portafolio_Proyectos!$AR619="","",Portafolio_Proyectos!$D619),"")</f>
        <v/>
      </c>
      <c r="G1858" s="5" t="str">
        <f>IFERROR(IF(Portafolio_Proyectos!$AR619="","",Portafolio_Proyectos!$A619),"")</f>
        <v/>
      </c>
      <c r="H1858" s="5" t="str">
        <f>IFERROR(IF(Portafolio_Proyectos!$AR619="","",Portafolio_Proyectos!$E619),"")</f>
        <v/>
      </c>
    </row>
    <row r="1859" spans="1:8" x14ac:dyDescent="0.35">
      <c r="A1859" s="5" t="str">
        <f>IFERROR(IF(Portafolio_Proyectos!$AP620="","","CAP-"&amp;ROW()-1),"")</f>
        <v/>
      </c>
      <c r="B1859" s="5" t="str">
        <f>IFERROR(IF(Portafolio_Proyectos!$AP620="","",Portafolio_Proyectos!$AP620),"")</f>
        <v/>
      </c>
      <c r="C1859" s="5" t="str">
        <f>IFERROR(IF(Portafolio_Proyectos!$AP620="","","Emergente"),"")</f>
        <v/>
      </c>
      <c r="D1859" s="5" t="str">
        <f>IFERROR(IF(Portafolio_Proyectos!$AP620="","",Portafolio_Proyectos!$C620),"")</f>
        <v/>
      </c>
      <c r="E1859" s="5" t="str">
        <f>IFERROR(IF(Portafolio_Proyectos!$AP620="","",Portafolio_Proyectos!$B620),"")</f>
        <v/>
      </c>
      <c r="F1859" s="5" t="str">
        <f>IFERROR(IF(Portafolio_Proyectos!$AP620="","",Portafolio_Proyectos!$D620),"")</f>
        <v/>
      </c>
      <c r="G1859" s="5" t="str">
        <f>IFERROR(IF(Portafolio_Proyectos!$AP620="","",Portafolio_Proyectos!$A620),"")</f>
        <v/>
      </c>
      <c r="H1859" s="5" t="str">
        <f>IFERROR(IF(Portafolio_Proyectos!$AP620="","",Portafolio_Proyectos!$E620),"")</f>
        <v/>
      </c>
    </row>
    <row r="1860" spans="1:8" x14ac:dyDescent="0.35">
      <c r="A1860" s="5" t="str">
        <f>IFERROR(IF(Portafolio_Proyectos!$AQ620="","","CAP-"&amp;ROW()-1),"")</f>
        <v/>
      </c>
      <c r="B1860" s="5" t="str">
        <f>IFERROR(IF(Portafolio_Proyectos!$AQ620="","",Portafolio_Proyectos!$AQ620),"")</f>
        <v/>
      </c>
      <c r="C1860" s="5" t="str">
        <f>IFERROR(IF(Portafolio_Proyectos!$AQ620="","","Consolidada"),"")</f>
        <v/>
      </c>
      <c r="D1860" s="5" t="str">
        <f>IFERROR(IF(Portafolio_Proyectos!$AQ620="","",Portafolio_Proyectos!$C620),"")</f>
        <v/>
      </c>
      <c r="E1860" s="5" t="str">
        <f>IFERROR(IF(Portafolio_Proyectos!$AQ620="","",Portafolio_Proyectos!$B620),"")</f>
        <v/>
      </c>
      <c r="F1860" s="5" t="str">
        <f>IFERROR(IF(Portafolio_Proyectos!$AQ620="","",Portafolio_Proyectos!$D620),"")</f>
        <v/>
      </c>
      <c r="G1860" s="5" t="str">
        <f>IFERROR(IF(Portafolio_Proyectos!$AQ620="","",Portafolio_Proyectos!$A620),"")</f>
        <v/>
      </c>
      <c r="H1860" s="5" t="str">
        <f>IFERROR(IF(Portafolio_Proyectos!$AQ620="","",Portafolio_Proyectos!$E620),"")</f>
        <v/>
      </c>
    </row>
    <row r="1861" spans="1:8" x14ac:dyDescent="0.35">
      <c r="A1861" s="5" t="str">
        <f>IFERROR(IF(Portafolio_Proyectos!$AR620="","","CAP-"&amp;ROW()-1),"")</f>
        <v/>
      </c>
      <c r="B1861" s="5" t="str">
        <f>IFERROR(IF(Portafolio_Proyectos!$AR620="","",Portafolio_Proyectos!$AR620),"")</f>
        <v/>
      </c>
      <c r="C1861" s="5" t="str">
        <f>IFERROR(IF(Portafolio_Proyectos!$AR620="","","Distintiva"),"")</f>
        <v/>
      </c>
      <c r="D1861" s="5" t="str">
        <f>IFERROR(IF(Portafolio_Proyectos!$AR620="","",Portafolio_Proyectos!$C620),"")</f>
        <v/>
      </c>
      <c r="E1861" s="5" t="str">
        <f>IFERROR(IF(Portafolio_Proyectos!$AR620="","",Portafolio_Proyectos!$B620),"")</f>
        <v/>
      </c>
      <c r="F1861" s="5" t="str">
        <f>IFERROR(IF(Portafolio_Proyectos!$AR620="","",Portafolio_Proyectos!$D620),"")</f>
        <v/>
      </c>
      <c r="G1861" s="5" t="str">
        <f>IFERROR(IF(Portafolio_Proyectos!$AR620="","",Portafolio_Proyectos!$A620),"")</f>
        <v/>
      </c>
      <c r="H1861" s="5" t="str">
        <f>IFERROR(IF(Portafolio_Proyectos!$AR620="","",Portafolio_Proyectos!$E620),"")</f>
        <v/>
      </c>
    </row>
    <row r="1862" spans="1:8" x14ac:dyDescent="0.35">
      <c r="A1862" s="5" t="str">
        <f>IFERROR(IF(Portafolio_Proyectos!$AP621="","","CAP-"&amp;ROW()-1),"")</f>
        <v/>
      </c>
      <c r="B1862" s="5" t="str">
        <f>IFERROR(IF(Portafolio_Proyectos!$AP621="","",Portafolio_Proyectos!$AP621),"")</f>
        <v/>
      </c>
      <c r="C1862" s="5" t="str">
        <f>IFERROR(IF(Portafolio_Proyectos!$AP621="","","Emergente"),"")</f>
        <v/>
      </c>
      <c r="D1862" s="5" t="str">
        <f>IFERROR(IF(Portafolio_Proyectos!$AP621="","",Portafolio_Proyectos!$C621),"")</f>
        <v/>
      </c>
      <c r="E1862" s="5" t="str">
        <f>IFERROR(IF(Portafolio_Proyectos!$AP621="","",Portafolio_Proyectos!$B621),"")</f>
        <v/>
      </c>
      <c r="F1862" s="5" t="str">
        <f>IFERROR(IF(Portafolio_Proyectos!$AP621="","",Portafolio_Proyectos!$D621),"")</f>
        <v/>
      </c>
      <c r="G1862" s="5" t="str">
        <f>IFERROR(IF(Portafolio_Proyectos!$AP621="","",Portafolio_Proyectos!$A621),"")</f>
        <v/>
      </c>
      <c r="H1862" s="5" t="str">
        <f>IFERROR(IF(Portafolio_Proyectos!$AP621="","",Portafolio_Proyectos!$E621),"")</f>
        <v/>
      </c>
    </row>
    <row r="1863" spans="1:8" x14ac:dyDescent="0.35">
      <c r="A1863" s="5" t="str">
        <f>IFERROR(IF(Portafolio_Proyectos!$AQ621="","","CAP-"&amp;ROW()-1),"")</f>
        <v/>
      </c>
      <c r="B1863" s="5" t="str">
        <f>IFERROR(IF(Portafolio_Proyectos!$AQ621="","",Portafolio_Proyectos!$AQ621),"")</f>
        <v/>
      </c>
      <c r="C1863" s="5" t="str">
        <f>IFERROR(IF(Portafolio_Proyectos!$AQ621="","","Consolidada"),"")</f>
        <v/>
      </c>
      <c r="D1863" s="5" t="str">
        <f>IFERROR(IF(Portafolio_Proyectos!$AQ621="","",Portafolio_Proyectos!$C621),"")</f>
        <v/>
      </c>
      <c r="E1863" s="5" t="str">
        <f>IFERROR(IF(Portafolio_Proyectos!$AQ621="","",Portafolio_Proyectos!$B621),"")</f>
        <v/>
      </c>
      <c r="F1863" s="5" t="str">
        <f>IFERROR(IF(Portafolio_Proyectos!$AQ621="","",Portafolio_Proyectos!$D621),"")</f>
        <v/>
      </c>
      <c r="G1863" s="5" t="str">
        <f>IFERROR(IF(Portafolio_Proyectos!$AQ621="","",Portafolio_Proyectos!$A621),"")</f>
        <v/>
      </c>
      <c r="H1863" s="5" t="str">
        <f>IFERROR(IF(Portafolio_Proyectos!$AQ621="","",Portafolio_Proyectos!$E621),"")</f>
        <v/>
      </c>
    </row>
    <row r="1864" spans="1:8" x14ac:dyDescent="0.35">
      <c r="A1864" s="5" t="str">
        <f>IFERROR(IF(Portafolio_Proyectos!$AR621="","","CAP-"&amp;ROW()-1),"")</f>
        <v/>
      </c>
      <c r="B1864" s="5" t="str">
        <f>IFERROR(IF(Portafolio_Proyectos!$AR621="","",Portafolio_Proyectos!$AR621),"")</f>
        <v/>
      </c>
      <c r="C1864" s="5" t="str">
        <f>IFERROR(IF(Portafolio_Proyectos!$AR621="","","Distintiva"),"")</f>
        <v/>
      </c>
      <c r="D1864" s="5" t="str">
        <f>IFERROR(IF(Portafolio_Proyectos!$AR621="","",Portafolio_Proyectos!$C621),"")</f>
        <v/>
      </c>
      <c r="E1864" s="5" t="str">
        <f>IFERROR(IF(Portafolio_Proyectos!$AR621="","",Portafolio_Proyectos!$B621),"")</f>
        <v/>
      </c>
      <c r="F1864" s="5" t="str">
        <f>IFERROR(IF(Portafolio_Proyectos!$AR621="","",Portafolio_Proyectos!$D621),"")</f>
        <v/>
      </c>
      <c r="G1864" s="5" t="str">
        <f>IFERROR(IF(Portafolio_Proyectos!$AR621="","",Portafolio_Proyectos!$A621),"")</f>
        <v/>
      </c>
      <c r="H1864" s="5" t="str">
        <f>IFERROR(IF(Portafolio_Proyectos!$AR621="","",Portafolio_Proyectos!$E621),"")</f>
        <v/>
      </c>
    </row>
    <row r="1865" spans="1:8" x14ac:dyDescent="0.35">
      <c r="A1865" s="5" t="str">
        <f>IFERROR(IF(Portafolio_Proyectos!$AP622="","","CAP-"&amp;ROW()-1),"")</f>
        <v/>
      </c>
      <c r="B1865" s="5" t="str">
        <f>IFERROR(IF(Portafolio_Proyectos!$AP622="","",Portafolio_Proyectos!$AP622),"")</f>
        <v/>
      </c>
      <c r="C1865" s="5" t="str">
        <f>IFERROR(IF(Portafolio_Proyectos!$AP622="","","Emergente"),"")</f>
        <v/>
      </c>
      <c r="D1865" s="5" t="str">
        <f>IFERROR(IF(Portafolio_Proyectos!$AP622="","",Portafolio_Proyectos!$C622),"")</f>
        <v/>
      </c>
      <c r="E1865" s="5" t="str">
        <f>IFERROR(IF(Portafolio_Proyectos!$AP622="","",Portafolio_Proyectos!$B622),"")</f>
        <v/>
      </c>
      <c r="F1865" s="5" t="str">
        <f>IFERROR(IF(Portafolio_Proyectos!$AP622="","",Portafolio_Proyectos!$D622),"")</f>
        <v/>
      </c>
      <c r="G1865" s="5" t="str">
        <f>IFERROR(IF(Portafolio_Proyectos!$AP622="","",Portafolio_Proyectos!$A622),"")</f>
        <v/>
      </c>
      <c r="H1865" s="5" t="str">
        <f>IFERROR(IF(Portafolio_Proyectos!$AP622="","",Portafolio_Proyectos!$E622),"")</f>
        <v/>
      </c>
    </row>
    <row r="1866" spans="1:8" x14ac:dyDescent="0.35">
      <c r="A1866" s="5" t="str">
        <f>IFERROR(IF(Portafolio_Proyectos!$AQ622="","","CAP-"&amp;ROW()-1),"")</f>
        <v/>
      </c>
      <c r="B1866" s="5" t="str">
        <f>IFERROR(IF(Portafolio_Proyectos!$AQ622="","",Portafolio_Proyectos!$AQ622),"")</f>
        <v/>
      </c>
      <c r="C1866" s="5" t="str">
        <f>IFERROR(IF(Portafolio_Proyectos!$AQ622="","","Consolidada"),"")</f>
        <v/>
      </c>
      <c r="D1866" s="5" t="str">
        <f>IFERROR(IF(Portafolio_Proyectos!$AQ622="","",Portafolio_Proyectos!$C622),"")</f>
        <v/>
      </c>
      <c r="E1866" s="5" t="str">
        <f>IFERROR(IF(Portafolio_Proyectos!$AQ622="","",Portafolio_Proyectos!$B622),"")</f>
        <v/>
      </c>
      <c r="F1866" s="5" t="str">
        <f>IFERROR(IF(Portafolio_Proyectos!$AQ622="","",Portafolio_Proyectos!$D622),"")</f>
        <v/>
      </c>
      <c r="G1866" s="5" t="str">
        <f>IFERROR(IF(Portafolio_Proyectos!$AQ622="","",Portafolio_Proyectos!$A622),"")</f>
        <v/>
      </c>
      <c r="H1866" s="5" t="str">
        <f>IFERROR(IF(Portafolio_Proyectos!$AQ622="","",Portafolio_Proyectos!$E622),"")</f>
        <v/>
      </c>
    </row>
    <row r="1867" spans="1:8" x14ac:dyDescent="0.35">
      <c r="A1867" s="5" t="str">
        <f>IFERROR(IF(Portafolio_Proyectos!$AR622="","","CAP-"&amp;ROW()-1),"")</f>
        <v/>
      </c>
      <c r="B1867" s="5" t="str">
        <f>IFERROR(IF(Portafolio_Proyectos!$AR622="","",Portafolio_Proyectos!$AR622),"")</f>
        <v/>
      </c>
      <c r="C1867" s="5" t="str">
        <f>IFERROR(IF(Portafolio_Proyectos!$AR622="","","Distintiva"),"")</f>
        <v/>
      </c>
      <c r="D1867" s="5" t="str">
        <f>IFERROR(IF(Portafolio_Proyectos!$AR622="","",Portafolio_Proyectos!$C622),"")</f>
        <v/>
      </c>
      <c r="E1867" s="5" t="str">
        <f>IFERROR(IF(Portafolio_Proyectos!$AR622="","",Portafolio_Proyectos!$B622),"")</f>
        <v/>
      </c>
      <c r="F1867" s="5" t="str">
        <f>IFERROR(IF(Portafolio_Proyectos!$AR622="","",Portafolio_Proyectos!$D622),"")</f>
        <v/>
      </c>
      <c r="G1867" s="5" t="str">
        <f>IFERROR(IF(Portafolio_Proyectos!$AR622="","",Portafolio_Proyectos!$A622),"")</f>
        <v/>
      </c>
      <c r="H1867" s="5" t="str">
        <f>IFERROR(IF(Portafolio_Proyectos!$AR622="","",Portafolio_Proyectos!$E622),"")</f>
        <v/>
      </c>
    </row>
    <row r="1868" spans="1:8" x14ac:dyDescent="0.35">
      <c r="A1868" s="5" t="str">
        <f>IFERROR(IF(Portafolio_Proyectos!$AP623="","","CAP-"&amp;ROW()-1),"")</f>
        <v/>
      </c>
      <c r="B1868" s="5" t="str">
        <f>IFERROR(IF(Portafolio_Proyectos!$AP623="","",Portafolio_Proyectos!$AP623),"")</f>
        <v/>
      </c>
      <c r="C1868" s="5" t="str">
        <f>IFERROR(IF(Portafolio_Proyectos!$AP623="","","Emergente"),"")</f>
        <v/>
      </c>
      <c r="D1868" s="5" t="str">
        <f>IFERROR(IF(Portafolio_Proyectos!$AP623="","",Portafolio_Proyectos!$C623),"")</f>
        <v/>
      </c>
      <c r="E1868" s="5" t="str">
        <f>IFERROR(IF(Portafolio_Proyectos!$AP623="","",Portafolio_Proyectos!$B623),"")</f>
        <v/>
      </c>
      <c r="F1868" s="5" t="str">
        <f>IFERROR(IF(Portafolio_Proyectos!$AP623="","",Portafolio_Proyectos!$D623),"")</f>
        <v/>
      </c>
      <c r="G1868" s="5" t="str">
        <f>IFERROR(IF(Portafolio_Proyectos!$AP623="","",Portafolio_Proyectos!$A623),"")</f>
        <v/>
      </c>
      <c r="H1868" s="5" t="str">
        <f>IFERROR(IF(Portafolio_Proyectos!$AP623="","",Portafolio_Proyectos!$E623),"")</f>
        <v/>
      </c>
    </row>
    <row r="1869" spans="1:8" x14ac:dyDescent="0.35">
      <c r="A1869" s="5" t="str">
        <f>IFERROR(IF(Portafolio_Proyectos!$AQ623="","","CAP-"&amp;ROW()-1),"")</f>
        <v/>
      </c>
      <c r="B1869" s="5" t="str">
        <f>IFERROR(IF(Portafolio_Proyectos!$AQ623="","",Portafolio_Proyectos!$AQ623),"")</f>
        <v/>
      </c>
      <c r="C1869" s="5" t="str">
        <f>IFERROR(IF(Portafolio_Proyectos!$AQ623="","","Consolidada"),"")</f>
        <v/>
      </c>
      <c r="D1869" s="5" t="str">
        <f>IFERROR(IF(Portafolio_Proyectos!$AQ623="","",Portafolio_Proyectos!$C623),"")</f>
        <v/>
      </c>
      <c r="E1869" s="5" t="str">
        <f>IFERROR(IF(Portafolio_Proyectos!$AQ623="","",Portafolio_Proyectos!$B623),"")</f>
        <v/>
      </c>
      <c r="F1869" s="5" t="str">
        <f>IFERROR(IF(Portafolio_Proyectos!$AQ623="","",Portafolio_Proyectos!$D623),"")</f>
        <v/>
      </c>
      <c r="G1869" s="5" t="str">
        <f>IFERROR(IF(Portafolio_Proyectos!$AQ623="","",Portafolio_Proyectos!$A623),"")</f>
        <v/>
      </c>
      <c r="H1869" s="5" t="str">
        <f>IFERROR(IF(Portafolio_Proyectos!$AQ623="","",Portafolio_Proyectos!$E623),"")</f>
        <v/>
      </c>
    </row>
    <row r="1870" spans="1:8" x14ac:dyDescent="0.35">
      <c r="A1870" s="5" t="str">
        <f>IFERROR(IF(Portafolio_Proyectos!$AR623="","","CAP-"&amp;ROW()-1),"")</f>
        <v/>
      </c>
      <c r="B1870" s="5" t="str">
        <f>IFERROR(IF(Portafolio_Proyectos!$AR623="","",Portafolio_Proyectos!$AR623),"")</f>
        <v/>
      </c>
      <c r="C1870" s="5" t="str">
        <f>IFERROR(IF(Portafolio_Proyectos!$AR623="","","Distintiva"),"")</f>
        <v/>
      </c>
      <c r="D1870" s="5" t="str">
        <f>IFERROR(IF(Portafolio_Proyectos!$AR623="","",Portafolio_Proyectos!$C623),"")</f>
        <v/>
      </c>
      <c r="E1870" s="5" t="str">
        <f>IFERROR(IF(Portafolio_Proyectos!$AR623="","",Portafolio_Proyectos!$B623),"")</f>
        <v/>
      </c>
      <c r="F1870" s="5" t="str">
        <f>IFERROR(IF(Portafolio_Proyectos!$AR623="","",Portafolio_Proyectos!$D623),"")</f>
        <v/>
      </c>
      <c r="G1870" s="5" t="str">
        <f>IFERROR(IF(Portafolio_Proyectos!$AR623="","",Portafolio_Proyectos!$A623),"")</f>
        <v/>
      </c>
      <c r="H1870" s="5" t="str">
        <f>IFERROR(IF(Portafolio_Proyectos!$AR623="","",Portafolio_Proyectos!$E623),"")</f>
        <v/>
      </c>
    </row>
    <row r="1871" spans="1:8" x14ac:dyDescent="0.35">
      <c r="A1871" s="5" t="str">
        <f>IFERROR(IF(Portafolio_Proyectos!$AP624="","","CAP-"&amp;ROW()-1),"")</f>
        <v/>
      </c>
      <c r="B1871" s="5" t="str">
        <f>IFERROR(IF(Portafolio_Proyectos!$AP624="","",Portafolio_Proyectos!$AP624),"")</f>
        <v/>
      </c>
      <c r="C1871" s="5" t="str">
        <f>IFERROR(IF(Portafolio_Proyectos!$AP624="","","Emergente"),"")</f>
        <v/>
      </c>
      <c r="D1871" s="5" t="str">
        <f>IFERROR(IF(Portafolio_Proyectos!$AP624="","",Portafolio_Proyectos!$C624),"")</f>
        <v/>
      </c>
      <c r="E1871" s="5" t="str">
        <f>IFERROR(IF(Portafolio_Proyectos!$AP624="","",Portafolio_Proyectos!$B624),"")</f>
        <v/>
      </c>
      <c r="F1871" s="5" t="str">
        <f>IFERROR(IF(Portafolio_Proyectos!$AP624="","",Portafolio_Proyectos!$D624),"")</f>
        <v/>
      </c>
      <c r="G1871" s="5" t="str">
        <f>IFERROR(IF(Portafolio_Proyectos!$AP624="","",Portafolio_Proyectos!$A624),"")</f>
        <v/>
      </c>
      <c r="H1871" s="5" t="str">
        <f>IFERROR(IF(Portafolio_Proyectos!$AP624="","",Portafolio_Proyectos!$E624),"")</f>
        <v/>
      </c>
    </row>
    <row r="1872" spans="1:8" x14ac:dyDescent="0.35">
      <c r="A1872" s="5" t="str">
        <f>IFERROR(IF(Portafolio_Proyectos!$AQ624="","","CAP-"&amp;ROW()-1),"")</f>
        <v/>
      </c>
      <c r="B1872" s="5" t="str">
        <f>IFERROR(IF(Portafolio_Proyectos!$AQ624="","",Portafolio_Proyectos!$AQ624),"")</f>
        <v/>
      </c>
      <c r="C1872" s="5" t="str">
        <f>IFERROR(IF(Portafolio_Proyectos!$AQ624="","","Consolidada"),"")</f>
        <v/>
      </c>
      <c r="D1872" s="5" t="str">
        <f>IFERROR(IF(Portafolio_Proyectos!$AQ624="","",Portafolio_Proyectos!$C624),"")</f>
        <v/>
      </c>
      <c r="E1872" s="5" t="str">
        <f>IFERROR(IF(Portafolio_Proyectos!$AQ624="","",Portafolio_Proyectos!$B624),"")</f>
        <v/>
      </c>
      <c r="F1872" s="5" t="str">
        <f>IFERROR(IF(Portafolio_Proyectos!$AQ624="","",Portafolio_Proyectos!$D624),"")</f>
        <v/>
      </c>
      <c r="G1872" s="5" t="str">
        <f>IFERROR(IF(Portafolio_Proyectos!$AQ624="","",Portafolio_Proyectos!$A624),"")</f>
        <v/>
      </c>
      <c r="H1872" s="5" t="str">
        <f>IFERROR(IF(Portafolio_Proyectos!$AQ624="","",Portafolio_Proyectos!$E624),"")</f>
        <v/>
      </c>
    </row>
    <row r="1873" spans="1:8" x14ac:dyDescent="0.35">
      <c r="A1873" s="5" t="str">
        <f>IFERROR(IF(Portafolio_Proyectos!$AR624="","","CAP-"&amp;ROW()-1),"")</f>
        <v/>
      </c>
      <c r="B1873" s="5" t="str">
        <f>IFERROR(IF(Portafolio_Proyectos!$AR624="","",Portafolio_Proyectos!$AR624),"")</f>
        <v/>
      </c>
      <c r="C1873" s="5" t="str">
        <f>IFERROR(IF(Portafolio_Proyectos!$AR624="","","Distintiva"),"")</f>
        <v/>
      </c>
      <c r="D1873" s="5" t="str">
        <f>IFERROR(IF(Portafolio_Proyectos!$AR624="","",Portafolio_Proyectos!$C624),"")</f>
        <v/>
      </c>
      <c r="E1873" s="5" t="str">
        <f>IFERROR(IF(Portafolio_Proyectos!$AR624="","",Portafolio_Proyectos!$B624),"")</f>
        <v/>
      </c>
      <c r="F1873" s="5" t="str">
        <f>IFERROR(IF(Portafolio_Proyectos!$AR624="","",Portafolio_Proyectos!$D624),"")</f>
        <v/>
      </c>
      <c r="G1873" s="5" t="str">
        <f>IFERROR(IF(Portafolio_Proyectos!$AR624="","",Portafolio_Proyectos!$A624),"")</f>
        <v/>
      </c>
      <c r="H1873" s="5" t="str">
        <f>IFERROR(IF(Portafolio_Proyectos!$AR624="","",Portafolio_Proyectos!$E624),"")</f>
        <v/>
      </c>
    </row>
    <row r="1874" spans="1:8" x14ac:dyDescent="0.35">
      <c r="A1874" s="5" t="str">
        <f>IFERROR(IF(Portafolio_Proyectos!$AP625="","","CAP-"&amp;ROW()-1),"")</f>
        <v/>
      </c>
      <c r="B1874" s="5" t="str">
        <f>IFERROR(IF(Portafolio_Proyectos!$AP625="","",Portafolio_Proyectos!$AP625),"")</f>
        <v/>
      </c>
      <c r="C1874" s="5" t="str">
        <f>IFERROR(IF(Portafolio_Proyectos!$AP625="","","Emergente"),"")</f>
        <v/>
      </c>
      <c r="D1874" s="5" t="str">
        <f>IFERROR(IF(Portafolio_Proyectos!$AP625="","",Portafolio_Proyectos!$C625),"")</f>
        <v/>
      </c>
      <c r="E1874" s="5" t="str">
        <f>IFERROR(IF(Portafolio_Proyectos!$AP625="","",Portafolio_Proyectos!$B625),"")</f>
        <v/>
      </c>
      <c r="F1874" s="5" t="str">
        <f>IFERROR(IF(Portafolio_Proyectos!$AP625="","",Portafolio_Proyectos!$D625),"")</f>
        <v/>
      </c>
      <c r="G1874" s="5" t="str">
        <f>IFERROR(IF(Portafolio_Proyectos!$AP625="","",Portafolio_Proyectos!$A625),"")</f>
        <v/>
      </c>
      <c r="H1874" s="5" t="str">
        <f>IFERROR(IF(Portafolio_Proyectos!$AP625="","",Portafolio_Proyectos!$E625),"")</f>
        <v/>
      </c>
    </row>
    <row r="1875" spans="1:8" x14ac:dyDescent="0.35">
      <c r="A1875" s="5" t="str">
        <f>IFERROR(IF(Portafolio_Proyectos!$AQ625="","","CAP-"&amp;ROW()-1),"")</f>
        <v/>
      </c>
      <c r="B1875" s="5" t="str">
        <f>IFERROR(IF(Portafolio_Proyectos!$AQ625="","",Portafolio_Proyectos!$AQ625),"")</f>
        <v/>
      </c>
      <c r="C1875" s="5" t="str">
        <f>IFERROR(IF(Portafolio_Proyectos!$AQ625="","","Consolidada"),"")</f>
        <v/>
      </c>
      <c r="D1875" s="5" t="str">
        <f>IFERROR(IF(Portafolio_Proyectos!$AQ625="","",Portafolio_Proyectos!$C625),"")</f>
        <v/>
      </c>
      <c r="E1875" s="5" t="str">
        <f>IFERROR(IF(Portafolio_Proyectos!$AQ625="","",Portafolio_Proyectos!$B625),"")</f>
        <v/>
      </c>
      <c r="F1875" s="5" t="str">
        <f>IFERROR(IF(Portafolio_Proyectos!$AQ625="","",Portafolio_Proyectos!$D625),"")</f>
        <v/>
      </c>
      <c r="G1875" s="5" t="str">
        <f>IFERROR(IF(Portafolio_Proyectos!$AQ625="","",Portafolio_Proyectos!$A625),"")</f>
        <v/>
      </c>
      <c r="H1875" s="5" t="str">
        <f>IFERROR(IF(Portafolio_Proyectos!$AQ625="","",Portafolio_Proyectos!$E625),"")</f>
        <v/>
      </c>
    </row>
    <row r="1876" spans="1:8" x14ac:dyDescent="0.35">
      <c r="A1876" s="5" t="str">
        <f>IFERROR(IF(Portafolio_Proyectos!$AR625="","","CAP-"&amp;ROW()-1),"")</f>
        <v/>
      </c>
      <c r="B1876" s="5" t="str">
        <f>IFERROR(IF(Portafolio_Proyectos!$AR625="","",Portafolio_Proyectos!$AR625),"")</f>
        <v/>
      </c>
      <c r="C1876" s="5" t="str">
        <f>IFERROR(IF(Portafolio_Proyectos!$AR625="","","Distintiva"),"")</f>
        <v/>
      </c>
      <c r="D1876" s="5" t="str">
        <f>IFERROR(IF(Portafolio_Proyectos!$AR625="","",Portafolio_Proyectos!$C625),"")</f>
        <v/>
      </c>
      <c r="E1876" s="5" t="str">
        <f>IFERROR(IF(Portafolio_Proyectos!$AR625="","",Portafolio_Proyectos!$B625),"")</f>
        <v/>
      </c>
      <c r="F1876" s="5" t="str">
        <f>IFERROR(IF(Portafolio_Proyectos!$AR625="","",Portafolio_Proyectos!$D625),"")</f>
        <v/>
      </c>
      <c r="G1876" s="5" t="str">
        <f>IFERROR(IF(Portafolio_Proyectos!$AR625="","",Portafolio_Proyectos!$A625),"")</f>
        <v/>
      </c>
      <c r="H1876" s="5" t="str">
        <f>IFERROR(IF(Portafolio_Proyectos!$AR625="","",Portafolio_Proyectos!$E625),"")</f>
        <v/>
      </c>
    </row>
    <row r="1877" spans="1:8" x14ac:dyDescent="0.35">
      <c r="A1877" s="5" t="str">
        <f>IFERROR(IF(Portafolio_Proyectos!$AP626="","","CAP-"&amp;ROW()-1),"")</f>
        <v/>
      </c>
      <c r="B1877" s="5" t="str">
        <f>IFERROR(IF(Portafolio_Proyectos!$AP626="","",Portafolio_Proyectos!$AP626),"")</f>
        <v/>
      </c>
      <c r="C1877" s="5" t="str">
        <f>IFERROR(IF(Portafolio_Proyectos!$AP626="","","Emergente"),"")</f>
        <v/>
      </c>
      <c r="D1877" s="5" t="str">
        <f>IFERROR(IF(Portafolio_Proyectos!$AP626="","",Portafolio_Proyectos!$C626),"")</f>
        <v/>
      </c>
      <c r="E1877" s="5" t="str">
        <f>IFERROR(IF(Portafolio_Proyectos!$AP626="","",Portafolio_Proyectos!$B626),"")</f>
        <v/>
      </c>
      <c r="F1877" s="5" t="str">
        <f>IFERROR(IF(Portafolio_Proyectos!$AP626="","",Portafolio_Proyectos!$D626),"")</f>
        <v/>
      </c>
      <c r="G1877" s="5" t="str">
        <f>IFERROR(IF(Portafolio_Proyectos!$AP626="","",Portafolio_Proyectos!$A626),"")</f>
        <v/>
      </c>
      <c r="H1877" s="5" t="str">
        <f>IFERROR(IF(Portafolio_Proyectos!$AP626="","",Portafolio_Proyectos!$E626),"")</f>
        <v/>
      </c>
    </row>
    <row r="1878" spans="1:8" x14ac:dyDescent="0.35">
      <c r="A1878" s="5" t="str">
        <f>IFERROR(IF(Portafolio_Proyectos!$AQ626="","","CAP-"&amp;ROW()-1),"")</f>
        <v/>
      </c>
      <c r="B1878" s="5" t="str">
        <f>IFERROR(IF(Portafolio_Proyectos!$AQ626="","",Portafolio_Proyectos!$AQ626),"")</f>
        <v/>
      </c>
      <c r="C1878" s="5" t="str">
        <f>IFERROR(IF(Portafolio_Proyectos!$AQ626="","","Consolidada"),"")</f>
        <v/>
      </c>
      <c r="D1878" s="5" t="str">
        <f>IFERROR(IF(Portafolio_Proyectos!$AQ626="","",Portafolio_Proyectos!$C626),"")</f>
        <v/>
      </c>
      <c r="E1878" s="5" t="str">
        <f>IFERROR(IF(Portafolio_Proyectos!$AQ626="","",Portafolio_Proyectos!$B626),"")</f>
        <v/>
      </c>
      <c r="F1878" s="5" t="str">
        <f>IFERROR(IF(Portafolio_Proyectos!$AQ626="","",Portafolio_Proyectos!$D626),"")</f>
        <v/>
      </c>
      <c r="G1878" s="5" t="str">
        <f>IFERROR(IF(Portafolio_Proyectos!$AQ626="","",Portafolio_Proyectos!$A626),"")</f>
        <v/>
      </c>
      <c r="H1878" s="5" t="str">
        <f>IFERROR(IF(Portafolio_Proyectos!$AQ626="","",Portafolio_Proyectos!$E626),"")</f>
        <v/>
      </c>
    </row>
    <row r="1879" spans="1:8" x14ac:dyDescent="0.35">
      <c r="A1879" s="5" t="str">
        <f>IFERROR(IF(Portafolio_Proyectos!$AR626="","","CAP-"&amp;ROW()-1),"")</f>
        <v/>
      </c>
      <c r="B1879" s="5" t="str">
        <f>IFERROR(IF(Portafolio_Proyectos!$AR626="","",Portafolio_Proyectos!$AR626),"")</f>
        <v/>
      </c>
      <c r="C1879" s="5" t="str">
        <f>IFERROR(IF(Portafolio_Proyectos!$AR626="","","Distintiva"),"")</f>
        <v/>
      </c>
      <c r="D1879" s="5" t="str">
        <f>IFERROR(IF(Portafolio_Proyectos!$AR626="","",Portafolio_Proyectos!$C626),"")</f>
        <v/>
      </c>
      <c r="E1879" s="5" t="str">
        <f>IFERROR(IF(Portafolio_Proyectos!$AR626="","",Portafolio_Proyectos!$B626),"")</f>
        <v/>
      </c>
      <c r="F1879" s="5" t="str">
        <f>IFERROR(IF(Portafolio_Proyectos!$AR626="","",Portafolio_Proyectos!$D626),"")</f>
        <v/>
      </c>
      <c r="G1879" s="5" t="str">
        <f>IFERROR(IF(Portafolio_Proyectos!$AR626="","",Portafolio_Proyectos!$A626),"")</f>
        <v/>
      </c>
      <c r="H1879" s="5" t="str">
        <f>IFERROR(IF(Portafolio_Proyectos!$AR626="","",Portafolio_Proyectos!$E626),"")</f>
        <v/>
      </c>
    </row>
    <row r="1880" spans="1:8" x14ac:dyDescent="0.35">
      <c r="A1880" s="5" t="str">
        <f>IFERROR(IF(Portafolio_Proyectos!$AP627="","","CAP-"&amp;ROW()-1),"")</f>
        <v/>
      </c>
      <c r="B1880" s="5" t="str">
        <f>IFERROR(IF(Portafolio_Proyectos!$AP627="","",Portafolio_Proyectos!$AP627),"")</f>
        <v/>
      </c>
      <c r="C1880" s="5" t="str">
        <f>IFERROR(IF(Portafolio_Proyectos!$AP627="","","Emergente"),"")</f>
        <v/>
      </c>
      <c r="D1880" s="5" t="str">
        <f>IFERROR(IF(Portafolio_Proyectos!$AP627="","",Portafolio_Proyectos!$C627),"")</f>
        <v/>
      </c>
      <c r="E1880" s="5" t="str">
        <f>IFERROR(IF(Portafolio_Proyectos!$AP627="","",Portafolio_Proyectos!$B627),"")</f>
        <v/>
      </c>
      <c r="F1880" s="5" t="str">
        <f>IFERROR(IF(Portafolio_Proyectos!$AP627="","",Portafolio_Proyectos!$D627),"")</f>
        <v/>
      </c>
      <c r="G1880" s="5" t="str">
        <f>IFERROR(IF(Portafolio_Proyectos!$AP627="","",Portafolio_Proyectos!$A627),"")</f>
        <v/>
      </c>
      <c r="H1880" s="5" t="str">
        <f>IFERROR(IF(Portafolio_Proyectos!$AP627="","",Portafolio_Proyectos!$E627),"")</f>
        <v/>
      </c>
    </row>
    <row r="1881" spans="1:8" x14ac:dyDescent="0.35">
      <c r="A1881" s="5" t="str">
        <f>IFERROR(IF(Portafolio_Proyectos!$AQ627="","","CAP-"&amp;ROW()-1),"")</f>
        <v/>
      </c>
      <c r="B1881" s="5" t="str">
        <f>IFERROR(IF(Portafolio_Proyectos!$AQ627="","",Portafolio_Proyectos!$AQ627),"")</f>
        <v/>
      </c>
      <c r="C1881" s="5" t="str">
        <f>IFERROR(IF(Portafolio_Proyectos!$AQ627="","","Consolidada"),"")</f>
        <v/>
      </c>
      <c r="D1881" s="5" t="str">
        <f>IFERROR(IF(Portafolio_Proyectos!$AQ627="","",Portafolio_Proyectos!$C627),"")</f>
        <v/>
      </c>
      <c r="E1881" s="5" t="str">
        <f>IFERROR(IF(Portafolio_Proyectos!$AQ627="","",Portafolio_Proyectos!$B627),"")</f>
        <v/>
      </c>
      <c r="F1881" s="5" t="str">
        <f>IFERROR(IF(Portafolio_Proyectos!$AQ627="","",Portafolio_Proyectos!$D627),"")</f>
        <v/>
      </c>
      <c r="G1881" s="5" t="str">
        <f>IFERROR(IF(Portafolio_Proyectos!$AQ627="","",Portafolio_Proyectos!$A627),"")</f>
        <v/>
      </c>
      <c r="H1881" s="5" t="str">
        <f>IFERROR(IF(Portafolio_Proyectos!$AQ627="","",Portafolio_Proyectos!$E627),"")</f>
        <v/>
      </c>
    </row>
    <row r="1882" spans="1:8" x14ac:dyDescent="0.35">
      <c r="A1882" s="5" t="str">
        <f>IFERROR(IF(Portafolio_Proyectos!$AR627="","","CAP-"&amp;ROW()-1),"")</f>
        <v/>
      </c>
      <c r="B1882" s="5" t="str">
        <f>IFERROR(IF(Portafolio_Proyectos!$AR627="","",Portafolio_Proyectos!$AR627),"")</f>
        <v/>
      </c>
      <c r="C1882" s="5" t="str">
        <f>IFERROR(IF(Portafolio_Proyectos!$AR627="","","Distintiva"),"")</f>
        <v/>
      </c>
      <c r="D1882" s="5" t="str">
        <f>IFERROR(IF(Portafolio_Proyectos!$AR627="","",Portafolio_Proyectos!$C627),"")</f>
        <v/>
      </c>
      <c r="E1882" s="5" t="str">
        <f>IFERROR(IF(Portafolio_Proyectos!$AR627="","",Portafolio_Proyectos!$B627),"")</f>
        <v/>
      </c>
      <c r="F1882" s="5" t="str">
        <f>IFERROR(IF(Portafolio_Proyectos!$AR627="","",Portafolio_Proyectos!$D627),"")</f>
        <v/>
      </c>
      <c r="G1882" s="5" t="str">
        <f>IFERROR(IF(Portafolio_Proyectos!$AR627="","",Portafolio_Proyectos!$A627),"")</f>
        <v/>
      </c>
      <c r="H1882" s="5" t="str">
        <f>IFERROR(IF(Portafolio_Proyectos!$AR627="","",Portafolio_Proyectos!$E627),"")</f>
        <v/>
      </c>
    </row>
    <row r="1883" spans="1:8" x14ac:dyDescent="0.35">
      <c r="A1883" s="5" t="str">
        <f>IFERROR(IF(Portafolio_Proyectos!$AP628="","","CAP-"&amp;ROW()-1),"")</f>
        <v/>
      </c>
      <c r="B1883" s="5" t="str">
        <f>IFERROR(IF(Portafolio_Proyectos!$AP628="","",Portafolio_Proyectos!$AP628),"")</f>
        <v/>
      </c>
      <c r="C1883" s="5" t="str">
        <f>IFERROR(IF(Portafolio_Proyectos!$AP628="","","Emergente"),"")</f>
        <v/>
      </c>
      <c r="D1883" s="5" t="str">
        <f>IFERROR(IF(Portafolio_Proyectos!$AP628="","",Portafolio_Proyectos!$C628),"")</f>
        <v/>
      </c>
      <c r="E1883" s="5" t="str">
        <f>IFERROR(IF(Portafolio_Proyectos!$AP628="","",Portafolio_Proyectos!$B628),"")</f>
        <v/>
      </c>
      <c r="F1883" s="5" t="str">
        <f>IFERROR(IF(Portafolio_Proyectos!$AP628="","",Portafolio_Proyectos!$D628),"")</f>
        <v/>
      </c>
      <c r="G1883" s="5" t="str">
        <f>IFERROR(IF(Portafolio_Proyectos!$AP628="","",Portafolio_Proyectos!$A628),"")</f>
        <v/>
      </c>
      <c r="H1883" s="5" t="str">
        <f>IFERROR(IF(Portafolio_Proyectos!$AP628="","",Portafolio_Proyectos!$E628),"")</f>
        <v/>
      </c>
    </row>
    <row r="1884" spans="1:8" x14ac:dyDescent="0.35">
      <c r="A1884" s="5" t="str">
        <f>IFERROR(IF(Portafolio_Proyectos!$AQ628="","","CAP-"&amp;ROW()-1),"")</f>
        <v/>
      </c>
      <c r="B1884" s="5" t="str">
        <f>IFERROR(IF(Portafolio_Proyectos!$AQ628="","",Portafolio_Proyectos!$AQ628),"")</f>
        <v/>
      </c>
      <c r="C1884" s="5" t="str">
        <f>IFERROR(IF(Portafolio_Proyectos!$AQ628="","","Consolidada"),"")</f>
        <v/>
      </c>
      <c r="D1884" s="5" t="str">
        <f>IFERROR(IF(Portafolio_Proyectos!$AQ628="","",Portafolio_Proyectos!$C628),"")</f>
        <v/>
      </c>
      <c r="E1884" s="5" t="str">
        <f>IFERROR(IF(Portafolio_Proyectos!$AQ628="","",Portafolio_Proyectos!$B628),"")</f>
        <v/>
      </c>
      <c r="F1884" s="5" t="str">
        <f>IFERROR(IF(Portafolio_Proyectos!$AQ628="","",Portafolio_Proyectos!$D628),"")</f>
        <v/>
      </c>
      <c r="G1884" s="5" t="str">
        <f>IFERROR(IF(Portafolio_Proyectos!$AQ628="","",Portafolio_Proyectos!$A628),"")</f>
        <v/>
      </c>
      <c r="H1884" s="5" t="str">
        <f>IFERROR(IF(Portafolio_Proyectos!$AQ628="","",Portafolio_Proyectos!$E628),"")</f>
        <v/>
      </c>
    </row>
    <row r="1885" spans="1:8" x14ac:dyDescent="0.35">
      <c r="A1885" s="5" t="str">
        <f>IFERROR(IF(Portafolio_Proyectos!$AR628="","","CAP-"&amp;ROW()-1),"")</f>
        <v/>
      </c>
      <c r="B1885" s="5" t="str">
        <f>IFERROR(IF(Portafolio_Proyectos!$AR628="","",Portafolio_Proyectos!$AR628),"")</f>
        <v/>
      </c>
      <c r="C1885" s="5" t="str">
        <f>IFERROR(IF(Portafolio_Proyectos!$AR628="","","Distintiva"),"")</f>
        <v/>
      </c>
      <c r="D1885" s="5" t="str">
        <f>IFERROR(IF(Portafolio_Proyectos!$AR628="","",Portafolio_Proyectos!$C628),"")</f>
        <v/>
      </c>
      <c r="E1885" s="5" t="str">
        <f>IFERROR(IF(Portafolio_Proyectos!$AR628="","",Portafolio_Proyectos!$B628),"")</f>
        <v/>
      </c>
      <c r="F1885" s="5" t="str">
        <f>IFERROR(IF(Portafolio_Proyectos!$AR628="","",Portafolio_Proyectos!$D628),"")</f>
        <v/>
      </c>
      <c r="G1885" s="5" t="str">
        <f>IFERROR(IF(Portafolio_Proyectos!$AR628="","",Portafolio_Proyectos!$A628),"")</f>
        <v/>
      </c>
      <c r="H1885" s="5" t="str">
        <f>IFERROR(IF(Portafolio_Proyectos!$AR628="","",Portafolio_Proyectos!$E628),"")</f>
        <v/>
      </c>
    </row>
    <row r="1886" spans="1:8" x14ac:dyDescent="0.35">
      <c r="A1886" s="5" t="str">
        <f>IFERROR(IF(Portafolio_Proyectos!$AP629="","","CAP-"&amp;ROW()-1),"")</f>
        <v/>
      </c>
      <c r="B1886" s="5" t="str">
        <f>IFERROR(IF(Portafolio_Proyectos!$AP629="","",Portafolio_Proyectos!$AP629),"")</f>
        <v/>
      </c>
      <c r="C1886" s="5" t="str">
        <f>IFERROR(IF(Portafolio_Proyectos!$AP629="","","Emergente"),"")</f>
        <v/>
      </c>
      <c r="D1886" s="5" t="str">
        <f>IFERROR(IF(Portafolio_Proyectos!$AP629="","",Portafolio_Proyectos!$C629),"")</f>
        <v/>
      </c>
      <c r="E1886" s="5" t="str">
        <f>IFERROR(IF(Portafolio_Proyectos!$AP629="","",Portafolio_Proyectos!$B629),"")</f>
        <v/>
      </c>
      <c r="F1886" s="5" t="str">
        <f>IFERROR(IF(Portafolio_Proyectos!$AP629="","",Portafolio_Proyectos!$D629),"")</f>
        <v/>
      </c>
      <c r="G1886" s="5" t="str">
        <f>IFERROR(IF(Portafolio_Proyectos!$AP629="","",Portafolio_Proyectos!$A629),"")</f>
        <v/>
      </c>
      <c r="H1886" s="5" t="str">
        <f>IFERROR(IF(Portafolio_Proyectos!$AP629="","",Portafolio_Proyectos!$E629),"")</f>
        <v/>
      </c>
    </row>
    <row r="1887" spans="1:8" x14ac:dyDescent="0.35">
      <c r="A1887" s="5" t="str">
        <f>IFERROR(IF(Portafolio_Proyectos!$AQ629="","","CAP-"&amp;ROW()-1),"")</f>
        <v/>
      </c>
      <c r="B1887" s="5" t="str">
        <f>IFERROR(IF(Portafolio_Proyectos!$AQ629="","",Portafolio_Proyectos!$AQ629),"")</f>
        <v/>
      </c>
      <c r="C1887" s="5" t="str">
        <f>IFERROR(IF(Portafolio_Proyectos!$AQ629="","","Consolidada"),"")</f>
        <v/>
      </c>
      <c r="D1887" s="5" t="str">
        <f>IFERROR(IF(Portafolio_Proyectos!$AQ629="","",Portafolio_Proyectos!$C629),"")</f>
        <v/>
      </c>
      <c r="E1887" s="5" t="str">
        <f>IFERROR(IF(Portafolio_Proyectos!$AQ629="","",Portafolio_Proyectos!$B629),"")</f>
        <v/>
      </c>
      <c r="F1887" s="5" t="str">
        <f>IFERROR(IF(Portafolio_Proyectos!$AQ629="","",Portafolio_Proyectos!$D629),"")</f>
        <v/>
      </c>
      <c r="G1887" s="5" t="str">
        <f>IFERROR(IF(Portafolio_Proyectos!$AQ629="","",Portafolio_Proyectos!$A629),"")</f>
        <v/>
      </c>
      <c r="H1887" s="5" t="str">
        <f>IFERROR(IF(Portafolio_Proyectos!$AQ629="","",Portafolio_Proyectos!$E629),"")</f>
        <v/>
      </c>
    </row>
    <row r="1888" spans="1:8" x14ac:dyDescent="0.35">
      <c r="A1888" s="5" t="str">
        <f>IFERROR(IF(Portafolio_Proyectos!$AR629="","","CAP-"&amp;ROW()-1),"")</f>
        <v/>
      </c>
      <c r="B1888" s="5" t="str">
        <f>IFERROR(IF(Portafolio_Proyectos!$AR629="","",Portafolio_Proyectos!$AR629),"")</f>
        <v/>
      </c>
      <c r="C1888" s="5" t="str">
        <f>IFERROR(IF(Portafolio_Proyectos!$AR629="","","Distintiva"),"")</f>
        <v/>
      </c>
      <c r="D1888" s="5" t="str">
        <f>IFERROR(IF(Portafolio_Proyectos!$AR629="","",Portafolio_Proyectos!$C629),"")</f>
        <v/>
      </c>
      <c r="E1888" s="5" t="str">
        <f>IFERROR(IF(Portafolio_Proyectos!$AR629="","",Portafolio_Proyectos!$B629),"")</f>
        <v/>
      </c>
      <c r="F1888" s="5" t="str">
        <f>IFERROR(IF(Portafolio_Proyectos!$AR629="","",Portafolio_Proyectos!$D629),"")</f>
        <v/>
      </c>
      <c r="G1888" s="5" t="str">
        <f>IFERROR(IF(Portafolio_Proyectos!$AR629="","",Portafolio_Proyectos!$A629),"")</f>
        <v/>
      </c>
      <c r="H1888" s="5" t="str">
        <f>IFERROR(IF(Portafolio_Proyectos!$AR629="","",Portafolio_Proyectos!$E629),"")</f>
        <v/>
      </c>
    </row>
    <row r="1889" spans="1:8" x14ac:dyDescent="0.35">
      <c r="A1889" s="5" t="str">
        <f>IFERROR(IF(Portafolio_Proyectos!$AP630="","","CAP-"&amp;ROW()-1),"")</f>
        <v/>
      </c>
      <c r="B1889" s="5" t="str">
        <f>IFERROR(IF(Portafolio_Proyectos!$AP630="","",Portafolio_Proyectos!$AP630),"")</f>
        <v/>
      </c>
      <c r="C1889" s="5" t="str">
        <f>IFERROR(IF(Portafolio_Proyectos!$AP630="","","Emergente"),"")</f>
        <v/>
      </c>
      <c r="D1889" s="5" t="str">
        <f>IFERROR(IF(Portafolio_Proyectos!$AP630="","",Portafolio_Proyectos!$C630),"")</f>
        <v/>
      </c>
      <c r="E1889" s="5" t="str">
        <f>IFERROR(IF(Portafolio_Proyectos!$AP630="","",Portafolio_Proyectos!$B630),"")</f>
        <v/>
      </c>
      <c r="F1889" s="5" t="str">
        <f>IFERROR(IF(Portafolio_Proyectos!$AP630="","",Portafolio_Proyectos!$D630),"")</f>
        <v/>
      </c>
      <c r="G1889" s="5" t="str">
        <f>IFERROR(IF(Portafolio_Proyectos!$AP630="","",Portafolio_Proyectos!$A630),"")</f>
        <v/>
      </c>
      <c r="H1889" s="5" t="str">
        <f>IFERROR(IF(Portafolio_Proyectos!$AP630="","",Portafolio_Proyectos!$E630),"")</f>
        <v/>
      </c>
    </row>
    <row r="1890" spans="1:8" x14ac:dyDescent="0.35">
      <c r="A1890" s="5" t="str">
        <f>IFERROR(IF(Portafolio_Proyectos!$AQ630="","","CAP-"&amp;ROW()-1),"")</f>
        <v/>
      </c>
      <c r="B1890" s="5" t="str">
        <f>IFERROR(IF(Portafolio_Proyectos!$AQ630="","",Portafolio_Proyectos!$AQ630),"")</f>
        <v/>
      </c>
      <c r="C1890" s="5" t="str">
        <f>IFERROR(IF(Portafolio_Proyectos!$AQ630="","","Consolidada"),"")</f>
        <v/>
      </c>
      <c r="D1890" s="5" t="str">
        <f>IFERROR(IF(Portafolio_Proyectos!$AQ630="","",Portafolio_Proyectos!$C630),"")</f>
        <v/>
      </c>
      <c r="E1890" s="5" t="str">
        <f>IFERROR(IF(Portafolio_Proyectos!$AQ630="","",Portafolio_Proyectos!$B630),"")</f>
        <v/>
      </c>
      <c r="F1890" s="5" t="str">
        <f>IFERROR(IF(Portafolio_Proyectos!$AQ630="","",Portafolio_Proyectos!$D630),"")</f>
        <v/>
      </c>
      <c r="G1890" s="5" t="str">
        <f>IFERROR(IF(Portafolio_Proyectos!$AQ630="","",Portafolio_Proyectos!$A630),"")</f>
        <v/>
      </c>
      <c r="H1890" s="5" t="str">
        <f>IFERROR(IF(Portafolio_Proyectos!$AQ630="","",Portafolio_Proyectos!$E630),"")</f>
        <v/>
      </c>
    </row>
    <row r="1891" spans="1:8" x14ac:dyDescent="0.35">
      <c r="A1891" s="5" t="str">
        <f>IFERROR(IF(Portafolio_Proyectos!$AR630="","","CAP-"&amp;ROW()-1),"")</f>
        <v/>
      </c>
      <c r="B1891" s="5" t="str">
        <f>IFERROR(IF(Portafolio_Proyectos!$AR630="","",Portafolio_Proyectos!$AR630),"")</f>
        <v/>
      </c>
      <c r="C1891" s="5" t="str">
        <f>IFERROR(IF(Portafolio_Proyectos!$AR630="","","Distintiva"),"")</f>
        <v/>
      </c>
      <c r="D1891" s="5" t="str">
        <f>IFERROR(IF(Portafolio_Proyectos!$AR630="","",Portafolio_Proyectos!$C630),"")</f>
        <v/>
      </c>
      <c r="E1891" s="5" t="str">
        <f>IFERROR(IF(Portafolio_Proyectos!$AR630="","",Portafolio_Proyectos!$B630),"")</f>
        <v/>
      </c>
      <c r="F1891" s="5" t="str">
        <f>IFERROR(IF(Portafolio_Proyectos!$AR630="","",Portafolio_Proyectos!$D630),"")</f>
        <v/>
      </c>
      <c r="G1891" s="5" t="str">
        <f>IFERROR(IF(Portafolio_Proyectos!$AR630="","",Portafolio_Proyectos!$A630),"")</f>
        <v/>
      </c>
      <c r="H1891" s="5" t="str">
        <f>IFERROR(IF(Portafolio_Proyectos!$AR630="","",Portafolio_Proyectos!$E630),"")</f>
        <v/>
      </c>
    </row>
    <row r="1892" spans="1:8" x14ac:dyDescent="0.35">
      <c r="A1892" s="5" t="str">
        <f>IFERROR(IF(Portafolio_Proyectos!$AP631="","","CAP-"&amp;ROW()-1),"")</f>
        <v/>
      </c>
      <c r="B1892" s="5" t="str">
        <f>IFERROR(IF(Portafolio_Proyectos!$AP631="","",Portafolio_Proyectos!$AP631),"")</f>
        <v/>
      </c>
      <c r="C1892" s="5" t="str">
        <f>IFERROR(IF(Portafolio_Proyectos!$AP631="","","Emergente"),"")</f>
        <v/>
      </c>
      <c r="D1892" s="5" t="str">
        <f>IFERROR(IF(Portafolio_Proyectos!$AP631="","",Portafolio_Proyectos!$C631),"")</f>
        <v/>
      </c>
      <c r="E1892" s="5" t="str">
        <f>IFERROR(IF(Portafolio_Proyectos!$AP631="","",Portafolio_Proyectos!$B631),"")</f>
        <v/>
      </c>
      <c r="F1892" s="5" t="str">
        <f>IFERROR(IF(Portafolio_Proyectos!$AP631="","",Portafolio_Proyectos!$D631),"")</f>
        <v/>
      </c>
      <c r="G1892" s="5" t="str">
        <f>IFERROR(IF(Portafolio_Proyectos!$AP631="","",Portafolio_Proyectos!$A631),"")</f>
        <v/>
      </c>
      <c r="H1892" s="5" t="str">
        <f>IFERROR(IF(Portafolio_Proyectos!$AP631="","",Portafolio_Proyectos!$E631),"")</f>
        <v/>
      </c>
    </row>
    <row r="1893" spans="1:8" x14ac:dyDescent="0.35">
      <c r="A1893" s="5" t="str">
        <f>IFERROR(IF(Portafolio_Proyectos!$AQ631="","","CAP-"&amp;ROW()-1),"")</f>
        <v/>
      </c>
      <c r="B1893" s="5" t="str">
        <f>IFERROR(IF(Portafolio_Proyectos!$AQ631="","",Portafolio_Proyectos!$AQ631),"")</f>
        <v/>
      </c>
      <c r="C1893" s="5" t="str">
        <f>IFERROR(IF(Portafolio_Proyectos!$AQ631="","","Consolidada"),"")</f>
        <v/>
      </c>
      <c r="D1893" s="5" t="str">
        <f>IFERROR(IF(Portafolio_Proyectos!$AQ631="","",Portafolio_Proyectos!$C631),"")</f>
        <v/>
      </c>
      <c r="E1893" s="5" t="str">
        <f>IFERROR(IF(Portafolio_Proyectos!$AQ631="","",Portafolio_Proyectos!$B631),"")</f>
        <v/>
      </c>
      <c r="F1893" s="5" t="str">
        <f>IFERROR(IF(Portafolio_Proyectos!$AQ631="","",Portafolio_Proyectos!$D631),"")</f>
        <v/>
      </c>
      <c r="G1893" s="5" t="str">
        <f>IFERROR(IF(Portafolio_Proyectos!$AQ631="","",Portafolio_Proyectos!$A631),"")</f>
        <v/>
      </c>
      <c r="H1893" s="5" t="str">
        <f>IFERROR(IF(Portafolio_Proyectos!$AQ631="","",Portafolio_Proyectos!$E631),"")</f>
        <v/>
      </c>
    </row>
    <row r="1894" spans="1:8" x14ac:dyDescent="0.35">
      <c r="A1894" s="5" t="str">
        <f>IFERROR(IF(Portafolio_Proyectos!$AR631="","","CAP-"&amp;ROW()-1),"")</f>
        <v/>
      </c>
      <c r="B1894" s="5" t="str">
        <f>IFERROR(IF(Portafolio_Proyectos!$AR631="","",Portafolio_Proyectos!$AR631),"")</f>
        <v/>
      </c>
      <c r="C1894" s="5" t="str">
        <f>IFERROR(IF(Portafolio_Proyectos!$AR631="","","Distintiva"),"")</f>
        <v/>
      </c>
      <c r="D1894" s="5" t="str">
        <f>IFERROR(IF(Portafolio_Proyectos!$AR631="","",Portafolio_Proyectos!$C631),"")</f>
        <v/>
      </c>
      <c r="E1894" s="5" t="str">
        <f>IFERROR(IF(Portafolio_Proyectos!$AR631="","",Portafolio_Proyectos!$B631),"")</f>
        <v/>
      </c>
      <c r="F1894" s="5" t="str">
        <f>IFERROR(IF(Portafolio_Proyectos!$AR631="","",Portafolio_Proyectos!$D631),"")</f>
        <v/>
      </c>
      <c r="G1894" s="5" t="str">
        <f>IFERROR(IF(Portafolio_Proyectos!$AR631="","",Portafolio_Proyectos!$A631),"")</f>
        <v/>
      </c>
      <c r="H1894" s="5" t="str">
        <f>IFERROR(IF(Portafolio_Proyectos!$AR631="","",Portafolio_Proyectos!$E631),"")</f>
        <v/>
      </c>
    </row>
    <row r="1895" spans="1:8" x14ac:dyDescent="0.35">
      <c r="A1895" s="5" t="str">
        <f>IFERROR(IF(Portafolio_Proyectos!$AP632="","","CAP-"&amp;ROW()-1),"")</f>
        <v/>
      </c>
      <c r="B1895" s="5" t="str">
        <f>IFERROR(IF(Portafolio_Proyectos!$AP632="","",Portafolio_Proyectos!$AP632),"")</f>
        <v/>
      </c>
      <c r="C1895" s="5" t="str">
        <f>IFERROR(IF(Portafolio_Proyectos!$AP632="","","Emergente"),"")</f>
        <v/>
      </c>
      <c r="D1895" s="5" t="str">
        <f>IFERROR(IF(Portafolio_Proyectos!$AP632="","",Portafolio_Proyectos!$C632),"")</f>
        <v/>
      </c>
      <c r="E1895" s="5" t="str">
        <f>IFERROR(IF(Portafolio_Proyectos!$AP632="","",Portafolio_Proyectos!$B632),"")</f>
        <v/>
      </c>
      <c r="F1895" s="5" t="str">
        <f>IFERROR(IF(Portafolio_Proyectos!$AP632="","",Portafolio_Proyectos!$D632),"")</f>
        <v/>
      </c>
      <c r="G1895" s="5" t="str">
        <f>IFERROR(IF(Portafolio_Proyectos!$AP632="","",Portafolio_Proyectos!$A632),"")</f>
        <v/>
      </c>
      <c r="H1895" s="5" t="str">
        <f>IFERROR(IF(Portafolio_Proyectos!$AP632="","",Portafolio_Proyectos!$E632),"")</f>
        <v/>
      </c>
    </row>
    <row r="1896" spans="1:8" x14ac:dyDescent="0.35">
      <c r="A1896" s="5" t="str">
        <f>IFERROR(IF(Portafolio_Proyectos!$AQ632="","","CAP-"&amp;ROW()-1),"")</f>
        <v/>
      </c>
      <c r="B1896" s="5" t="str">
        <f>IFERROR(IF(Portafolio_Proyectos!$AQ632="","",Portafolio_Proyectos!$AQ632),"")</f>
        <v/>
      </c>
      <c r="C1896" s="5" t="str">
        <f>IFERROR(IF(Portafolio_Proyectos!$AQ632="","","Consolidada"),"")</f>
        <v/>
      </c>
      <c r="D1896" s="5" t="str">
        <f>IFERROR(IF(Portafolio_Proyectos!$AQ632="","",Portafolio_Proyectos!$C632),"")</f>
        <v/>
      </c>
      <c r="E1896" s="5" t="str">
        <f>IFERROR(IF(Portafolio_Proyectos!$AQ632="","",Portafolio_Proyectos!$B632),"")</f>
        <v/>
      </c>
      <c r="F1896" s="5" t="str">
        <f>IFERROR(IF(Portafolio_Proyectos!$AQ632="","",Portafolio_Proyectos!$D632),"")</f>
        <v/>
      </c>
      <c r="G1896" s="5" t="str">
        <f>IFERROR(IF(Portafolio_Proyectos!$AQ632="","",Portafolio_Proyectos!$A632),"")</f>
        <v/>
      </c>
      <c r="H1896" s="5" t="str">
        <f>IFERROR(IF(Portafolio_Proyectos!$AQ632="","",Portafolio_Proyectos!$E632),"")</f>
        <v/>
      </c>
    </row>
    <row r="1897" spans="1:8" x14ac:dyDescent="0.35">
      <c r="A1897" s="5" t="str">
        <f>IFERROR(IF(Portafolio_Proyectos!$AR632="","","CAP-"&amp;ROW()-1),"")</f>
        <v/>
      </c>
      <c r="B1897" s="5" t="str">
        <f>IFERROR(IF(Portafolio_Proyectos!$AR632="","",Portafolio_Proyectos!$AR632),"")</f>
        <v/>
      </c>
      <c r="C1897" s="5" t="str">
        <f>IFERROR(IF(Portafolio_Proyectos!$AR632="","","Distintiva"),"")</f>
        <v/>
      </c>
      <c r="D1897" s="5" t="str">
        <f>IFERROR(IF(Portafolio_Proyectos!$AR632="","",Portafolio_Proyectos!$C632),"")</f>
        <v/>
      </c>
      <c r="E1897" s="5" t="str">
        <f>IFERROR(IF(Portafolio_Proyectos!$AR632="","",Portafolio_Proyectos!$B632),"")</f>
        <v/>
      </c>
      <c r="F1897" s="5" t="str">
        <f>IFERROR(IF(Portafolio_Proyectos!$AR632="","",Portafolio_Proyectos!$D632),"")</f>
        <v/>
      </c>
      <c r="G1897" s="5" t="str">
        <f>IFERROR(IF(Portafolio_Proyectos!$AR632="","",Portafolio_Proyectos!$A632),"")</f>
        <v/>
      </c>
      <c r="H1897" s="5" t="str">
        <f>IFERROR(IF(Portafolio_Proyectos!$AR632="","",Portafolio_Proyectos!$E632),"")</f>
        <v/>
      </c>
    </row>
    <row r="1898" spans="1:8" x14ac:dyDescent="0.35">
      <c r="A1898" s="5" t="str">
        <f>IFERROR(IF(Portafolio_Proyectos!$AP633="","","CAP-"&amp;ROW()-1),"")</f>
        <v/>
      </c>
      <c r="B1898" s="5" t="str">
        <f>IFERROR(IF(Portafolio_Proyectos!$AP633="","",Portafolio_Proyectos!$AP633),"")</f>
        <v/>
      </c>
      <c r="C1898" s="5" t="str">
        <f>IFERROR(IF(Portafolio_Proyectos!$AP633="","","Emergente"),"")</f>
        <v/>
      </c>
      <c r="D1898" s="5" t="str">
        <f>IFERROR(IF(Portafolio_Proyectos!$AP633="","",Portafolio_Proyectos!$C633),"")</f>
        <v/>
      </c>
      <c r="E1898" s="5" t="str">
        <f>IFERROR(IF(Portafolio_Proyectos!$AP633="","",Portafolio_Proyectos!$B633),"")</f>
        <v/>
      </c>
      <c r="F1898" s="5" t="str">
        <f>IFERROR(IF(Portafolio_Proyectos!$AP633="","",Portafolio_Proyectos!$D633),"")</f>
        <v/>
      </c>
      <c r="G1898" s="5" t="str">
        <f>IFERROR(IF(Portafolio_Proyectos!$AP633="","",Portafolio_Proyectos!$A633),"")</f>
        <v/>
      </c>
      <c r="H1898" s="5" t="str">
        <f>IFERROR(IF(Portafolio_Proyectos!$AP633="","",Portafolio_Proyectos!$E633),"")</f>
        <v/>
      </c>
    </row>
    <row r="1899" spans="1:8" x14ac:dyDescent="0.35">
      <c r="A1899" s="5" t="str">
        <f>IFERROR(IF(Portafolio_Proyectos!$AQ633="","","CAP-"&amp;ROW()-1),"")</f>
        <v/>
      </c>
      <c r="B1899" s="5" t="str">
        <f>IFERROR(IF(Portafolio_Proyectos!$AQ633="","",Portafolio_Proyectos!$AQ633),"")</f>
        <v/>
      </c>
      <c r="C1899" s="5" t="str">
        <f>IFERROR(IF(Portafolio_Proyectos!$AQ633="","","Consolidada"),"")</f>
        <v/>
      </c>
      <c r="D1899" s="5" t="str">
        <f>IFERROR(IF(Portafolio_Proyectos!$AQ633="","",Portafolio_Proyectos!$C633),"")</f>
        <v/>
      </c>
      <c r="E1899" s="5" t="str">
        <f>IFERROR(IF(Portafolio_Proyectos!$AQ633="","",Portafolio_Proyectos!$B633),"")</f>
        <v/>
      </c>
      <c r="F1899" s="5" t="str">
        <f>IFERROR(IF(Portafolio_Proyectos!$AQ633="","",Portafolio_Proyectos!$D633),"")</f>
        <v/>
      </c>
      <c r="G1899" s="5" t="str">
        <f>IFERROR(IF(Portafolio_Proyectos!$AQ633="","",Portafolio_Proyectos!$A633),"")</f>
        <v/>
      </c>
      <c r="H1899" s="5" t="str">
        <f>IFERROR(IF(Portafolio_Proyectos!$AQ633="","",Portafolio_Proyectos!$E633),"")</f>
        <v/>
      </c>
    </row>
    <row r="1900" spans="1:8" x14ac:dyDescent="0.35">
      <c r="A1900" s="5" t="str">
        <f>IFERROR(IF(Portafolio_Proyectos!$AR633="","","CAP-"&amp;ROW()-1),"")</f>
        <v/>
      </c>
      <c r="B1900" s="5" t="str">
        <f>IFERROR(IF(Portafolio_Proyectos!$AR633="","",Portafolio_Proyectos!$AR633),"")</f>
        <v/>
      </c>
      <c r="C1900" s="5" t="str">
        <f>IFERROR(IF(Portafolio_Proyectos!$AR633="","","Distintiva"),"")</f>
        <v/>
      </c>
      <c r="D1900" s="5" t="str">
        <f>IFERROR(IF(Portafolio_Proyectos!$AR633="","",Portafolio_Proyectos!$C633),"")</f>
        <v/>
      </c>
      <c r="E1900" s="5" t="str">
        <f>IFERROR(IF(Portafolio_Proyectos!$AR633="","",Portafolio_Proyectos!$B633),"")</f>
        <v/>
      </c>
      <c r="F1900" s="5" t="str">
        <f>IFERROR(IF(Portafolio_Proyectos!$AR633="","",Portafolio_Proyectos!$D633),"")</f>
        <v/>
      </c>
      <c r="G1900" s="5" t="str">
        <f>IFERROR(IF(Portafolio_Proyectos!$AR633="","",Portafolio_Proyectos!$A633),"")</f>
        <v/>
      </c>
      <c r="H1900" s="5" t="str">
        <f>IFERROR(IF(Portafolio_Proyectos!$AR633="","",Portafolio_Proyectos!$E633),"")</f>
        <v/>
      </c>
    </row>
    <row r="1901" spans="1:8" x14ac:dyDescent="0.35">
      <c r="A1901" s="5" t="str">
        <f>IFERROR(IF(Portafolio_Proyectos!$AP634="","","CAP-"&amp;ROW()-1),"")</f>
        <v/>
      </c>
      <c r="B1901" s="5" t="str">
        <f>IFERROR(IF(Portafolio_Proyectos!$AP634="","",Portafolio_Proyectos!$AP634),"")</f>
        <v/>
      </c>
      <c r="C1901" s="5" t="str">
        <f>IFERROR(IF(Portafolio_Proyectos!$AP634="","","Emergente"),"")</f>
        <v/>
      </c>
      <c r="D1901" s="5" t="str">
        <f>IFERROR(IF(Portafolio_Proyectos!$AP634="","",Portafolio_Proyectos!$C634),"")</f>
        <v/>
      </c>
      <c r="E1901" s="5" t="str">
        <f>IFERROR(IF(Portafolio_Proyectos!$AP634="","",Portafolio_Proyectos!$B634),"")</f>
        <v/>
      </c>
      <c r="F1901" s="5" t="str">
        <f>IFERROR(IF(Portafolio_Proyectos!$AP634="","",Portafolio_Proyectos!$D634),"")</f>
        <v/>
      </c>
      <c r="G1901" s="5" t="str">
        <f>IFERROR(IF(Portafolio_Proyectos!$AP634="","",Portafolio_Proyectos!$A634),"")</f>
        <v/>
      </c>
      <c r="H1901" s="5" t="str">
        <f>IFERROR(IF(Portafolio_Proyectos!$AP634="","",Portafolio_Proyectos!$E634),"")</f>
        <v/>
      </c>
    </row>
    <row r="1902" spans="1:8" x14ac:dyDescent="0.35">
      <c r="A1902" s="5" t="str">
        <f>IFERROR(IF(Portafolio_Proyectos!$AQ634="","","CAP-"&amp;ROW()-1),"")</f>
        <v/>
      </c>
      <c r="B1902" s="5" t="str">
        <f>IFERROR(IF(Portafolio_Proyectos!$AQ634="","",Portafolio_Proyectos!$AQ634),"")</f>
        <v/>
      </c>
      <c r="C1902" s="5" t="str">
        <f>IFERROR(IF(Portafolio_Proyectos!$AQ634="","","Consolidada"),"")</f>
        <v/>
      </c>
      <c r="D1902" s="5" t="str">
        <f>IFERROR(IF(Portafolio_Proyectos!$AQ634="","",Portafolio_Proyectos!$C634),"")</f>
        <v/>
      </c>
      <c r="E1902" s="5" t="str">
        <f>IFERROR(IF(Portafolio_Proyectos!$AQ634="","",Portafolio_Proyectos!$B634),"")</f>
        <v/>
      </c>
      <c r="F1902" s="5" t="str">
        <f>IFERROR(IF(Portafolio_Proyectos!$AQ634="","",Portafolio_Proyectos!$D634),"")</f>
        <v/>
      </c>
      <c r="G1902" s="5" t="str">
        <f>IFERROR(IF(Portafolio_Proyectos!$AQ634="","",Portafolio_Proyectos!$A634),"")</f>
        <v/>
      </c>
      <c r="H1902" s="5" t="str">
        <f>IFERROR(IF(Portafolio_Proyectos!$AQ634="","",Portafolio_Proyectos!$E634),"")</f>
        <v/>
      </c>
    </row>
    <row r="1903" spans="1:8" x14ac:dyDescent="0.35">
      <c r="A1903" s="5" t="str">
        <f>IFERROR(IF(Portafolio_Proyectos!$AR634="","","CAP-"&amp;ROW()-1),"")</f>
        <v/>
      </c>
      <c r="B1903" s="5" t="str">
        <f>IFERROR(IF(Portafolio_Proyectos!$AR634="","",Portafolio_Proyectos!$AR634),"")</f>
        <v/>
      </c>
      <c r="C1903" s="5" t="str">
        <f>IFERROR(IF(Portafolio_Proyectos!$AR634="","","Distintiva"),"")</f>
        <v/>
      </c>
      <c r="D1903" s="5" t="str">
        <f>IFERROR(IF(Portafolio_Proyectos!$AR634="","",Portafolio_Proyectos!$C634),"")</f>
        <v/>
      </c>
      <c r="E1903" s="5" t="str">
        <f>IFERROR(IF(Portafolio_Proyectos!$AR634="","",Portafolio_Proyectos!$B634),"")</f>
        <v/>
      </c>
      <c r="F1903" s="5" t="str">
        <f>IFERROR(IF(Portafolio_Proyectos!$AR634="","",Portafolio_Proyectos!$D634),"")</f>
        <v/>
      </c>
      <c r="G1903" s="5" t="str">
        <f>IFERROR(IF(Portafolio_Proyectos!$AR634="","",Portafolio_Proyectos!$A634),"")</f>
        <v/>
      </c>
      <c r="H1903" s="5" t="str">
        <f>IFERROR(IF(Portafolio_Proyectos!$AR634="","",Portafolio_Proyectos!$E634),"")</f>
        <v/>
      </c>
    </row>
    <row r="1904" spans="1:8" x14ac:dyDescent="0.35">
      <c r="A1904" s="5" t="str">
        <f>IFERROR(IF(Portafolio_Proyectos!$AP635="","","CAP-"&amp;ROW()-1),"")</f>
        <v/>
      </c>
      <c r="B1904" s="5" t="str">
        <f>IFERROR(IF(Portafolio_Proyectos!$AP635="","",Portafolio_Proyectos!$AP635),"")</f>
        <v/>
      </c>
      <c r="C1904" s="5" t="str">
        <f>IFERROR(IF(Portafolio_Proyectos!$AP635="","","Emergente"),"")</f>
        <v/>
      </c>
      <c r="D1904" s="5" t="str">
        <f>IFERROR(IF(Portafolio_Proyectos!$AP635="","",Portafolio_Proyectos!$C635),"")</f>
        <v/>
      </c>
      <c r="E1904" s="5" t="str">
        <f>IFERROR(IF(Portafolio_Proyectos!$AP635="","",Portafolio_Proyectos!$B635),"")</f>
        <v/>
      </c>
      <c r="F1904" s="5" t="str">
        <f>IFERROR(IF(Portafolio_Proyectos!$AP635="","",Portafolio_Proyectos!$D635),"")</f>
        <v/>
      </c>
      <c r="G1904" s="5" t="str">
        <f>IFERROR(IF(Portafolio_Proyectos!$AP635="","",Portafolio_Proyectos!$A635),"")</f>
        <v/>
      </c>
      <c r="H1904" s="5" t="str">
        <f>IFERROR(IF(Portafolio_Proyectos!$AP635="","",Portafolio_Proyectos!$E635),"")</f>
        <v/>
      </c>
    </row>
    <row r="1905" spans="1:8" x14ac:dyDescent="0.35">
      <c r="A1905" s="5" t="str">
        <f>IFERROR(IF(Portafolio_Proyectos!$AQ635="","","CAP-"&amp;ROW()-1),"")</f>
        <v/>
      </c>
      <c r="B1905" s="5" t="str">
        <f>IFERROR(IF(Portafolio_Proyectos!$AQ635="","",Portafolio_Proyectos!$AQ635),"")</f>
        <v/>
      </c>
      <c r="C1905" s="5" t="str">
        <f>IFERROR(IF(Portafolio_Proyectos!$AQ635="","","Consolidada"),"")</f>
        <v/>
      </c>
      <c r="D1905" s="5" t="str">
        <f>IFERROR(IF(Portafolio_Proyectos!$AQ635="","",Portafolio_Proyectos!$C635),"")</f>
        <v/>
      </c>
      <c r="E1905" s="5" t="str">
        <f>IFERROR(IF(Portafolio_Proyectos!$AQ635="","",Portafolio_Proyectos!$B635),"")</f>
        <v/>
      </c>
      <c r="F1905" s="5" t="str">
        <f>IFERROR(IF(Portafolio_Proyectos!$AQ635="","",Portafolio_Proyectos!$D635),"")</f>
        <v/>
      </c>
      <c r="G1905" s="5" t="str">
        <f>IFERROR(IF(Portafolio_Proyectos!$AQ635="","",Portafolio_Proyectos!$A635),"")</f>
        <v/>
      </c>
      <c r="H1905" s="5" t="str">
        <f>IFERROR(IF(Portafolio_Proyectos!$AQ635="","",Portafolio_Proyectos!$E635),"")</f>
        <v/>
      </c>
    </row>
    <row r="1906" spans="1:8" x14ac:dyDescent="0.35">
      <c r="A1906" s="5" t="str">
        <f>IFERROR(IF(Portafolio_Proyectos!$AR635="","","CAP-"&amp;ROW()-1),"")</f>
        <v/>
      </c>
      <c r="B1906" s="5" t="str">
        <f>IFERROR(IF(Portafolio_Proyectos!$AR635="","",Portafolio_Proyectos!$AR635),"")</f>
        <v/>
      </c>
      <c r="C1906" s="5" t="str">
        <f>IFERROR(IF(Portafolio_Proyectos!$AR635="","","Distintiva"),"")</f>
        <v/>
      </c>
      <c r="D1906" s="5" t="str">
        <f>IFERROR(IF(Portafolio_Proyectos!$AR635="","",Portafolio_Proyectos!$C635),"")</f>
        <v/>
      </c>
      <c r="E1906" s="5" t="str">
        <f>IFERROR(IF(Portafolio_Proyectos!$AR635="","",Portafolio_Proyectos!$B635),"")</f>
        <v/>
      </c>
      <c r="F1906" s="5" t="str">
        <f>IFERROR(IF(Portafolio_Proyectos!$AR635="","",Portafolio_Proyectos!$D635),"")</f>
        <v/>
      </c>
      <c r="G1906" s="5" t="str">
        <f>IFERROR(IF(Portafolio_Proyectos!$AR635="","",Portafolio_Proyectos!$A635),"")</f>
        <v/>
      </c>
      <c r="H1906" s="5" t="str">
        <f>IFERROR(IF(Portafolio_Proyectos!$AR635="","",Portafolio_Proyectos!$E635),"")</f>
        <v/>
      </c>
    </row>
    <row r="1907" spans="1:8" x14ac:dyDescent="0.35">
      <c r="A1907" s="5" t="str">
        <f>IFERROR(IF(Portafolio_Proyectos!$AP636="","","CAP-"&amp;ROW()-1),"")</f>
        <v/>
      </c>
      <c r="B1907" s="5" t="str">
        <f>IFERROR(IF(Portafolio_Proyectos!$AP636="","",Portafolio_Proyectos!$AP636),"")</f>
        <v/>
      </c>
      <c r="C1907" s="5" t="str">
        <f>IFERROR(IF(Portafolio_Proyectos!$AP636="","","Emergente"),"")</f>
        <v/>
      </c>
      <c r="D1907" s="5" t="str">
        <f>IFERROR(IF(Portafolio_Proyectos!$AP636="","",Portafolio_Proyectos!$C636),"")</f>
        <v/>
      </c>
      <c r="E1907" s="5" t="str">
        <f>IFERROR(IF(Portafolio_Proyectos!$AP636="","",Portafolio_Proyectos!$B636),"")</f>
        <v/>
      </c>
      <c r="F1907" s="5" t="str">
        <f>IFERROR(IF(Portafolio_Proyectos!$AP636="","",Portafolio_Proyectos!$D636),"")</f>
        <v/>
      </c>
      <c r="G1907" s="5" t="str">
        <f>IFERROR(IF(Portafolio_Proyectos!$AP636="","",Portafolio_Proyectos!$A636),"")</f>
        <v/>
      </c>
      <c r="H1907" s="5" t="str">
        <f>IFERROR(IF(Portafolio_Proyectos!$AP636="","",Portafolio_Proyectos!$E636),"")</f>
        <v/>
      </c>
    </row>
    <row r="1908" spans="1:8" x14ac:dyDescent="0.35">
      <c r="A1908" s="5" t="str">
        <f>IFERROR(IF(Portafolio_Proyectos!$AQ636="","","CAP-"&amp;ROW()-1),"")</f>
        <v/>
      </c>
      <c r="B1908" s="5" t="str">
        <f>IFERROR(IF(Portafolio_Proyectos!$AQ636="","",Portafolio_Proyectos!$AQ636),"")</f>
        <v/>
      </c>
      <c r="C1908" s="5" t="str">
        <f>IFERROR(IF(Portafolio_Proyectos!$AQ636="","","Consolidada"),"")</f>
        <v/>
      </c>
      <c r="D1908" s="5" t="str">
        <f>IFERROR(IF(Portafolio_Proyectos!$AQ636="","",Portafolio_Proyectos!$C636),"")</f>
        <v/>
      </c>
      <c r="E1908" s="5" t="str">
        <f>IFERROR(IF(Portafolio_Proyectos!$AQ636="","",Portafolio_Proyectos!$B636),"")</f>
        <v/>
      </c>
      <c r="F1908" s="5" t="str">
        <f>IFERROR(IF(Portafolio_Proyectos!$AQ636="","",Portafolio_Proyectos!$D636),"")</f>
        <v/>
      </c>
      <c r="G1908" s="5" t="str">
        <f>IFERROR(IF(Portafolio_Proyectos!$AQ636="","",Portafolio_Proyectos!$A636),"")</f>
        <v/>
      </c>
      <c r="H1908" s="5" t="str">
        <f>IFERROR(IF(Portafolio_Proyectos!$AQ636="","",Portafolio_Proyectos!$E636),"")</f>
        <v/>
      </c>
    </row>
    <row r="1909" spans="1:8" x14ac:dyDescent="0.35">
      <c r="A1909" s="5" t="str">
        <f>IFERROR(IF(Portafolio_Proyectos!$AR636="","","CAP-"&amp;ROW()-1),"")</f>
        <v/>
      </c>
      <c r="B1909" s="5" t="str">
        <f>IFERROR(IF(Portafolio_Proyectos!$AR636="","",Portafolio_Proyectos!$AR636),"")</f>
        <v/>
      </c>
      <c r="C1909" s="5" t="str">
        <f>IFERROR(IF(Portafolio_Proyectos!$AR636="","","Distintiva"),"")</f>
        <v/>
      </c>
      <c r="D1909" s="5" t="str">
        <f>IFERROR(IF(Portafolio_Proyectos!$AR636="","",Portafolio_Proyectos!$C636),"")</f>
        <v/>
      </c>
      <c r="E1909" s="5" t="str">
        <f>IFERROR(IF(Portafolio_Proyectos!$AR636="","",Portafolio_Proyectos!$B636),"")</f>
        <v/>
      </c>
      <c r="F1909" s="5" t="str">
        <f>IFERROR(IF(Portafolio_Proyectos!$AR636="","",Portafolio_Proyectos!$D636),"")</f>
        <v/>
      </c>
      <c r="G1909" s="5" t="str">
        <f>IFERROR(IF(Portafolio_Proyectos!$AR636="","",Portafolio_Proyectos!$A636),"")</f>
        <v/>
      </c>
      <c r="H1909" s="5" t="str">
        <f>IFERROR(IF(Portafolio_Proyectos!$AR636="","",Portafolio_Proyectos!$E636),"")</f>
        <v/>
      </c>
    </row>
    <row r="1910" spans="1:8" x14ac:dyDescent="0.35">
      <c r="A1910" s="5" t="str">
        <f>IFERROR(IF(Portafolio_Proyectos!$AP637="","","CAP-"&amp;ROW()-1),"")</f>
        <v/>
      </c>
      <c r="B1910" s="5" t="str">
        <f>IFERROR(IF(Portafolio_Proyectos!$AP637="","",Portafolio_Proyectos!$AP637),"")</f>
        <v/>
      </c>
      <c r="C1910" s="5" t="str">
        <f>IFERROR(IF(Portafolio_Proyectos!$AP637="","","Emergente"),"")</f>
        <v/>
      </c>
      <c r="D1910" s="5" t="str">
        <f>IFERROR(IF(Portafolio_Proyectos!$AP637="","",Portafolio_Proyectos!$C637),"")</f>
        <v/>
      </c>
      <c r="E1910" s="5" t="str">
        <f>IFERROR(IF(Portafolio_Proyectos!$AP637="","",Portafolio_Proyectos!$B637),"")</f>
        <v/>
      </c>
      <c r="F1910" s="5" t="str">
        <f>IFERROR(IF(Portafolio_Proyectos!$AP637="","",Portafolio_Proyectos!$D637),"")</f>
        <v/>
      </c>
      <c r="G1910" s="5" t="str">
        <f>IFERROR(IF(Portafolio_Proyectos!$AP637="","",Portafolio_Proyectos!$A637),"")</f>
        <v/>
      </c>
      <c r="H1910" s="5" t="str">
        <f>IFERROR(IF(Portafolio_Proyectos!$AP637="","",Portafolio_Proyectos!$E637),"")</f>
        <v/>
      </c>
    </row>
    <row r="1911" spans="1:8" x14ac:dyDescent="0.35">
      <c r="A1911" s="5" t="str">
        <f>IFERROR(IF(Portafolio_Proyectos!$AQ637="","","CAP-"&amp;ROW()-1),"")</f>
        <v/>
      </c>
      <c r="B1911" s="5" t="str">
        <f>IFERROR(IF(Portafolio_Proyectos!$AQ637="","",Portafolio_Proyectos!$AQ637),"")</f>
        <v/>
      </c>
      <c r="C1911" s="5" t="str">
        <f>IFERROR(IF(Portafolio_Proyectos!$AQ637="","","Consolidada"),"")</f>
        <v/>
      </c>
      <c r="D1911" s="5" t="str">
        <f>IFERROR(IF(Portafolio_Proyectos!$AQ637="","",Portafolio_Proyectos!$C637),"")</f>
        <v/>
      </c>
      <c r="E1911" s="5" t="str">
        <f>IFERROR(IF(Portafolio_Proyectos!$AQ637="","",Portafolio_Proyectos!$B637),"")</f>
        <v/>
      </c>
      <c r="F1911" s="5" t="str">
        <f>IFERROR(IF(Portafolio_Proyectos!$AQ637="","",Portafolio_Proyectos!$D637),"")</f>
        <v/>
      </c>
      <c r="G1911" s="5" t="str">
        <f>IFERROR(IF(Portafolio_Proyectos!$AQ637="","",Portafolio_Proyectos!$A637),"")</f>
        <v/>
      </c>
      <c r="H1911" s="5" t="str">
        <f>IFERROR(IF(Portafolio_Proyectos!$AQ637="","",Portafolio_Proyectos!$E637),"")</f>
        <v/>
      </c>
    </row>
    <row r="1912" spans="1:8" x14ac:dyDescent="0.35">
      <c r="A1912" s="5" t="str">
        <f>IFERROR(IF(Portafolio_Proyectos!$AR637="","","CAP-"&amp;ROW()-1),"")</f>
        <v/>
      </c>
      <c r="B1912" s="5" t="str">
        <f>IFERROR(IF(Portafolio_Proyectos!$AR637="","",Portafolio_Proyectos!$AR637),"")</f>
        <v/>
      </c>
      <c r="C1912" s="5" t="str">
        <f>IFERROR(IF(Portafolio_Proyectos!$AR637="","","Distintiva"),"")</f>
        <v/>
      </c>
      <c r="D1912" s="5" t="str">
        <f>IFERROR(IF(Portafolio_Proyectos!$AR637="","",Portafolio_Proyectos!$C637),"")</f>
        <v/>
      </c>
      <c r="E1912" s="5" t="str">
        <f>IFERROR(IF(Portafolio_Proyectos!$AR637="","",Portafolio_Proyectos!$B637),"")</f>
        <v/>
      </c>
      <c r="F1912" s="5" t="str">
        <f>IFERROR(IF(Portafolio_Proyectos!$AR637="","",Portafolio_Proyectos!$D637),"")</f>
        <v/>
      </c>
      <c r="G1912" s="5" t="str">
        <f>IFERROR(IF(Portafolio_Proyectos!$AR637="","",Portafolio_Proyectos!$A637),"")</f>
        <v/>
      </c>
      <c r="H1912" s="5" t="str">
        <f>IFERROR(IF(Portafolio_Proyectos!$AR637="","",Portafolio_Proyectos!$E637),"")</f>
        <v/>
      </c>
    </row>
    <row r="1913" spans="1:8" x14ac:dyDescent="0.35">
      <c r="A1913" s="5" t="str">
        <f>IFERROR(IF(Portafolio_Proyectos!$AP638="","","CAP-"&amp;ROW()-1),"")</f>
        <v/>
      </c>
      <c r="B1913" s="5" t="str">
        <f>IFERROR(IF(Portafolio_Proyectos!$AP638="","",Portafolio_Proyectos!$AP638),"")</f>
        <v/>
      </c>
      <c r="C1913" s="5" t="str">
        <f>IFERROR(IF(Portafolio_Proyectos!$AP638="","","Emergente"),"")</f>
        <v/>
      </c>
      <c r="D1913" s="5" t="str">
        <f>IFERROR(IF(Portafolio_Proyectos!$AP638="","",Portafolio_Proyectos!$C638),"")</f>
        <v/>
      </c>
      <c r="E1913" s="5" t="str">
        <f>IFERROR(IF(Portafolio_Proyectos!$AP638="","",Portafolio_Proyectos!$B638),"")</f>
        <v/>
      </c>
      <c r="F1913" s="5" t="str">
        <f>IFERROR(IF(Portafolio_Proyectos!$AP638="","",Portafolio_Proyectos!$D638),"")</f>
        <v/>
      </c>
      <c r="G1913" s="5" t="str">
        <f>IFERROR(IF(Portafolio_Proyectos!$AP638="","",Portafolio_Proyectos!$A638),"")</f>
        <v/>
      </c>
      <c r="H1913" s="5" t="str">
        <f>IFERROR(IF(Portafolio_Proyectos!$AP638="","",Portafolio_Proyectos!$E638),"")</f>
        <v/>
      </c>
    </row>
    <row r="1914" spans="1:8" x14ac:dyDescent="0.35">
      <c r="A1914" s="5" t="str">
        <f>IFERROR(IF(Portafolio_Proyectos!$AQ638="","","CAP-"&amp;ROW()-1),"")</f>
        <v/>
      </c>
      <c r="B1914" s="5" t="str">
        <f>IFERROR(IF(Portafolio_Proyectos!$AQ638="","",Portafolio_Proyectos!$AQ638),"")</f>
        <v/>
      </c>
      <c r="C1914" s="5" t="str">
        <f>IFERROR(IF(Portafolio_Proyectos!$AQ638="","","Consolidada"),"")</f>
        <v/>
      </c>
      <c r="D1914" s="5" t="str">
        <f>IFERROR(IF(Portafolio_Proyectos!$AQ638="","",Portafolio_Proyectos!$C638),"")</f>
        <v/>
      </c>
      <c r="E1914" s="5" t="str">
        <f>IFERROR(IF(Portafolio_Proyectos!$AQ638="","",Portafolio_Proyectos!$B638),"")</f>
        <v/>
      </c>
      <c r="F1914" s="5" t="str">
        <f>IFERROR(IF(Portafolio_Proyectos!$AQ638="","",Portafolio_Proyectos!$D638),"")</f>
        <v/>
      </c>
      <c r="G1914" s="5" t="str">
        <f>IFERROR(IF(Portafolio_Proyectos!$AQ638="","",Portafolio_Proyectos!$A638),"")</f>
        <v/>
      </c>
      <c r="H1914" s="5" t="str">
        <f>IFERROR(IF(Portafolio_Proyectos!$AQ638="","",Portafolio_Proyectos!$E638),"")</f>
        <v/>
      </c>
    </row>
    <row r="1915" spans="1:8" x14ac:dyDescent="0.35">
      <c r="A1915" s="5" t="str">
        <f>IFERROR(IF(Portafolio_Proyectos!$AR638="","","CAP-"&amp;ROW()-1),"")</f>
        <v/>
      </c>
      <c r="B1915" s="5" t="str">
        <f>IFERROR(IF(Portafolio_Proyectos!$AR638="","",Portafolio_Proyectos!$AR638),"")</f>
        <v/>
      </c>
      <c r="C1915" s="5" t="str">
        <f>IFERROR(IF(Portafolio_Proyectos!$AR638="","","Distintiva"),"")</f>
        <v/>
      </c>
      <c r="D1915" s="5" t="str">
        <f>IFERROR(IF(Portafolio_Proyectos!$AR638="","",Portafolio_Proyectos!$C638),"")</f>
        <v/>
      </c>
      <c r="E1915" s="5" t="str">
        <f>IFERROR(IF(Portafolio_Proyectos!$AR638="","",Portafolio_Proyectos!$B638),"")</f>
        <v/>
      </c>
      <c r="F1915" s="5" t="str">
        <f>IFERROR(IF(Portafolio_Proyectos!$AR638="","",Portafolio_Proyectos!$D638),"")</f>
        <v/>
      </c>
      <c r="G1915" s="5" t="str">
        <f>IFERROR(IF(Portafolio_Proyectos!$AR638="","",Portafolio_Proyectos!$A638),"")</f>
        <v/>
      </c>
      <c r="H1915" s="5" t="str">
        <f>IFERROR(IF(Portafolio_Proyectos!$AR638="","",Portafolio_Proyectos!$E638),"")</f>
        <v/>
      </c>
    </row>
    <row r="1916" spans="1:8" x14ac:dyDescent="0.35">
      <c r="A1916" s="5" t="str">
        <f>IFERROR(IF(Portafolio_Proyectos!$AP639="","","CAP-"&amp;ROW()-1),"")</f>
        <v/>
      </c>
      <c r="B1916" s="5" t="str">
        <f>IFERROR(IF(Portafolio_Proyectos!$AP639="","",Portafolio_Proyectos!$AP639),"")</f>
        <v/>
      </c>
      <c r="C1916" s="5" t="str">
        <f>IFERROR(IF(Portafolio_Proyectos!$AP639="","","Emergente"),"")</f>
        <v/>
      </c>
      <c r="D1916" s="5" t="str">
        <f>IFERROR(IF(Portafolio_Proyectos!$AP639="","",Portafolio_Proyectos!$C639),"")</f>
        <v/>
      </c>
      <c r="E1916" s="5" t="str">
        <f>IFERROR(IF(Portafolio_Proyectos!$AP639="","",Portafolio_Proyectos!$B639),"")</f>
        <v/>
      </c>
      <c r="F1916" s="5" t="str">
        <f>IFERROR(IF(Portafolio_Proyectos!$AP639="","",Portafolio_Proyectos!$D639),"")</f>
        <v/>
      </c>
      <c r="G1916" s="5" t="str">
        <f>IFERROR(IF(Portafolio_Proyectos!$AP639="","",Portafolio_Proyectos!$A639),"")</f>
        <v/>
      </c>
      <c r="H1916" s="5" t="str">
        <f>IFERROR(IF(Portafolio_Proyectos!$AP639="","",Portafolio_Proyectos!$E639),"")</f>
        <v/>
      </c>
    </row>
    <row r="1917" spans="1:8" x14ac:dyDescent="0.35">
      <c r="A1917" s="5" t="str">
        <f>IFERROR(IF(Portafolio_Proyectos!$AQ639="","","CAP-"&amp;ROW()-1),"")</f>
        <v/>
      </c>
      <c r="B1917" s="5" t="str">
        <f>IFERROR(IF(Portafolio_Proyectos!$AQ639="","",Portafolio_Proyectos!$AQ639),"")</f>
        <v/>
      </c>
      <c r="C1917" s="5" t="str">
        <f>IFERROR(IF(Portafolio_Proyectos!$AQ639="","","Consolidada"),"")</f>
        <v/>
      </c>
      <c r="D1917" s="5" t="str">
        <f>IFERROR(IF(Portafolio_Proyectos!$AQ639="","",Portafolio_Proyectos!$C639),"")</f>
        <v/>
      </c>
      <c r="E1917" s="5" t="str">
        <f>IFERROR(IF(Portafolio_Proyectos!$AQ639="","",Portafolio_Proyectos!$B639),"")</f>
        <v/>
      </c>
      <c r="F1917" s="5" t="str">
        <f>IFERROR(IF(Portafolio_Proyectos!$AQ639="","",Portafolio_Proyectos!$D639),"")</f>
        <v/>
      </c>
      <c r="G1917" s="5" t="str">
        <f>IFERROR(IF(Portafolio_Proyectos!$AQ639="","",Portafolio_Proyectos!$A639),"")</f>
        <v/>
      </c>
      <c r="H1917" s="5" t="str">
        <f>IFERROR(IF(Portafolio_Proyectos!$AQ639="","",Portafolio_Proyectos!$E639),"")</f>
        <v/>
      </c>
    </row>
    <row r="1918" spans="1:8" x14ac:dyDescent="0.35">
      <c r="A1918" s="5" t="str">
        <f>IFERROR(IF(Portafolio_Proyectos!$AR639="","","CAP-"&amp;ROW()-1),"")</f>
        <v/>
      </c>
      <c r="B1918" s="5" t="str">
        <f>IFERROR(IF(Portafolio_Proyectos!$AR639="","",Portafolio_Proyectos!$AR639),"")</f>
        <v/>
      </c>
      <c r="C1918" s="5" t="str">
        <f>IFERROR(IF(Portafolio_Proyectos!$AR639="","","Distintiva"),"")</f>
        <v/>
      </c>
      <c r="D1918" s="5" t="str">
        <f>IFERROR(IF(Portafolio_Proyectos!$AR639="","",Portafolio_Proyectos!$C639),"")</f>
        <v/>
      </c>
      <c r="E1918" s="5" t="str">
        <f>IFERROR(IF(Portafolio_Proyectos!$AR639="","",Portafolio_Proyectos!$B639),"")</f>
        <v/>
      </c>
      <c r="F1918" s="5" t="str">
        <f>IFERROR(IF(Portafolio_Proyectos!$AR639="","",Portafolio_Proyectos!$D639),"")</f>
        <v/>
      </c>
      <c r="G1918" s="5" t="str">
        <f>IFERROR(IF(Portafolio_Proyectos!$AR639="","",Portafolio_Proyectos!$A639),"")</f>
        <v/>
      </c>
      <c r="H1918" s="5" t="str">
        <f>IFERROR(IF(Portafolio_Proyectos!$AR639="","",Portafolio_Proyectos!$E639),"")</f>
        <v/>
      </c>
    </row>
    <row r="1919" spans="1:8" x14ac:dyDescent="0.35">
      <c r="A1919" s="5" t="str">
        <f>IFERROR(IF(Portafolio_Proyectos!$AP640="","","CAP-"&amp;ROW()-1),"")</f>
        <v/>
      </c>
      <c r="B1919" s="5" t="str">
        <f>IFERROR(IF(Portafolio_Proyectos!$AP640="","",Portafolio_Proyectos!$AP640),"")</f>
        <v/>
      </c>
      <c r="C1919" s="5" t="str">
        <f>IFERROR(IF(Portafolio_Proyectos!$AP640="","","Emergente"),"")</f>
        <v/>
      </c>
      <c r="D1919" s="5" t="str">
        <f>IFERROR(IF(Portafolio_Proyectos!$AP640="","",Portafolio_Proyectos!$C640),"")</f>
        <v/>
      </c>
      <c r="E1919" s="5" t="str">
        <f>IFERROR(IF(Portafolio_Proyectos!$AP640="","",Portafolio_Proyectos!$B640),"")</f>
        <v/>
      </c>
      <c r="F1919" s="5" t="str">
        <f>IFERROR(IF(Portafolio_Proyectos!$AP640="","",Portafolio_Proyectos!$D640),"")</f>
        <v/>
      </c>
      <c r="G1919" s="5" t="str">
        <f>IFERROR(IF(Portafolio_Proyectos!$AP640="","",Portafolio_Proyectos!$A640),"")</f>
        <v/>
      </c>
      <c r="H1919" s="5" t="str">
        <f>IFERROR(IF(Portafolio_Proyectos!$AP640="","",Portafolio_Proyectos!$E640),"")</f>
        <v/>
      </c>
    </row>
    <row r="1920" spans="1:8" x14ac:dyDescent="0.35">
      <c r="A1920" s="5" t="str">
        <f>IFERROR(IF(Portafolio_Proyectos!$AQ640="","","CAP-"&amp;ROW()-1),"")</f>
        <v/>
      </c>
      <c r="B1920" s="5" t="str">
        <f>IFERROR(IF(Portafolio_Proyectos!$AQ640="","",Portafolio_Proyectos!$AQ640),"")</f>
        <v/>
      </c>
      <c r="C1920" s="5" t="str">
        <f>IFERROR(IF(Portafolio_Proyectos!$AQ640="","","Consolidada"),"")</f>
        <v/>
      </c>
      <c r="D1920" s="5" t="str">
        <f>IFERROR(IF(Portafolio_Proyectos!$AQ640="","",Portafolio_Proyectos!$C640),"")</f>
        <v/>
      </c>
      <c r="E1920" s="5" t="str">
        <f>IFERROR(IF(Portafolio_Proyectos!$AQ640="","",Portafolio_Proyectos!$B640),"")</f>
        <v/>
      </c>
      <c r="F1920" s="5" t="str">
        <f>IFERROR(IF(Portafolio_Proyectos!$AQ640="","",Portafolio_Proyectos!$D640),"")</f>
        <v/>
      </c>
      <c r="G1920" s="5" t="str">
        <f>IFERROR(IF(Portafolio_Proyectos!$AQ640="","",Portafolio_Proyectos!$A640),"")</f>
        <v/>
      </c>
      <c r="H1920" s="5" t="str">
        <f>IFERROR(IF(Portafolio_Proyectos!$AQ640="","",Portafolio_Proyectos!$E640),"")</f>
        <v/>
      </c>
    </row>
    <row r="1921" spans="1:8" x14ac:dyDescent="0.35">
      <c r="A1921" s="5" t="str">
        <f>IFERROR(IF(Portafolio_Proyectos!$AR640="","","CAP-"&amp;ROW()-1),"")</f>
        <v/>
      </c>
      <c r="B1921" s="5" t="str">
        <f>IFERROR(IF(Portafolio_Proyectos!$AR640="","",Portafolio_Proyectos!$AR640),"")</f>
        <v/>
      </c>
      <c r="C1921" s="5" t="str">
        <f>IFERROR(IF(Portafolio_Proyectos!$AR640="","","Distintiva"),"")</f>
        <v/>
      </c>
      <c r="D1921" s="5" t="str">
        <f>IFERROR(IF(Portafolio_Proyectos!$AR640="","",Portafolio_Proyectos!$C640),"")</f>
        <v/>
      </c>
      <c r="E1921" s="5" t="str">
        <f>IFERROR(IF(Portafolio_Proyectos!$AR640="","",Portafolio_Proyectos!$B640),"")</f>
        <v/>
      </c>
      <c r="F1921" s="5" t="str">
        <f>IFERROR(IF(Portafolio_Proyectos!$AR640="","",Portafolio_Proyectos!$D640),"")</f>
        <v/>
      </c>
      <c r="G1921" s="5" t="str">
        <f>IFERROR(IF(Portafolio_Proyectos!$AR640="","",Portafolio_Proyectos!$A640),"")</f>
        <v/>
      </c>
      <c r="H1921" s="5" t="str">
        <f>IFERROR(IF(Portafolio_Proyectos!$AR640="","",Portafolio_Proyectos!$E640),"")</f>
        <v/>
      </c>
    </row>
    <row r="1922" spans="1:8" x14ac:dyDescent="0.35">
      <c r="A1922" s="5" t="str">
        <f>IFERROR(IF(Portafolio_Proyectos!$AP641="","","CAP-"&amp;ROW()-1),"")</f>
        <v/>
      </c>
      <c r="B1922" s="5" t="str">
        <f>IFERROR(IF(Portafolio_Proyectos!$AP641="","",Portafolio_Proyectos!$AP641),"")</f>
        <v/>
      </c>
      <c r="C1922" s="5" t="str">
        <f>IFERROR(IF(Portafolio_Proyectos!$AP641="","","Emergente"),"")</f>
        <v/>
      </c>
      <c r="D1922" s="5" t="str">
        <f>IFERROR(IF(Portafolio_Proyectos!$AP641="","",Portafolio_Proyectos!$C641),"")</f>
        <v/>
      </c>
      <c r="E1922" s="5" t="str">
        <f>IFERROR(IF(Portafolio_Proyectos!$AP641="","",Portafolio_Proyectos!$B641),"")</f>
        <v/>
      </c>
      <c r="F1922" s="5" t="str">
        <f>IFERROR(IF(Portafolio_Proyectos!$AP641="","",Portafolio_Proyectos!$D641),"")</f>
        <v/>
      </c>
      <c r="G1922" s="5" t="str">
        <f>IFERROR(IF(Portafolio_Proyectos!$AP641="","",Portafolio_Proyectos!$A641),"")</f>
        <v/>
      </c>
      <c r="H1922" s="5" t="str">
        <f>IFERROR(IF(Portafolio_Proyectos!$AP641="","",Portafolio_Proyectos!$E641),"")</f>
        <v/>
      </c>
    </row>
    <row r="1923" spans="1:8" x14ac:dyDescent="0.35">
      <c r="A1923" s="5" t="str">
        <f>IFERROR(IF(Portafolio_Proyectos!$AQ641="","","CAP-"&amp;ROW()-1),"")</f>
        <v/>
      </c>
      <c r="B1923" s="5" t="str">
        <f>IFERROR(IF(Portafolio_Proyectos!$AQ641="","",Portafolio_Proyectos!$AQ641),"")</f>
        <v/>
      </c>
      <c r="C1923" s="5" t="str">
        <f>IFERROR(IF(Portafolio_Proyectos!$AQ641="","","Consolidada"),"")</f>
        <v/>
      </c>
      <c r="D1923" s="5" t="str">
        <f>IFERROR(IF(Portafolio_Proyectos!$AQ641="","",Portafolio_Proyectos!$C641),"")</f>
        <v/>
      </c>
      <c r="E1923" s="5" t="str">
        <f>IFERROR(IF(Portafolio_Proyectos!$AQ641="","",Portafolio_Proyectos!$B641),"")</f>
        <v/>
      </c>
      <c r="F1923" s="5" t="str">
        <f>IFERROR(IF(Portafolio_Proyectos!$AQ641="","",Portafolio_Proyectos!$D641),"")</f>
        <v/>
      </c>
      <c r="G1923" s="5" t="str">
        <f>IFERROR(IF(Portafolio_Proyectos!$AQ641="","",Portafolio_Proyectos!$A641),"")</f>
        <v/>
      </c>
      <c r="H1923" s="5" t="str">
        <f>IFERROR(IF(Portafolio_Proyectos!$AQ641="","",Portafolio_Proyectos!$E641),"")</f>
        <v/>
      </c>
    </row>
    <row r="1924" spans="1:8" x14ac:dyDescent="0.35">
      <c r="A1924" s="5" t="str">
        <f>IFERROR(IF(Portafolio_Proyectos!$AR641="","","CAP-"&amp;ROW()-1),"")</f>
        <v/>
      </c>
      <c r="B1924" s="5" t="str">
        <f>IFERROR(IF(Portafolio_Proyectos!$AR641="","",Portafolio_Proyectos!$AR641),"")</f>
        <v/>
      </c>
      <c r="C1924" s="5" t="str">
        <f>IFERROR(IF(Portafolio_Proyectos!$AR641="","","Distintiva"),"")</f>
        <v/>
      </c>
      <c r="D1924" s="5" t="str">
        <f>IFERROR(IF(Portafolio_Proyectos!$AR641="","",Portafolio_Proyectos!$C641),"")</f>
        <v/>
      </c>
      <c r="E1924" s="5" t="str">
        <f>IFERROR(IF(Portafolio_Proyectos!$AR641="","",Portafolio_Proyectos!$B641),"")</f>
        <v/>
      </c>
      <c r="F1924" s="5" t="str">
        <f>IFERROR(IF(Portafolio_Proyectos!$AR641="","",Portafolio_Proyectos!$D641),"")</f>
        <v/>
      </c>
      <c r="G1924" s="5" t="str">
        <f>IFERROR(IF(Portafolio_Proyectos!$AR641="","",Portafolio_Proyectos!$A641),"")</f>
        <v/>
      </c>
      <c r="H1924" s="5" t="str">
        <f>IFERROR(IF(Portafolio_Proyectos!$AR641="","",Portafolio_Proyectos!$E641),"")</f>
        <v/>
      </c>
    </row>
    <row r="1925" spans="1:8" x14ac:dyDescent="0.35">
      <c r="A1925" s="5" t="str">
        <f>IFERROR(IF(Portafolio_Proyectos!$AP642="","","CAP-"&amp;ROW()-1),"")</f>
        <v/>
      </c>
      <c r="B1925" s="5" t="str">
        <f>IFERROR(IF(Portafolio_Proyectos!$AP642="","",Portafolio_Proyectos!$AP642),"")</f>
        <v/>
      </c>
      <c r="C1925" s="5" t="str">
        <f>IFERROR(IF(Portafolio_Proyectos!$AP642="","","Emergente"),"")</f>
        <v/>
      </c>
      <c r="D1925" s="5" t="str">
        <f>IFERROR(IF(Portafolio_Proyectos!$AP642="","",Portafolio_Proyectos!$C642),"")</f>
        <v/>
      </c>
      <c r="E1925" s="5" t="str">
        <f>IFERROR(IF(Portafolio_Proyectos!$AP642="","",Portafolio_Proyectos!$B642),"")</f>
        <v/>
      </c>
      <c r="F1925" s="5" t="str">
        <f>IFERROR(IF(Portafolio_Proyectos!$AP642="","",Portafolio_Proyectos!$D642),"")</f>
        <v/>
      </c>
      <c r="G1925" s="5" t="str">
        <f>IFERROR(IF(Portafolio_Proyectos!$AP642="","",Portafolio_Proyectos!$A642),"")</f>
        <v/>
      </c>
      <c r="H1925" s="5" t="str">
        <f>IFERROR(IF(Portafolio_Proyectos!$AP642="","",Portafolio_Proyectos!$E642),"")</f>
        <v/>
      </c>
    </row>
    <row r="1926" spans="1:8" x14ac:dyDescent="0.35">
      <c r="A1926" s="5" t="str">
        <f>IFERROR(IF(Portafolio_Proyectos!$AQ642="","","CAP-"&amp;ROW()-1),"")</f>
        <v/>
      </c>
      <c r="B1926" s="5" t="str">
        <f>IFERROR(IF(Portafolio_Proyectos!$AQ642="","",Portafolio_Proyectos!$AQ642),"")</f>
        <v/>
      </c>
      <c r="C1926" s="5" t="str">
        <f>IFERROR(IF(Portafolio_Proyectos!$AQ642="","","Consolidada"),"")</f>
        <v/>
      </c>
      <c r="D1926" s="5" t="str">
        <f>IFERROR(IF(Portafolio_Proyectos!$AQ642="","",Portafolio_Proyectos!$C642),"")</f>
        <v/>
      </c>
      <c r="E1926" s="5" t="str">
        <f>IFERROR(IF(Portafolio_Proyectos!$AQ642="","",Portafolio_Proyectos!$B642),"")</f>
        <v/>
      </c>
      <c r="F1926" s="5" t="str">
        <f>IFERROR(IF(Portafolio_Proyectos!$AQ642="","",Portafolio_Proyectos!$D642),"")</f>
        <v/>
      </c>
      <c r="G1926" s="5" t="str">
        <f>IFERROR(IF(Portafolio_Proyectos!$AQ642="","",Portafolio_Proyectos!$A642),"")</f>
        <v/>
      </c>
      <c r="H1926" s="5" t="str">
        <f>IFERROR(IF(Portafolio_Proyectos!$AQ642="","",Portafolio_Proyectos!$E642),"")</f>
        <v/>
      </c>
    </row>
    <row r="1927" spans="1:8" x14ac:dyDescent="0.35">
      <c r="A1927" s="5" t="str">
        <f>IFERROR(IF(Portafolio_Proyectos!$AR642="","","CAP-"&amp;ROW()-1),"")</f>
        <v/>
      </c>
      <c r="B1927" s="5" t="str">
        <f>IFERROR(IF(Portafolio_Proyectos!$AR642="","",Portafolio_Proyectos!$AR642),"")</f>
        <v/>
      </c>
      <c r="C1927" s="5" t="str">
        <f>IFERROR(IF(Portafolio_Proyectos!$AR642="","","Distintiva"),"")</f>
        <v/>
      </c>
      <c r="D1927" s="5" t="str">
        <f>IFERROR(IF(Portafolio_Proyectos!$AR642="","",Portafolio_Proyectos!$C642),"")</f>
        <v/>
      </c>
      <c r="E1927" s="5" t="str">
        <f>IFERROR(IF(Portafolio_Proyectos!$AR642="","",Portafolio_Proyectos!$B642),"")</f>
        <v/>
      </c>
      <c r="F1927" s="5" t="str">
        <f>IFERROR(IF(Portafolio_Proyectos!$AR642="","",Portafolio_Proyectos!$D642),"")</f>
        <v/>
      </c>
      <c r="G1927" s="5" t="str">
        <f>IFERROR(IF(Portafolio_Proyectos!$AR642="","",Portafolio_Proyectos!$A642),"")</f>
        <v/>
      </c>
      <c r="H1927" s="5" t="str">
        <f>IFERROR(IF(Portafolio_Proyectos!$AR642="","",Portafolio_Proyectos!$E642),"")</f>
        <v/>
      </c>
    </row>
    <row r="1928" spans="1:8" x14ac:dyDescent="0.35">
      <c r="A1928" s="5" t="str">
        <f>IFERROR(IF(Portafolio_Proyectos!$AP643="","","CAP-"&amp;ROW()-1),"")</f>
        <v/>
      </c>
      <c r="B1928" s="5" t="str">
        <f>IFERROR(IF(Portafolio_Proyectos!$AP643="","",Portafolio_Proyectos!$AP643),"")</f>
        <v/>
      </c>
      <c r="C1928" s="5" t="str">
        <f>IFERROR(IF(Portafolio_Proyectos!$AP643="","","Emergente"),"")</f>
        <v/>
      </c>
      <c r="D1928" s="5" t="str">
        <f>IFERROR(IF(Portafolio_Proyectos!$AP643="","",Portafolio_Proyectos!$C643),"")</f>
        <v/>
      </c>
      <c r="E1928" s="5" t="str">
        <f>IFERROR(IF(Portafolio_Proyectos!$AP643="","",Portafolio_Proyectos!$B643),"")</f>
        <v/>
      </c>
      <c r="F1928" s="5" t="str">
        <f>IFERROR(IF(Portafolio_Proyectos!$AP643="","",Portafolio_Proyectos!$D643),"")</f>
        <v/>
      </c>
      <c r="G1928" s="5" t="str">
        <f>IFERROR(IF(Portafolio_Proyectos!$AP643="","",Portafolio_Proyectos!$A643),"")</f>
        <v/>
      </c>
      <c r="H1928" s="5" t="str">
        <f>IFERROR(IF(Portafolio_Proyectos!$AP643="","",Portafolio_Proyectos!$E643),"")</f>
        <v/>
      </c>
    </row>
    <row r="1929" spans="1:8" x14ac:dyDescent="0.35">
      <c r="A1929" s="5" t="str">
        <f>IFERROR(IF(Portafolio_Proyectos!$AQ643="","","CAP-"&amp;ROW()-1),"")</f>
        <v/>
      </c>
      <c r="B1929" s="5" t="str">
        <f>IFERROR(IF(Portafolio_Proyectos!$AQ643="","",Portafolio_Proyectos!$AQ643),"")</f>
        <v/>
      </c>
      <c r="C1929" s="5" t="str">
        <f>IFERROR(IF(Portafolio_Proyectos!$AQ643="","","Consolidada"),"")</f>
        <v/>
      </c>
      <c r="D1929" s="5" t="str">
        <f>IFERROR(IF(Portafolio_Proyectos!$AQ643="","",Portafolio_Proyectos!$C643),"")</f>
        <v/>
      </c>
      <c r="E1929" s="5" t="str">
        <f>IFERROR(IF(Portafolio_Proyectos!$AQ643="","",Portafolio_Proyectos!$B643),"")</f>
        <v/>
      </c>
      <c r="F1929" s="5" t="str">
        <f>IFERROR(IF(Portafolio_Proyectos!$AQ643="","",Portafolio_Proyectos!$D643),"")</f>
        <v/>
      </c>
      <c r="G1929" s="5" t="str">
        <f>IFERROR(IF(Portafolio_Proyectos!$AQ643="","",Portafolio_Proyectos!$A643),"")</f>
        <v/>
      </c>
      <c r="H1929" s="5" t="str">
        <f>IFERROR(IF(Portafolio_Proyectos!$AQ643="","",Portafolio_Proyectos!$E643),"")</f>
        <v/>
      </c>
    </row>
    <row r="1930" spans="1:8" x14ac:dyDescent="0.35">
      <c r="A1930" s="5" t="str">
        <f>IFERROR(IF(Portafolio_Proyectos!$AR643="","","CAP-"&amp;ROW()-1),"")</f>
        <v/>
      </c>
      <c r="B1930" s="5" t="str">
        <f>IFERROR(IF(Portafolio_Proyectos!$AR643="","",Portafolio_Proyectos!$AR643),"")</f>
        <v/>
      </c>
      <c r="C1930" s="5" t="str">
        <f>IFERROR(IF(Portafolio_Proyectos!$AR643="","","Distintiva"),"")</f>
        <v/>
      </c>
      <c r="D1930" s="5" t="str">
        <f>IFERROR(IF(Portafolio_Proyectos!$AR643="","",Portafolio_Proyectos!$C643),"")</f>
        <v/>
      </c>
      <c r="E1930" s="5" t="str">
        <f>IFERROR(IF(Portafolio_Proyectos!$AR643="","",Portafolio_Proyectos!$B643),"")</f>
        <v/>
      </c>
      <c r="F1930" s="5" t="str">
        <f>IFERROR(IF(Portafolio_Proyectos!$AR643="","",Portafolio_Proyectos!$D643),"")</f>
        <v/>
      </c>
      <c r="G1930" s="5" t="str">
        <f>IFERROR(IF(Portafolio_Proyectos!$AR643="","",Portafolio_Proyectos!$A643),"")</f>
        <v/>
      </c>
      <c r="H1930" s="5" t="str">
        <f>IFERROR(IF(Portafolio_Proyectos!$AR643="","",Portafolio_Proyectos!$E643),"")</f>
        <v/>
      </c>
    </row>
    <row r="1931" spans="1:8" x14ac:dyDescent="0.35">
      <c r="A1931" s="5" t="str">
        <f>IFERROR(IF(Portafolio_Proyectos!$AP644="","","CAP-"&amp;ROW()-1),"")</f>
        <v/>
      </c>
      <c r="B1931" s="5" t="str">
        <f>IFERROR(IF(Portafolio_Proyectos!$AP644="","",Portafolio_Proyectos!$AP644),"")</f>
        <v/>
      </c>
      <c r="C1931" s="5" t="str">
        <f>IFERROR(IF(Portafolio_Proyectos!$AP644="","","Emergente"),"")</f>
        <v/>
      </c>
      <c r="D1931" s="5" t="str">
        <f>IFERROR(IF(Portafolio_Proyectos!$AP644="","",Portafolio_Proyectos!$C644),"")</f>
        <v/>
      </c>
      <c r="E1931" s="5" t="str">
        <f>IFERROR(IF(Portafolio_Proyectos!$AP644="","",Portafolio_Proyectos!$B644),"")</f>
        <v/>
      </c>
      <c r="F1931" s="5" t="str">
        <f>IFERROR(IF(Portafolio_Proyectos!$AP644="","",Portafolio_Proyectos!$D644),"")</f>
        <v/>
      </c>
      <c r="G1931" s="5" t="str">
        <f>IFERROR(IF(Portafolio_Proyectos!$AP644="","",Portafolio_Proyectos!$A644),"")</f>
        <v/>
      </c>
      <c r="H1931" s="5" t="str">
        <f>IFERROR(IF(Portafolio_Proyectos!$AP644="","",Portafolio_Proyectos!$E644),"")</f>
        <v/>
      </c>
    </row>
    <row r="1932" spans="1:8" x14ac:dyDescent="0.35">
      <c r="A1932" s="5" t="str">
        <f>IFERROR(IF(Portafolio_Proyectos!$AQ644="","","CAP-"&amp;ROW()-1),"")</f>
        <v/>
      </c>
      <c r="B1932" s="5" t="str">
        <f>IFERROR(IF(Portafolio_Proyectos!$AQ644="","",Portafolio_Proyectos!$AQ644),"")</f>
        <v/>
      </c>
      <c r="C1932" s="5" t="str">
        <f>IFERROR(IF(Portafolio_Proyectos!$AQ644="","","Consolidada"),"")</f>
        <v/>
      </c>
      <c r="D1932" s="5" t="str">
        <f>IFERROR(IF(Portafolio_Proyectos!$AQ644="","",Portafolio_Proyectos!$C644),"")</f>
        <v/>
      </c>
      <c r="E1932" s="5" t="str">
        <f>IFERROR(IF(Portafolio_Proyectos!$AQ644="","",Portafolio_Proyectos!$B644),"")</f>
        <v/>
      </c>
      <c r="F1932" s="5" t="str">
        <f>IFERROR(IF(Portafolio_Proyectos!$AQ644="","",Portafolio_Proyectos!$D644),"")</f>
        <v/>
      </c>
      <c r="G1932" s="5" t="str">
        <f>IFERROR(IF(Portafolio_Proyectos!$AQ644="","",Portafolio_Proyectos!$A644),"")</f>
        <v/>
      </c>
      <c r="H1932" s="5" t="str">
        <f>IFERROR(IF(Portafolio_Proyectos!$AQ644="","",Portafolio_Proyectos!$E644),"")</f>
        <v/>
      </c>
    </row>
    <row r="1933" spans="1:8" x14ac:dyDescent="0.35">
      <c r="A1933" s="5" t="str">
        <f>IFERROR(IF(Portafolio_Proyectos!$AR644="","","CAP-"&amp;ROW()-1),"")</f>
        <v/>
      </c>
      <c r="B1933" s="5" t="str">
        <f>IFERROR(IF(Portafolio_Proyectos!$AR644="","",Portafolio_Proyectos!$AR644),"")</f>
        <v/>
      </c>
      <c r="C1933" s="5" t="str">
        <f>IFERROR(IF(Portafolio_Proyectos!$AR644="","","Distintiva"),"")</f>
        <v/>
      </c>
      <c r="D1933" s="5" t="str">
        <f>IFERROR(IF(Portafolio_Proyectos!$AR644="","",Portafolio_Proyectos!$C644),"")</f>
        <v/>
      </c>
      <c r="E1933" s="5" t="str">
        <f>IFERROR(IF(Portafolio_Proyectos!$AR644="","",Portafolio_Proyectos!$B644),"")</f>
        <v/>
      </c>
      <c r="F1933" s="5" t="str">
        <f>IFERROR(IF(Portafolio_Proyectos!$AR644="","",Portafolio_Proyectos!$D644),"")</f>
        <v/>
      </c>
      <c r="G1933" s="5" t="str">
        <f>IFERROR(IF(Portafolio_Proyectos!$AR644="","",Portafolio_Proyectos!$A644),"")</f>
        <v/>
      </c>
      <c r="H1933" s="5" t="str">
        <f>IFERROR(IF(Portafolio_Proyectos!$AR644="","",Portafolio_Proyectos!$E644),"")</f>
        <v/>
      </c>
    </row>
    <row r="1934" spans="1:8" x14ac:dyDescent="0.35">
      <c r="A1934" s="5" t="str">
        <f>IFERROR(IF(Portafolio_Proyectos!$AP645="","","CAP-"&amp;ROW()-1),"")</f>
        <v/>
      </c>
      <c r="B1934" s="5" t="str">
        <f>IFERROR(IF(Portafolio_Proyectos!$AP645="","",Portafolio_Proyectos!$AP645),"")</f>
        <v/>
      </c>
      <c r="C1934" s="5" t="str">
        <f>IFERROR(IF(Portafolio_Proyectos!$AP645="","","Emergente"),"")</f>
        <v/>
      </c>
      <c r="D1934" s="5" t="str">
        <f>IFERROR(IF(Portafolio_Proyectos!$AP645="","",Portafolio_Proyectos!$C645),"")</f>
        <v/>
      </c>
      <c r="E1934" s="5" t="str">
        <f>IFERROR(IF(Portafolio_Proyectos!$AP645="","",Portafolio_Proyectos!$B645),"")</f>
        <v/>
      </c>
      <c r="F1934" s="5" t="str">
        <f>IFERROR(IF(Portafolio_Proyectos!$AP645="","",Portafolio_Proyectos!$D645),"")</f>
        <v/>
      </c>
      <c r="G1934" s="5" t="str">
        <f>IFERROR(IF(Portafolio_Proyectos!$AP645="","",Portafolio_Proyectos!$A645),"")</f>
        <v/>
      </c>
      <c r="H1934" s="5" t="str">
        <f>IFERROR(IF(Portafolio_Proyectos!$AP645="","",Portafolio_Proyectos!$E645),"")</f>
        <v/>
      </c>
    </row>
    <row r="1935" spans="1:8" x14ac:dyDescent="0.35">
      <c r="A1935" s="5" t="str">
        <f>IFERROR(IF(Portafolio_Proyectos!$AQ645="","","CAP-"&amp;ROW()-1),"")</f>
        <v/>
      </c>
      <c r="B1935" s="5" t="str">
        <f>IFERROR(IF(Portafolio_Proyectos!$AQ645="","",Portafolio_Proyectos!$AQ645),"")</f>
        <v/>
      </c>
      <c r="C1935" s="5" t="str">
        <f>IFERROR(IF(Portafolio_Proyectos!$AQ645="","","Consolidada"),"")</f>
        <v/>
      </c>
      <c r="D1935" s="5" t="str">
        <f>IFERROR(IF(Portafolio_Proyectos!$AQ645="","",Portafolio_Proyectos!$C645),"")</f>
        <v/>
      </c>
      <c r="E1935" s="5" t="str">
        <f>IFERROR(IF(Portafolio_Proyectos!$AQ645="","",Portafolio_Proyectos!$B645),"")</f>
        <v/>
      </c>
      <c r="F1935" s="5" t="str">
        <f>IFERROR(IF(Portafolio_Proyectos!$AQ645="","",Portafolio_Proyectos!$D645),"")</f>
        <v/>
      </c>
      <c r="G1935" s="5" t="str">
        <f>IFERROR(IF(Portafolio_Proyectos!$AQ645="","",Portafolio_Proyectos!$A645),"")</f>
        <v/>
      </c>
      <c r="H1935" s="5" t="str">
        <f>IFERROR(IF(Portafolio_Proyectos!$AQ645="","",Portafolio_Proyectos!$E645),"")</f>
        <v/>
      </c>
    </row>
    <row r="1936" spans="1:8" x14ac:dyDescent="0.35">
      <c r="A1936" s="5" t="str">
        <f>IFERROR(IF(Portafolio_Proyectos!$AR645="","","CAP-"&amp;ROW()-1),"")</f>
        <v/>
      </c>
      <c r="B1936" s="5" t="str">
        <f>IFERROR(IF(Portafolio_Proyectos!$AR645="","",Portafolio_Proyectos!$AR645),"")</f>
        <v/>
      </c>
      <c r="C1936" s="5" t="str">
        <f>IFERROR(IF(Portafolio_Proyectos!$AR645="","","Distintiva"),"")</f>
        <v/>
      </c>
      <c r="D1936" s="5" t="str">
        <f>IFERROR(IF(Portafolio_Proyectos!$AR645="","",Portafolio_Proyectos!$C645),"")</f>
        <v/>
      </c>
      <c r="E1936" s="5" t="str">
        <f>IFERROR(IF(Portafolio_Proyectos!$AR645="","",Portafolio_Proyectos!$B645),"")</f>
        <v/>
      </c>
      <c r="F1936" s="5" t="str">
        <f>IFERROR(IF(Portafolio_Proyectos!$AR645="","",Portafolio_Proyectos!$D645),"")</f>
        <v/>
      </c>
      <c r="G1936" s="5" t="str">
        <f>IFERROR(IF(Portafolio_Proyectos!$AR645="","",Portafolio_Proyectos!$A645),"")</f>
        <v/>
      </c>
      <c r="H1936" s="5" t="str">
        <f>IFERROR(IF(Portafolio_Proyectos!$AR645="","",Portafolio_Proyectos!$E645),"")</f>
        <v/>
      </c>
    </row>
    <row r="1937" spans="1:8" x14ac:dyDescent="0.35">
      <c r="A1937" s="5" t="str">
        <f>IFERROR(IF(Portafolio_Proyectos!$AP646="","","CAP-"&amp;ROW()-1),"")</f>
        <v/>
      </c>
      <c r="B1937" s="5" t="str">
        <f>IFERROR(IF(Portafolio_Proyectos!$AP646="","",Portafolio_Proyectos!$AP646),"")</f>
        <v/>
      </c>
      <c r="C1937" s="5" t="str">
        <f>IFERROR(IF(Portafolio_Proyectos!$AP646="","","Emergente"),"")</f>
        <v/>
      </c>
      <c r="D1937" s="5" t="str">
        <f>IFERROR(IF(Portafolio_Proyectos!$AP646="","",Portafolio_Proyectos!$C646),"")</f>
        <v/>
      </c>
      <c r="E1937" s="5" t="str">
        <f>IFERROR(IF(Portafolio_Proyectos!$AP646="","",Portafolio_Proyectos!$B646),"")</f>
        <v/>
      </c>
      <c r="F1937" s="5" t="str">
        <f>IFERROR(IF(Portafolio_Proyectos!$AP646="","",Portafolio_Proyectos!$D646),"")</f>
        <v/>
      </c>
      <c r="G1937" s="5" t="str">
        <f>IFERROR(IF(Portafolio_Proyectos!$AP646="","",Portafolio_Proyectos!$A646),"")</f>
        <v/>
      </c>
      <c r="H1937" s="5" t="str">
        <f>IFERROR(IF(Portafolio_Proyectos!$AP646="","",Portafolio_Proyectos!$E646),"")</f>
        <v/>
      </c>
    </row>
    <row r="1938" spans="1:8" x14ac:dyDescent="0.35">
      <c r="A1938" s="5" t="str">
        <f>IFERROR(IF(Portafolio_Proyectos!$AQ646="","","CAP-"&amp;ROW()-1),"")</f>
        <v/>
      </c>
      <c r="B1938" s="5" t="str">
        <f>IFERROR(IF(Portafolio_Proyectos!$AQ646="","",Portafolio_Proyectos!$AQ646),"")</f>
        <v/>
      </c>
      <c r="C1938" s="5" t="str">
        <f>IFERROR(IF(Portafolio_Proyectos!$AQ646="","","Consolidada"),"")</f>
        <v/>
      </c>
      <c r="D1938" s="5" t="str">
        <f>IFERROR(IF(Portafolio_Proyectos!$AQ646="","",Portafolio_Proyectos!$C646),"")</f>
        <v/>
      </c>
      <c r="E1938" s="5" t="str">
        <f>IFERROR(IF(Portafolio_Proyectos!$AQ646="","",Portafolio_Proyectos!$B646),"")</f>
        <v/>
      </c>
      <c r="F1938" s="5" t="str">
        <f>IFERROR(IF(Portafolio_Proyectos!$AQ646="","",Portafolio_Proyectos!$D646),"")</f>
        <v/>
      </c>
      <c r="G1938" s="5" t="str">
        <f>IFERROR(IF(Portafolio_Proyectos!$AQ646="","",Portafolio_Proyectos!$A646),"")</f>
        <v/>
      </c>
      <c r="H1938" s="5" t="str">
        <f>IFERROR(IF(Portafolio_Proyectos!$AQ646="","",Portafolio_Proyectos!$E646),"")</f>
        <v/>
      </c>
    </row>
    <row r="1939" spans="1:8" x14ac:dyDescent="0.35">
      <c r="A1939" s="5" t="str">
        <f>IFERROR(IF(Portafolio_Proyectos!$AR646="","","CAP-"&amp;ROW()-1),"")</f>
        <v/>
      </c>
      <c r="B1939" s="5" t="str">
        <f>IFERROR(IF(Portafolio_Proyectos!$AR646="","",Portafolio_Proyectos!$AR646),"")</f>
        <v/>
      </c>
      <c r="C1939" s="5" t="str">
        <f>IFERROR(IF(Portafolio_Proyectos!$AR646="","","Distintiva"),"")</f>
        <v/>
      </c>
      <c r="D1939" s="5" t="str">
        <f>IFERROR(IF(Portafolio_Proyectos!$AR646="","",Portafolio_Proyectos!$C646),"")</f>
        <v/>
      </c>
      <c r="E1939" s="5" t="str">
        <f>IFERROR(IF(Portafolio_Proyectos!$AR646="","",Portafolio_Proyectos!$B646),"")</f>
        <v/>
      </c>
      <c r="F1939" s="5" t="str">
        <f>IFERROR(IF(Portafolio_Proyectos!$AR646="","",Portafolio_Proyectos!$D646),"")</f>
        <v/>
      </c>
      <c r="G1939" s="5" t="str">
        <f>IFERROR(IF(Portafolio_Proyectos!$AR646="","",Portafolio_Proyectos!$A646),"")</f>
        <v/>
      </c>
      <c r="H1939" s="5" t="str">
        <f>IFERROR(IF(Portafolio_Proyectos!$AR646="","",Portafolio_Proyectos!$E646),"")</f>
        <v/>
      </c>
    </row>
    <row r="1940" spans="1:8" x14ac:dyDescent="0.35">
      <c r="A1940" s="5" t="str">
        <f>IFERROR(IF(Portafolio_Proyectos!$AP647="","","CAP-"&amp;ROW()-1),"")</f>
        <v/>
      </c>
      <c r="B1940" s="5" t="str">
        <f>IFERROR(IF(Portafolio_Proyectos!$AP647="","",Portafolio_Proyectos!$AP647),"")</f>
        <v/>
      </c>
      <c r="C1940" s="5" t="str">
        <f>IFERROR(IF(Portafolio_Proyectos!$AP647="","","Emergente"),"")</f>
        <v/>
      </c>
      <c r="D1940" s="5" t="str">
        <f>IFERROR(IF(Portafolio_Proyectos!$AP647="","",Portafolio_Proyectos!$C647),"")</f>
        <v/>
      </c>
      <c r="E1940" s="5" t="str">
        <f>IFERROR(IF(Portafolio_Proyectos!$AP647="","",Portafolio_Proyectos!$B647),"")</f>
        <v/>
      </c>
      <c r="F1940" s="5" t="str">
        <f>IFERROR(IF(Portafolio_Proyectos!$AP647="","",Portafolio_Proyectos!$D647),"")</f>
        <v/>
      </c>
      <c r="G1940" s="5" t="str">
        <f>IFERROR(IF(Portafolio_Proyectos!$AP647="","",Portafolio_Proyectos!$A647),"")</f>
        <v/>
      </c>
      <c r="H1940" s="5" t="str">
        <f>IFERROR(IF(Portafolio_Proyectos!$AP647="","",Portafolio_Proyectos!$E647),"")</f>
        <v/>
      </c>
    </row>
    <row r="1941" spans="1:8" x14ac:dyDescent="0.35">
      <c r="A1941" s="5" t="str">
        <f>IFERROR(IF(Portafolio_Proyectos!$AQ647="","","CAP-"&amp;ROW()-1),"")</f>
        <v/>
      </c>
      <c r="B1941" s="5" t="str">
        <f>IFERROR(IF(Portafolio_Proyectos!$AQ647="","",Portafolio_Proyectos!$AQ647),"")</f>
        <v/>
      </c>
      <c r="C1941" s="5" t="str">
        <f>IFERROR(IF(Portafolio_Proyectos!$AQ647="","","Consolidada"),"")</f>
        <v/>
      </c>
      <c r="D1941" s="5" t="str">
        <f>IFERROR(IF(Portafolio_Proyectos!$AQ647="","",Portafolio_Proyectos!$C647),"")</f>
        <v/>
      </c>
      <c r="E1941" s="5" t="str">
        <f>IFERROR(IF(Portafolio_Proyectos!$AQ647="","",Portafolio_Proyectos!$B647),"")</f>
        <v/>
      </c>
      <c r="F1941" s="5" t="str">
        <f>IFERROR(IF(Portafolio_Proyectos!$AQ647="","",Portafolio_Proyectos!$D647),"")</f>
        <v/>
      </c>
      <c r="G1941" s="5" t="str">
        <f>IFERROR(IF(Portafolio_Proyectos!$AQ647="","",Portafolio_Proyectos!$A647),"")</f>
        <v/>
      </c>
      <c r="H1941" s="5" t="str">
        <f>IFERROR(IF(Portafolio_Proyectos!$AQ647="","",Portafolio_Proyectos!$E647),"")</f>
        <v/>
      </c>
    </row>
    <row r="1942" spans="1:8" x14ac:dyDescent="0.35">
      <c r="A1942" s="5" t="str">
        <f>IFERROR(IF(Portafolio_Proyectos!$AR647="","","CAP-"&amp;ROW()-1),"")</f>
        <v/>
      </c>
      <c r="B1942" s="5" t="str">
        <f>IFERROR(IF(Portafolio_Proyectos!$AR647="","",Portafolio_Proyectos!$AR647),"")</f>
        <v/>
      </c>
      <c r="C1942" s="5" t="str">
        <f>IFERROR(IF(Portafolio_Proyectos!$AR647="","","Distintiva"),"")</f>
        <v/>
      </c>
      <c r="D1942" s="5" t="str">
        <f>IFERROR(IF(Portafolio_Proyectos!$AR647="","",Portafolio_Proyectos!$C647),"")</f>
        <v/>
      </c>
      <c r="E1942" s="5" t="str">
        <f>IFERROR(IF(Portafolio_Proyectos!$AR647="","",Portafolio_Proyectos!$B647),"")</f>
        <v/>
      </c>
      <c r="F1942" s="5" t="str">
        <f>IFERROR(IF(Portafolio_Proyectos!$AR647="","",Portafolio_Proyectos!$D647),"")</f>
        <v/>
      </c>
      <c r="G1942" s="5" t="str">
        <f>IFERROR(IF(Portafolio_Proyectos!$AR647="","",Portafolio_Proyectos!$A647),"")</f>
        <v/>
      </c>
      <c r="H1942" s="5" t="str">
        <f>IFERROR(IF(Portafolio_Proyectos!$AR647="","",Portafolio_Proyectos!$E647),"")</f>
        <v/>
      </c>
    </row>
    <row r="1943" spans="1:8" x14ac:dyDescent="0.35">
      <c r="A1943" s="5" t="str">
        <f>IFERROR(IF(Portafolio_Proyectos!$AP648="","","CAP-"&amp;ROW()-1),"")</f>
        <v/>
      </c>
      <c r="B1943" s="5" t="str">
        <f>IFERROR(IF(Portafolio_Proyectos!$AP648="","",Portafolio_Proyectos!$AP648),"")</f>
        <v/>
      </c>
      <c r="C1943" s="5" t="str">
        <f>IFERROR(IF(Portafolio_Proyectos!$AP648="","","Emergente"),"")</f>
        <v/>
      </c>
      <c r="D1943" s="5" t="str">
        <f>IFERROR(IF(Portafolio_Proyectos!$AP648="","",Portafolio_Proyectos!$C648),"")</f>
        <v/>
      </c>
      <c r="E1943" s="5" t="str">
        <f>IFERROR(IF(Portafolio_Proyectos!$AP648="","",Portafolio_Proyectos!$B648),"")</f>
        <v/>
      </c>
      <c r="F1943" s="5" t="str">
        <f>IFERROR(IF(Portafolio_Proyectos!$AP648="","",Portafolio_Proyectos!$D648),"")</f>
        <v/>
      </c>
      <c r="G1943" s="5" t="str">
        <f>IFERROR(IF(Portafolio_Proyectos!$AP648="","",Portafolio_Proyectos!$A648),"")</f>
        <v/>
      </c>
      <c r="H1943" s="5" t="str">
        <f>IFERROR(IF(Portafolio_Proyectos!$AP648="","",Portafolio_Proyectos!$E648),"")</f>
        <v/>
      </c>
    </row>
    <row r="1944" spans="1:8" x14ac:dyDescent="0.35">
      <c r="A1944" s="5" t="str">
        <f>IFERROR(IF(Portafolio_Proyectos!$AQ648="","","CAP-"&amp;ROW()-1),"")</f>
        <v/>
      </c>
      <c r="B1944" s="5" t="str">
        <f>IFERROR(IF(Portafolio_Proyectos!$AQ648="","",Portafolio_Proyectos!$AQ648),"")</f>
        <v/>
      </c>
      <c r="C1944" s="5" t="str">
        <f>IFERROR(IF(Portafolio_Proyectos!$AQ648="","","Consolidada"),"")</f>
        <v/>
      </c>
      <c r="D1944" s="5" t="str">
        <f>IFERROR(IF(Portafolio_Proyectos!$AQ648="","",Portafolio_Proyectos!$C648),"")</f>
        <v/>
      </c>
      <c r="E1944" s="5" t="str">
        <f>IFERROR(IF(Portafolio_Proyectos!$AQ648="","",Portafolio_Proyectos!$B648),"")</f>
        <v/>
      </c>
      <c r="F1944" s="5" t="str">
        <f>IFERROR(IF(Portafolio_Proyectos!$AQ648="","",Portafolio_Proyectos!$D648),"")</f>
        <v/>
      </c>
      <c r="G1944" s="5" t="str">
        <f>IFERROR(IF(Portafolio_Proyectos!$AQ648="","",Portafolio_Proyectos!$A648),"")</f>
        <v/>
      </c>
      <c r="H1944" s="5" t="str">
        <f>IFERROR(IF(Portafolio_Proyectos!$AQ648="","",Portafolio_Proyectos!$E648),"")</f>
        <v/>
      </c>
    </row>
    <row r="1945" spans="1:8" x14ac:dyDescent="0.35">
      <c r="A1945" s="5" t="str">
        <f>IFERROR(IF(Portafolio_Proyectos!$AR648="","","CAP-"&amp;ROW()-1),"")</f>
        <v/>
      </c>
      <c r="B1945" s="5" t="str">
        <f>IFERROR(IF(Portafolio_Proyectos!$AR648="","",Portafolio_Proyectos!$AR648),"")</f>
        <v/>
      </c>
      <c r="C1945" s="5" t="str">
        <f>IFERROR(IF(Portafolio_Proyectos!$AR648="","","Distintiva"),"")</f>
        <v/>
      </c>
      <c r="D1945" s="5" t="str">
        <f>IFERROR(IF(Portafolio_Proyectos!$AR648="","",Portafolio_Proyectos!$C648),"")</f>
        <v/>
      </c>
      <c r="E1945" s="5" t="str">
        <f>IFERROR(IF(Portafolio_Proyectos!$AR648="","",Portafolio_Proyectos!$B648),"")</f>
        <v/>
      </c>
      <c r="F1945" s="5" t="str">
        <f>IFERROR(IF(Portafolio_Proyectos!$AR648="","",Portafolio_Proyectos!$D648),"")</f>
        <v/>
      </c>
      <c r="G1945" s="5" t="str">
        <f>IFERROR(IF(Portafolio_Proyectos!$AR648="","",Portafolio_Proyectos!$A648),"")</f>
        <v/>
      </c>
      <c r="H1945" s="5" t="str">
        <f>IFERROR(IF(Portafolio_Proyectos!$AR648="","",Portafolio_Proyectos!$E648),"")</f>
        <v/>
      </c>
    </row>
    <row r="1946" spans="1:8" x14ac:dyDescent="0.35">
      <c r="A1946" s="5" t="str">
        <f>IFERROR(IF(Portafolio_Proyectos!$AP649="","","CAP-"&amp;ROW()-1),"")</f>
        <v/>
      </c>
      <c r="B1946" s="5" t="str">
        <f>IFERROR(IF(Portafolio_Proyectos!$AP649="","",Portafolio_Proyectos!$AP649),"")</f>
        <v/>
      </c>
      <c r="C1946" s="5" t="str">
        <f>IFERROR(IF(Portafolio_Proyectos!$AP649="","","Emergente"),"")</f>
        <v/>
      </c>
      <c r="D1946" s="5" t="str">
        <f>IFERROR(IF(Portafolio_Proyectos!$AP649="","",Portafolio_Proyectos!$C649),"")</f>
        <v/>
      </c>
      <c r="E1946" s="5" t="str">
        <f>IFERROR(IF(Portafolio_Proyectos!$AP649="","",Portafolio_Proyectos!$B649),"")</f>
        <v/>
      </c>
      <c r="F1946" s="5" t="str">
        <f>IFERROR(IF(Portafolio_Proyectos!$AP649="","",Portafolio_Proyectos!$D649),"")</f>
        <v/>
      </c>
      <c r="G1946" s="5" t="str">
        <f>IFERROR(IF(Portafolio_Proyectos!$AP649="","",Portafolio_Proyectos!$A649),"")</f>
        <v/>
      </c>
      <c r="H1946" s="5" t="str">
        <f>IFERROR(IF(Portafolio_Proyectos!$AP649="","",Portafolio_Proyectos!$E649),"")</f>
        <v/>
      </c>
    </row>
    <row r="1947" spans="1:8" x14ac:dyDescent="0.35">
      <c r="A1947" s="5" t="str">
        <f>IFERROR(IF(Portafolio_Proyectos!$AQ649="","","CAP-"&amp;ROW()-1),"")</f>
        <v/>
      </c>
      <c r="B1947" s="5" t="str">
        <f>IFERROR(IF(Portafolio_Proyectos!$AQ649="","",Portafolio_Proyectos!$AQ649),"")</f>
        <v/>
      </c>
      <c r="C1947" s="5" t="str">
        <f>IFERROR(IF(Portafolio_Proyectos!$AQ649="","","Consolidada"),"")</f>
        <v/>
      </c>
      <c r="D1947" s="5" t="str">
        <f>IFERROR(IF(Portafolio_Proyectos!$AQ649="","",Portafolio_Proyectos!$C649),"")</f>
        <v/>
      </c>
      <c r="E1947" s="5" t="str">
        <f>IFERROR(IF(Portafolio_Proyectos!$AQ649="","",Portafolio_Proyectos!$B649),"")</f>
        <v/>
      </c>
      <c r="F1947" s="5" t="str">
        <f>IFERROR(IF(Portafolio_Proyectos!$AQ649="","",Portafolio_Proyectos!$D649),"")</f>
        <v/>
      </c>
      <c r="G1947" s="5" t="str">
        <f>IFERROR(IF(Portafolio_Proyectos!$AQ649="","",Portafolio_Proyectos!$A649),"")</f>
        <v/>
      </c>
      <c r="H1947" s="5" t="str">
        <f>IFERROR(IF(Portafolio_Proyectos!$AQ649="","",Portafolio_Proyectos!$E649),"")</f>
        <v/>
      </c>
    </row>
    <row r="1948" spans="1:8" x14ac:dyDescent="0.35">
      <c r="A1948" s="5" t="str">
        <f>IFERROR(IF(Portafolio_Proyectos!$AR649="","","CAP-"&amp;ROW()-1),"")</f>
        <v/>
      </c>
      <c r="B1948" s="5" t="str">
        <f>IFERROR(IF(Portafolio_Proyectos!$AR649="","",Portafolio_Proyectos!$AR649),"")</f>
        <v/>
      </c>
      <c r="C1948" s="5" t="str">
        <f>IFERROR(IF(Portafolio_Proyectos!$AR649="","","Distintiva"),"")</f>
        <v/>
      </c>
      <c r="D1948" s="5" t="str">
        <f>IFERROR(IF(Portafolio_Proyectos!$AR649="","",Portafolio_Proyectos!$C649),"")</f>
        <v/>
      </c>
      <c r="E1948" s="5" t="str">
        <f>IFERROR(IF(Portafolio_Proyectos!$AR649="","",Portafolio_Proyectos!$B649),"")</f>
        <v/>
      </c>
      <c r="F1948" s="5" t="str">
        <f>IFERROR(IF(Portafolio_Proyectos!$AR649="","",Portafolio_Proyectos!$D649),"")</f>
        <v/>
      </c>
      <c r="G1948" s="5" t="str">
        <f>IFERROR(IF(Portafolio_Proyectos!$AR649="","",Portafolio_Proyectos!$A649),"")</f>
        <v/>
      </c>
      <c r="H1948" s="5" t="str">
        <f>IFERROR(IF(Portafolio_Proyectos!$AR649="","",Portafolio_Proyectos!$E649),"")</f>
        <v/>
      </c>
    </row>
    <row r="1949" spans="1:8" x14ac:dyDescent="0.35">
      <c r="A1949" s="5" t="str">
        <f>IFERROR(IF(Portafolio_Proyectos!$AP650="","","CAP-"&amp;ROW()-1),"")</f>
        <v/>
      </c>
      <c r="B1949" s="5" t="str">
        <f>IFERROR(IF(Portafolio_Proyectos!$AP650="","",Portafolio_Proyectos!$AP650),"")</f>
        <v/>
      </c>
      <c r="C1949" s="5" t="str">
        <f>IFERROR(IF(Portafolio_Proyectos!$AP650="","","Emergente"),"")</f>
        <v/>
      </c>
      <c r="D1949" s="5" t="str">
        <f>IFERROR(IF(Portafolio_Proyectos!$AP650="","",Portafolio_Proyectos!$C650),"")</f>
        <v/>
      </c>
      <c r="E1949" s="5" t="str">
        <f>IFERROR(IF(Portafolio_Proyectos!$AP650="","",Portafolio_Proyectos!$B650),"")</f>
        <v/>
      </c>
      <c r="F1949" s="5" t="str">
        <f>IFERROR(IF(Portafolio_Proyectos!$AP650="","",Portafolio_Proyectos!$D650),"")</f>
        <v/>
      </c>
      <c r="G1949" s="5" t="str">
        <f>IFERROR(IF(Portafolio_Proyectos!$AP650="","",Portafolio_Proyectos!$A650),"")</f>
        <v/>
      </c>
      <c r="H1949" s="5" t="str">
        <f>IFERROR(IF(Portafolio_Proyectos!$AP650="","",Portafolio_Proyectos!$E650),"")</f>
        <v/>
      </c>
    </row>
    <row r="1950" spans="1:8" x14ac:dyDescent="0.35">
      <c r="A1950" s="5" t="str">
        <f>IFERROR(IF(Portafolio_Proyectos!$AQ650="","","CAP-"&amp;ROW()-1),"")</f>
        <v/>
      </c>
      <c r="B1950" s="5" t="str">
        <f>IFERROR(IF(Portafolio_Proyectos!$AQ650="","",Portafolio_Proyectos!$AQ650),"")</f>
        <v/>
      </c>
      <c r="C1950" s="5" t="str">
        <f>IFERROR(IF(Portafolio_Proyectos!$AQ650="","","Consolidada"),"")</f>
        <v/>
      </c>
      <c r="D1950" s="5" t="str">
        <f>IFERROR(IF(Portafolio_Proyectos!$AQ650="","",Portafolio_Proyectos!$C650),"")</f>
        <v/>
      </c>
      <c r="E1950" s="5" t="str">
        <f>IFERROR(IF(Portafolio_Proyectos!$AQ650="","",Portafolio_Proyectos!$B650),"")</f>
        <v/>
      </c>
      <c r="F1950" s="5" t="str">
        <f>IFERROR(IF(Portafolio_Proyectos!$AQ650="","",Portafolio_Proyectos!$D650),"")</f>
        <v/>
      </c>
      <c r="G1950" s="5" t="str">
        <f>IFERROR(IF(Portafolio_Proyectos!$AQ650="","",Portafolio_Proyectos!$A650),"")</f>
        <v/>
      </c>
      <c r="H1950" s="5" t="str">
        <f>IFERROR(IF(Portafolio_Proyectos!$AQ650="","",Portafolio_Proyectos!$E650),"")</f>
        <v/>
      </c>
    </row>
    <row r="1951" spans="1:8" x14ac:dyDescent="0.35">
      <c r="A1951" s="5" t="str">
        <f>IFERROR(IF(Portafolio_Proyectos!$AR650="","","CAP-"&amp;ROW()-1),"")</f>
        <v/>
      </c>
      <c r="B1951" s="5" t="str">
        <f>IFERROR(IF(Portafolio_Proyectos!$AR650="","",Portafolio_Proyectos!$AR650),"")</f>
        <v/>
      </c>
      <c r="C1951" s="5" t="str">
        <f>IFERROR(IF(Portafolio_Proyectos!$AR650="","","Distintiva"),"")</f>
        <v/>
      </c>
      <c r="D1951" s="5" t="str">
        <f>IFERROR(IF(Portafolio_Proyectos!$AR650="","",Portafolio_Proyectos!$C650),"")</f>
        <v/>
      </c>
      <c r="E1951" s="5" t="str">
        <f>IFERROR(IF(Portafolio_Proyectos!$AR650="","",Portafolio_Proyectos!$B650),"")</f>
        <v/>
      </c>
      <c r="F1951" s="5" t="str">
        <f>IFERROR(IF(Portafolio_Proyectos!$AR650="","",Portafolio_Proyectos!$D650),"")</f>
        <v/>
      </c>
      <c r="G1951" s="5" t="str">
        <f>IFERROR(IF(Portafolio_Proyectos!$AR650="","",Portafolio_Proyectos!$A650),"")</f>
        <v/>
      </c>
      <c r="H1951" s="5" t="str">
        <f>IFERROR(IF(Portafolio_Proyectos!$AR650="","",Portafolio_Proyectos!$E650),"")</f>
        <v/>
      </c>
    </row>
    <row r="1952" spans="1:8" x14ac:dyDescent="0.35">
      <c r="A1952" s="5" t="str">
        <f>IFERROR(IF(Portafolio_Proyectos!$AP651="","","CAP-"&amp;ROW()-1),"")</f>
        <v/>
      </c>
      <c r="B1952" s="5" t="str">
        <f>IFERROR(IF(Portafolio_Proyectos!$AP651="","",Portafolio_Proyectos!$AP651),"")</f>
        <v/>
      </c>
      <c r="C1952" s="5" t="str">
        <f>IFERROR(IF(Portafolio_Proyectos!$AP651="","","Emergente"),"")</f>
        <v/>
      </c>
      <c r="D1952" s="5" t="str">
        <f>IFERROR(IF(Portafolio_Proyectos!$AP651="","",Portafolio_Proyectos!$C651),"")</f>
        <v/>
      </c>
      <c r="E1952" s="5" t="str">
        <f>IFERROR(IF(Portafolio_Proyectos!$AP651="","",Portafolio_Proyectos!$B651),"")</f>
        <v/>
      </c>
      <c r="F1952" s="5" t="str">
        <f>IFERROR(IF(Portafolio_Proyectos!$AP651="","",Portafolio_Proyectos!$D651),"")</f>
        <v/>
      </c>
      <c r="G1952" s="5" t="str">
        <f>IFERROR(IF(Portafolio_Proyectos!$AP651="","",Portafolio_Proyectos!$A651),"")</f>
        <v/>
      </c>
      <c r="H1952" s="5" t="str">
        <f>IFERROR(IF(Portafolio_Proyectos!$AP651="","",Portafolio_Proyectos!$E651),"")</f>
        <v/>
      </c>
    </row>
    <row r="1953" spans="1:8" x14ac:dyDescent="0.35">
      <c r="A1953" s="5" t="str">
        <f>IFERROR(IF(Portafolio_Proyectos!$AQ651="","","CAP-"&amp;ROW()-1),"")</f>
        <v/>
      </c>
      <c r="B1953" s="5" t="str">
        <f>IFERROR(IF(Portafolio_Proyectos!$AQ651="","",Portafolio_Proyectos!$AQ651),"")</f>
        <v/>
      </c>
      <c r="C1953" s="5" t="str">
        <f>IFERROR(IF(Portafolio_Proyectos!$AQ651="","","Consolidada"),"")</f>
        <v/>
      </c>
      <c r="D1953" s="5" t="str">
        <f>IFERROR(IF(Portafolio_Proyectos!$AQ651="","",Portafolio_Proyectos!$C651),"")</f>
        <v/>
      </c>
      <c r="E1953" s="5" t="str">
        <f>IFERROR(IF(Portafolio_Proyectos!$AQ651="","",Portafolio_Proyectos!$B651),"")</f>
        <v/>
      </c>
      <c r="F1953" s="5" t="str">
        <f>IFERROR(IF(Portafolio_Proyectos!$AQ651="","",Portafolio_Proyectos!$D651),"")</f>
        <v/>
      </c>
      <c r="G1953" s="5" t="str">
        <f>IFERROR(IF(Portafolio_Proyectos!$AQ651="","",Portafolio_Proyectos!$A651),"")</f>
        <v/>
      </c>
      <c r="H1953" s="5" t="str">
        <f>IFERROR(IF(Portafolio_Proyectos!$AQ651="","",Portafolio_Proyectos!$E651),"")</f>
        <v/>
      </c>
    </row>
    <row r="1954" spans="1:8" x14ac:dyDescent="0.35">
      <c r="A1954" s="5" t="str">
        <f>IFERROR(IF(Portafolio_Proyectos!$AR651="","","CAP-"&amp;ROW()-1),"")</f>
        <v/>
      </c>
      <c r="B1954" s="5" t="str">
        <f>IFERROR(IF(Portafolio_Proyectos!$AR651="","",Portafolio_Proyectos!$AR651),"")</f>
        <v/>
      </c>
      <c r="C1954" s="5" t="str">
        <f>IFERROR(IF(Portafolio_Proyectos!$AR651="","","Distintiva"),"")</f>
        <v/>
      </c>
      <c r="D1954" s="5" t="str">
        <f>IFERROR(IF(Portafolio_Proyectos!$AR651="","",Portafolio_Proyectos!$C651),"")</f>
        <v/>
      </c>
      <c r="E1954" s="5" t="str">
        <f>IFERROR(IF(Portafolio_Proyectos!$AR651="","",Portafolio_Proyectos!$B651),"")</f>
        <v/>
      </c>
      <c r="F1954" s="5" t="str">
        <f>IFERROR(IF(Portafolio_Proyectos!$AR651="","",Portafolio_Proyectos!$D651),"")</f>
        <v/>
      </c>
      <c r="G1954" s="5" t="str">
        <f>IFERROR(IF(Portafolio_Proyectos!$AR651="","",Portafolio_Proyectos!$A651),"")</f>
        <v/>
      </c>
      <c r="H1954" s="5" t="str">
        <f>IFERROR(IF(Portafolio_Proyectos!$AR651="","",Portafolio_Proyectos!$E651),"")</f>
        <v/>
      </c>
    </row>
    <row r="1955" spans="1:8" x14ac:dyDescent="0.35">
      <c r="A1955" s="5" t="str">
        <f>IFERROR(IF(Portafolio_Proyectos!$AP652="","","CAP-"&amp;ROW()-1),"")</f>
        <v/>
      </c>
      <c r="B1955" s="5" t="str">
        <f>IFERROR(IF(Portafolio_Proyectos!$AP652="","",Portafolio_Proyectos!$AP652),"")</f>
        <v/>
      </c>
      <c r="C1955" s="5" t="str">
        <f>IFERROR(IF(Portafolio_Proyectos!$AP652="","","Emergente"),"")</f>
        <v/>
      </c>
      <c r="D1955" s="5" t="str">
        <f>IFERROR(IF(Portafolio_Proyectos!$AP652="","",Portafolio_Proyectos!$C652),"")</f>
        <v/>
      </c>
      <c r="E1955" s="5" t="str">
        <f>IFERROR(IF(Portafolio_Proyectos!$AP652="","",Portafolio_Proyectos!$B652),"")</f>
        <v/>
      </c>
      <c r="F1955" s="5" t="str">
        <f>IFERROR(IF(Portafolio_Proyectos!$AP652="","",Portafolio_Proyectos!$D652),"")</f>
        <v/>
      </c>
      <c r="G1955" s="5" t="str">
        <f>IFERROR(IF(Portafolio_Proyectos!$AP652="","",Portafolio_Proyectos!$A652),"")</f>
        <v/>
      </c>
      <c r="H1955" s="5" t="str">
        <f>IFERROR(IF(Portafolio_Proyectos!$AP652="","",Portafolio_Proyectos!$E652),"")</f>
        <v/>
      </c>
    </row>
    <row r="1956" spans="1:8" x14ac:dyDescent="0.35">
      <c r="A1956" s="5" t="str">
        <f>IFERROR(IF(Portafolio_Proyectos!$AQ652="","","CAP-"&amp;ROW()-1),"")</f>
        <v/>
      </c>
      <c r="B1956" s="5" t="str">
        <f>IFERROR(IF(Portafolio_Proyectos!$AQ652="","",Portafolio_Proyectos!$AQ652),"")</f>
        <v/>
      </c>
      <c r="C1956" s="5" t="str">
        <f>IFERROR(IF(Portafolio_Proyectos!$AQ652="","","Consolidada"),"")</f>
        <v/>
      </c>
      <c r="D1956" s="5" t="str">
        <f>IFERROR(IF(Portafolio_Proyectos!$AQ652="","",Portafolio_Proyectos!$C652),"")</f>
        <v/>
      </c>
      <c r="E1956" s="5" t="str">
        <f>IFERROR(IF(Portafolio_Proyectos!$AQ652="","",Portafolio_Proyectos!$B652),"")</f>
        <v/>
      </c>
      <c r="F1956" s="5" t="str">
        <f>IFERROR(IF(Portafolio_Proyectos!$AQ652="","",Portafolio_Proyectos!$D652),"")</f>
        <v/>
      </c>
      <c r="G1956" s="5" t="str">
        <f>IFERROR(IF(Portafolio_Proyectos!$AQ652="","",Portafolio_Proyectos!$A652),"")</f>
        <v/>
      </c>
      <c r="H1956" s="5" t="str">
        <f>IFERROR(IF(Portafolio_Proyectos!$AQ652="","",Portafolio_Proyectos!$E652),"")</f>
        <v/>
      </c>
    </row>
    <row r="1957" spans="1:8" x14ac:dyDescent="0.35">
      <c r="A1957" s="5" t="str">
        <f>IFERROR(IF(Portafolio_Proyectos!$AR652="","","CAP-"&amp;ROW()-1),"")</f>
        <v/>
      </c>
      <c r="B1957" s="5" t="str">
        <f>IFERROR(IF(Portafolio_Proyectos!$AR652="","",Portafolio_Proyectos!$AR652),"")</f>
        <v/>
      </c>
      <c r="C1957" s="5" t="str">
        <f>IFERROR(IF(Portafolio_Proyectos!$AR652="","","Distintiva"),"")</f>
        <v/>
      </c>
      <c r="D1957" s="5" t="str">
        <f>IFERROR(IF(Portafolio_Proyectos!$AR652="","",Portafolio_Proyectos!$C652),"")</f>
        <v/>
      </c>
      <c r="E1957" s="5" t="str">
        <f>IFERROR(IF(Portafolio_Proyectos!$AR652="","",Portafolio_Proyectos!$B652),"")</f>
        <v/>
      </c>
      <c r="F1957" s="5" t="str">
        <f>IFERROR(IF(Portafolio_Proyectos!$AR652="","",Portafolio_Proyectos!$D652),"")</f>
        <v/>
      </c>
      <c r="G1957" s="5" t="str">
        <f>IFERROR(IF(Portafolio_Proyectos!$AR652="","",Portafolio_Proyectos!$A652),"")</f>
        <v/>
      </c>
      <c r="H1957" s="5" t="str">
        <f>IFERROR(IF(Portafolio_Proyectos!$AR652="","",Portafolio_Proyectos!$E652),"")</f>
        <v/>
      </c>
    </row>
    <row r="1958" spans="1:8" x14ac:dyDescent="0.35">
      <c r="A1958" s="5" t="str">
        <f>IFERROR(IF(Portafolio_Proyectos!$AP653="","","CAP-"&amp;ROW()-1),"")</f>
        <v/>
      </c>
      <c r="B1958" s="5" t="str">
        <f>IFERROR(IF(Portafolio_Proyectos!$AP653="","",Portafolio_Proyectos!$AP653),"")</f>
        <v/>
      </c>
      <c r="C1958" s="5" t="str">
        <f>IFERROR(IF(Portafolio_Proyectos!$AP653="","","Emergente"),"")</f>
        <v/>
      </c>
      <c r="D1958" s="5" t="str">
        <f>IFERROR(IF(Portafolio_Proyectos!$AP653="","",Portafolio_Proyectos!$C653),"")</f>
        <v/>
      </c>
      <c r="E1958" s="5" t="str">
        <f>IFERROR(IF(Portafolio_Proyectos!$AP653="","",Portafolio_Proyectos!$B653),"")</f>
        <v/>
      </c>
      <c r="F1958" s="5" t="str">
        <f>IFERROR(IF(Portafolio_Proyectos!$AP653="","",Portafolio_Proyectos!$D653),"")</f>
        <v/>
      </c>
      <c r="G1958" s="5" t="str">
        <f>IFERROR(IF(Portafolio_Proyectos!$AP653="","",Portafolio_Proyectos!$A653),"")</f>
        <v/>
      </c>
      <c r="H1958" s="5" t="str">
        <f>IFERROR(IF(Portafolio_Proyectos!$AP653="","",Portafolio_Proyectos!$E653),"")</f>
        <v/>
      </c>
    </row>
    <row r="1959" spans="1:8" x14ac:dyDescent="0.35">
      <c r="A1959" s="5" t="str">
        <f>IFERROR(IF(Portafolio_Proyectos!$AQ653="","","CAP-"&amp;ROW()-1),"")</f>
        <v/>
      </c>
      <c r="B1959" s="5" t="str">
        <f>IFERROR(IF(Portafolio_Proyectos!$AQ653="","",Portafolio_Proyectos!$AQ653),"")</f>
        <v/>
      </c>
      <c r="C1959" s="5" t="str">
        <f>IFERROR(IF(Portafolio_Proyectos!$AQ653="","","Consolidada"),"")</f>
        <v/>
      </c>
      <c r="D1959" s="5" t="str">
        <f>IFERROR(IF(Portafolio_Proyectos!$AQ653="","",Portafolio_Proyectos!$C653),"")</f>
        <v/>
      </c>
      <c r="E1959" s="5" t="str">
        <f>IFERROR(IF(Portafolio_Proyectos!$AQ653="","",Portafolio_Proyectos!$B653),"")</f>
        <v/>
      </c>
      <c r="F1959" s="5" t="str">
        <f>IFERROR(IF(Portafolio_Proyectos!$AQ653="","",Portafolio_Proyectos!$D653),"")</f>
        <v/>
      </c>
      <c r="G1959" s="5" t="str">
        <f>IFERROR(IF(Portafolio_Proyectos!$AQ653="","",Portafolio_Proyectos!$A653),"")</f>
        <v/>
      </c>
      <c r="H1959" s="5" t="str">
        <f>IFERROR(IF(Portafolio_Proyectos!$AQ653="","",Portafolio_Proyectos!$E653),"")</f>
        <v/>
      </c>
    </row>
    <row r="1960" spans="1:8" x14ac:dyDescent="0.35">
      <c r="A1960" s="5" t="str">
        <f>IFERROR(IF(Portafolio_Proyectos!$AR653="","","CAP-"&amp;ROW()-1),"")</f>
        <v/>
      </c>
      <c r="B1960" s="5" t="str">
        <f>IFERROR(IF(Portafolio_Proyectos!$AR653="","",Portafolio_Proyectos!$AR653),"")</f>
        <v/>
      </c>
      <c r="C1960" s="5" t="str">
        <f>IFERROR(IF(Portafolio_Proyectos!$AR653="","","Distintiva"),"")</f>
        <v/>
      </c>
      <c r="D1960" s="5" t="str">
        <f>IFERROR(IF(Portafolio_Proyectos!$AR653="","",Portafolio_Proyectos!$C653),"")</f>
        <v/>
      </c>
      <c r="E1960" s="5" t="str">
        <f>IFERROR(IF(Portafolio_Proyectos!$AR653="","",Portafolio_Proyectos!$B653),"")</f>
        <v/>
      </c>
      <c r="F1960" s="5" t="str">
        <f>IFERROR(IF(Portafolio_Proyectos!$AR653="","",Portafolio_Proyectos!$D653),"")</f>
        <v/>
      </c>
      <c r="G1960" s="5" t="str">
        <f>IFERROR(IF(Portafolio_Proyectos!$AR653="","",Portafolio_Proyectos!$A653),"")</f>
        <v/>
      </c>
      <c r="H1960" s="5" t="str">
        <f>IFERROR(IF(Portafolio_Proyectos!$AR653="","",Portafolio_Proyectos!$E653),"")</f>
        <v/>
      </c>
    </row>
    <row r="1961" spans="1:8" x14ac:dyDescent="0.35">
      <c r="A1961" s="5" t="str">
        <f>IFERROR(IF(Portafolio_Proyectos!$AP654="","","CAP-"&amp;ROW()-1),"")</f>
        <v/>
      </c>
      <c r="B1961" s="5" t="str">
        <f>IFERROR(IF(Portafolio_Proyectos!$AP654="","",Portafolio_Proyectos!$AP654),"")</f>
        <v/>
      </c>
      <c r="C1961" s="5" t="str">
        <f>IFERROR(IF(Portafolio_Proyectos!$AP654="","","Emergente"),"")</f>
        <v/>
      </c>
      <c r="D1961" s="5" t="str">
        <f>IFERROR(IF(Portafolio_Proyectos!$AP654="","",Portafolio_Proyectos!$C654),"")</f>
        <v/>
      </c>
      <c r="E1961" s="5" t="str">
        <f>IFERROR(IF(Portafolio_Proyectos!$AP654="","",Portafolio_Proyectos!$B654),"")</f>
        <v/>
      </c>
      <c r="F1961" s="5" t="str">
        <f>IFERROR(IF(Portafolio_Proyectos!$AP654="","",Portafolio_Proyectos!$D654),"")</f>
        <v/>
      </c>
      <c r="G1961" s="5" t="str">
        <f>IFERROR(IF(Portafolio_Proyectos!$AP654="","",Portafolio_Proyectos!$A654),"")</f>
        <v/>
      </c>
      <c r="H1961" s="5" t="str">
        <f>IFERROR(IF(Portafolio_Proyectos!$AP654="","",Portafolio_Proyectos!$E654),"")</f>
        <v/>
      </c>
    </row>
    <row r="1962" spans="1:8" x14ac:dyDescent="0.35">
      <c r="A1962" s="5" t="str">
        <f>IFERROR(IF(Portafolio_Proyectos!$AQ654="","","CAP-"&amp;ROW()-1),"")</f>
        <v/>
      </c>
      <c r="B1962" s="5" t="str">
        <f>IFERROR(IF(Portafolio_Proyectos!$AQ654="","",Portafolio_Proyectos!$AQ654),"")</f>
        <v/>
      </c>
      <c r="C1962" s="5" t="str">
        <f>IFERROR(IF(Portafolio_Proyectos!$AQ654="","","Consolidada"),"")</f>
        <v/>
      </c>
      <c r="D1962" s="5" t="str">
        <f>IFERROR(IF(Portafolio_Proyectos!$AQ654="","",Portafolio_Proyectos!$C654),"")</f>
        <v/>
      </c>
      <c r="E1962" s="5" t="str">
        <f>IFERROR(IF(Portafolio_Proyectos!$AQ654="","",Portafolio_Proyectos!$B654),"")</f>
        <v/>
      </c>
      <c r="F1962" s="5" t="str">
        <f>IFERROR(IF(Portafolio_Proyectos!$AQ654="","",Portafolio_Proyectos!$D654),"")</f>
        <v/>
      </c>
      <c r="G1962" s="5" t="str">
        <f>IFERROR(IF(Portafolio_Proyectos!$AQ654="","",Portafolio_Proyectos!$A654),"")</f>
        <v/>
      </c>
      <c r="H1962" s="5" t="str">
        <f>IFERROR(IF(Portafolio_Proyectos!$AQ654="","",Portafolio_Proyectos!$E654),"")</f>
        <v/>
      </c>
    </row>
    <row r="1963" spans="1:8" x14ac:dyDescent="0.35">
      <c r="A1963" s="5" t="str">
        <f>IFERROR(IF(Portafolio_Proyectos!$AR654="","","CAP-"&amp;ROW()-1),"")</f>
        <v/>
      </c>
      <c r="B1963" s="5" t="str">
        <f>IFERROR(IF(Portafolio_Proyectos!$AR654="","",Portafolio_Proyectos!$AR654),"")</f>
        <v/>
      </c>
      <c r="C1963" s="5" t="str">
        <f>IFERROR(IF(Portafolio_Proyectos!$AR654="","","Distintiva"),"")</f>
        <v/>
      </c>
      <c r="D1963" s="5" t="str">
        <f>IFERROR(IF(Portafolio_Proyectos!$AR654="","",Portafolio_Proyectos!$C654),"")</f>
        <v/>
      </c>
      <c r="E1963" s="5" t="str">
        <f>IFERROR(IF(Portafolio_Proyectos!$AR654="","",Portafolio_Proyectos!$B654),"")</f>
        <v/>
      </c>
      <c r="F1963" s="5" t="str">
        <f>IFERROR(IF(Portafolio_Proyectos!$AR654="","",Portafolio_Proyectos!$D654),"")</f>
        <v/>
      </c>
      <c r="G1963" s="5" t="str">
        <f>IFERROR(IF(Portafolio_Proyectos!$AR654="","",Portafolio_Proyectos!$A654),"")</f>
        <v/>
      </c>
      <c r="H1963" s="5" t="str">
        <f>IFERROR(IF(Portafolio_Proyectos!$AR654="","",Portafolio_Proyectos!$E654),"")</f>
        <v/>
      </c>
    </row>
    <row r="1964" spans="1:8" x14ac:dyDescent="0.35">
      <c r="A1964" s="5" t="str">
        <f>IFERROR(IF(Portafolio_Proyectos!$AP655="","","CAP-"&amp;ROW()-1),"")</f>
        <v/>
      </c>
      <c r="B1964" s="5" t="str">
        <f>IFERROR(IF(Portafolio_Proyectos!$AP655="","",Portafolio_Proyectos!$AP655),"")</f>
        <v/>
      </c>
      <c r="C1964" s="5" t="str">
        <f>IFERROR(IF(Portafolio_Proyectos!$AP655="","","Emergente"),"")</f>
        <v/>
      </c>
      <c r="D1964" s="5" t="str">
        <f>IFERROR(IF(Portafolio_Proyectos!$AP655="","",Portafolio_Proyectos!$C655),"")</f>
        <v/>
      </c>
      <c r="E1964" s="5" t="str">
        <f>IFERROR(IF(Portafolio_Proyectos!$AP655="","",Portafolio_Proyectos!$B655),"")</f>
        <v/>
      </c>
      <c r="F1964" s="5" t="str">
        <f>IFERROR(IF(Portafolio_Proyectos!$AP655="","",Portafolio_Proyectos!$D655),"")</f>
        <v/>
      </c>
      <c r="G1964" s="5" t="str">
        <f>IFERROR(IF(Portafolio_Proyectos!$AP655="","",Portafolio_Proyectos!$A655),"")</f>
        <v/>
      </c>
      <c r="H1964" s="5" t="str">
        <f>IFERROR(IF(Portafolio_Proyectos!$AP655="","",Portafolio_Proyectos!$E655),"")</f>
        <v/>
      </c>
    </row>
    <row r="1965" spans="1:8" x14ac:dyDescent="0.35">
      <c r="A1965" s="5" t="str">
        <f>IFERROR(IF(Portafolio_Proyectos!$AQ655="","","CAP-"&amp;ROW()-1),"")</f>
        <v/>
      </c>
      <c r="B1965" s="5" t="str">
        <f>IFERROR(IF(Portafolio_Proyectos!$AQ655="","",Portafolio_Proyectos!$AQ655),"")</f>
        <v/>
      </c>
      <c r="C1965" s="5" t="str">
        <f>IFERROR(IF(Portafolio_Proyectos!$AQ655="","","Consolidada"),"")</f>
        <v/>
      </c>
      <c r="D1965" s="5" t="str">
        <f>IFERROR(IF(Portafolio_Proyectos!$AQ655="","",Portafolio_Proyectos!$C655),"")</f>
        <v/>
      </c>
      <c r="E1965" s="5" t="str">
        <f>IFERROR(IF(Portafolio_Proyectos!$AQ655="","",Portafolio_Proyectos!$B655),"")</f>
        <v/>
      </c>
      <c r="F1965" s="5" t="str">
        <f>IFERROR(IF(Portafolio_Proyectos!$AQ655="","",Portafolio_Proyectos!$D655),"")</f>
        <v/>
      </c>
      <c r="G1965" s="5" t="str">
        <f>IFERROR(IF(Portafolio_Proyectos!$AQ655="","",Portafolio_Proyectos!$A655),"")</f>
        <v/>
      </c>
      <c r="H1965" s="5" t="str">
        <f>IFERROR(IF(Portafolio_Proyectos!$AQ655="","",Portafolio_Proyectos!$E655),"")</f>
        <v/>
      </c>
    </row>
    <row r="1966" spans="1:8" x14ac:dyDescent="0.35">
      <c r="A1966" s="5" t="str">
        <f>IFERROR(IF(Portafolio_Proyectos!$AR655="","","CAP-"&amp;ROW()-1),"")</f>
        <v/>
      </c>
      <c r="B1966" s="5" t="str">
        <f>IFERROR(IF(Portafolio_Proyectos!$AR655="","",Portafolio_Proyectos!$AR655),"")</f>
        <v/>
      </c>
      <c r="C1966" s="5" t="str">
        <f>IFERROR(IF(Portafolio_Proyectos!$AR655="","","Distintiva"),"")</f>
        <v/>
      </c>
      <c r="D1966" s="5" t="str">
        <f>IFERROR(IF(Portafolio_Proyectos!$AR655="","",Portafolio_Proyectos!$C655),"")</f>
        <v/>
      </c>
      <c r="E1966" s="5" t="str">
        <f>IFERROR(IF(Portafolio_Proyectos!$AR655="","",Portafolio_Proyectos!$B655),"")</f>
        <v/>
      </c>
      <c r="F1966" s="5" t="str">
        <f>IFERROR(IF(Portafolio_Proyectos!$AR655="","",Portafolio_Proyectos!$D655),"")</f>
        <v/>
      </c>
      <c r="G1966" s="5" t="str">
        <f>IFERROR(IF(Portafolio_Proyectos!$AR655="","",Portafolio_Proyectos!$A655),"")</f>
        <v/>
      </c>
      <c r="H1966" s="5" t="str">
        <f>IFERROR(IF(Portafolio_Proyectos!$AR655="","",Portafolio_Proyectos!$E655),"")</f>
        <v/>
      </c>
    </row>
    <row r="1967" spans="1:8" x14ac:dyDescent="0.35">
      <c r="A1967" s="5" t="str">
        <f>IFERROR(IF(Portafolio_Proyectos!$AP656="","","CAP-"&amp;ROW()-1),"")</f>
        <v/>
      </c>
      <c r="B1967" s="5" t="str">
        <f>IFERROR(IF(Portafolio_Proyectos!$AP656="","",Portafolio_Proyectos!$AP656),"")</f>
        <v/>
      </c>
      <c r="C1967" s="5" t="str">
        <f>IFERROR(IF(Portafolio_Proyectos!$AP656="","","Emergente"),"")</f>
        <v/>
      </c>
      <c r="D1967" s="5" t="str">
        <f>IFERROR(IF(Portafolio_Proyectos!$AP656="","",Portafolio_Proyectos!$C656),"")</f>
        <v/>
      </c>
      <c r="E1967" s="5" t="str">
        <f>IFERROR(IF(Portafolio_Proyectos!$AP656="","",Portafolio_Proyectos!$B656),"")</f>
        <v/>
      </c>
      <c r="F1967" s="5" t="str">
        <f>IFERROR(IF(Portafolio_Proyectos!$AP656="","",Portafolio_Proyectos!$D656),"")</f>
        <v/>
      </c>
      <c r="G1967" s="5" t="str">
        <f>IFERROR(IF(Portafolio_Proyectos!$AP656="","",Portafolio_Proyectos!$A656),"")</f>
        <v/>
      </c>
      <c r="H1967" s="5" t="str">
        <f>IFERROR(IF(Portafolio_Proyectos!$AP656="","",Portafolio_Proyectos!$E656),"")</f>
        <v/>
      </c>
    </row>
    <row r="1968" spans="1:8" x14ac:dyDescent="0.35">
      <c r="A1968" s="5" t="str">
        <f>IFERROR(IF(Portafolio_Proyectos!$AQ656="","","CAP-"&amp;ROW()-1),"")</f>
        <v/>
      </c>
      <c r="B1968" s="5" t="str">
        <f>IFERROR(IF(Portafolio_Proyectos!$AQ656="","",Portafolio_Proyectos!$AQ656),"")</f>
        <v/>
      </c>
      <c r="C1968" s="5" t="str">
        <f>IFERROR(IF(Portafolio_Proyectos!$AQ656="","","Consolidada"),"")</f>
        <v/>
      </c>
      <c r="D1968" s="5" t="str">
        <f>IFERROR(IF(Portafolio_Proyectos!$AQ656="","",Portafolio_Proyectos!$C656),"")</f>
        <v/>
      </c>
      <c r="E1968" s="5" t="str">
        <f>IFERROR(IF(Portafolio_Proyectos!$AQ656="","",Portafolio_Proyectos!$B656),"")</f>
        <v/>
      </c>
      <c r="F1968" s="5" t="str">
        <f>IFERROR(IF(Portafolio_Proyectos!$AQ656="","",Portafolio_Proyectos!$D656),"")</f>
        <v/>
      </c>
      <c r="G1968" s="5" t="str">
        <f>IFERROR(IF(Portafolio_Proyectos!$AQ656="","",Portafolio_Proyectos!$A656),"")</f>
        <v/>
      </c>
      <c r="H1968" s="5" t="str">
        <f>IFERROR(IF(Portafolio_Proyectos!$AQ656="","",Portafolio_Proyectos!$E656),"")</f>
        <v/>
      </c>
    </row>
    <row r="1969" spans="1:8" x14ac:dyDescent="0.35">
      <c r="A1969" s="5" t="str">
        <f>IFERROR(IF(Portafolio_Proyectos!$AR656="","","CAP-"&amp;ROW()-1),"")</f>
        <v/>
      </c>
      <c r="B1969" s="5" t="str">
        <f>IFERROR(IF(Portafolio_Proyectos!$AR656="","",Portafolio_Proyectos!$AR656),"")</f>
        <v/>
      </c>
      <c r="C1969" s="5" t="str">
        <f>IFERROR(IF(Portafolio_Proyectos!$AR656="","","Distintiva"),"")</f>
        <v/>
      </c>
      <c r="D1969" s="5" t="str">
        <f>IFERROR(IF(Portafolio_Proyectos!$AR656="","",Portafolio_Proyectos!$C656),"")</f>
        <v/>
      </c>
      <c r="E1969" s="5" t="str">
        <f>IFERROR(IF(Portafolio_Proyectos!$AR656="","",Portafolio_Proyectos!$B656),"")</f>
        <v/>
      </c>
      <c r="F1969" s="5" t="str">
        <f>IFERROR(IF(Portafolio_Proyectos!$AR656="","",Portafolio_Proyectos!$D656),"")</f>
        <v/>
      </c>
      <c r="G1969" s="5" t="str">
        <f>IFERROR(IF(Portafolio_Proyectos!$AR656="","",Portafolio_Proyectos!$A656),"")</f>
        <v/>
      </c>
      <c r="H1969" s="5" t="str">
        <f>IFERROR(IF(Portafolio_Proyectos!$AR656="","",Portafolio_Proyectos!$E656),"")</f>
        <v/>
      </c>
    </row>
    <row r="1970" spans="1:8" x14ac:dyDescent="0.35">
      <c r="A1970" s="5" t="str">
        <f>IFERROR(IF(Portafolio_Proyectos!$AP657="","","CAP-"&amp;ROW()-1),"")</f>
        <v/>
      </c>
      <c r="B1970" s="5" t="str">
        <f>IFERROR(IF(Portafolio_Proyectos!$AP657="","",Portafolio_Proyectos!$AP657),"")</f>
        <v/>
      </c>
      <c r="C1970" s="5" t="str">
        <f>IFERROR(IF(Portafolio_Proyectos!$AP657="","","Emergente"),"")</f>
        <v/>
      </c>
      <c r="D1970" s="5" t="str">
        <f>IFERROR(IF(Portafolio_Proyectos!$AP657="","",Portafolio_Proyectos!$C657),"")</f>
        <v/>
      </c>
      <c r="E1970" s="5" t="str">
        <f>IFERROR(IF(Portafolio_Proyectos!$AP657="","",Portafolio_Proyectos!$B657),"")</f>
        <v/>
      </c>
      <c r="F1970" s="5" t="str">
        <f>IFERROR(IF(Portafolio_Proyectos!$AP657="","",Portafolio_Proyectos!$D657),"")</f>
        <v/>
      </c>
      <c r="G1970" s="5" t="str">
        <f>IFERROR(IF(Portafolio_Proyectos!$AP657="","",Portafolio_Proyectos!$A657),"")</f>
        <v/>
      </c>
      <c r="H1970" s="5" t="str">
        <f>IFERROR(IF(Portafolio_Proyectos!$AP657="","",Portafolio_Proyectos!$E657),"")</f>
        <v/>
      </c>
    </row>
    <row r="1971" spans="1:8" x14ac:dyDescent="0.35">
      <c r="A1971" s="5" t="str">
        <f>IFERROR(IF(Portafolio_Proyectos!$AQ657="","","CAP-"&amp;ROW()-1),"")</f>
        <v/>
      </c>
      <c r="B1971" s="5" t="str">
        <f>IFERROR(IF(Portafolio_Proyectos!$AQ657="","",Portafolio_Proyectos!$AQ657),"")</f>
        <v/>
      </c>
      <c r="C1971" s="5" t="str">
        <f>IFERROR(IF(Portafolio_Proyectos!$AQ657="","","Consolidada"),"")</f>
        <v/>
      </c>
      <c r="D1971" s="5" t="str">
        <f>IFERROR(IF(Portafolio_Proyectos!$AQ657="","",Portafolio_Proyectos!$C657),"")</f>
        <v/>
      </c>
      <c r="E1971" s="5" t="str">
        <f>IFERROR(IF(Portafolio_Proyectos!$AQ657="","",Portafolio_Proyectos!$B657),"")</f>
        <v/>
      </c>
      <c r="F1971" s="5" t="str">
        <f>IFERROR(IF(Portafolio_Proyectos!$AQ657="","",Portafolio_Proyectos!$D657),"")</f>
        <v/>
      </c>
      <c r="G1971" s="5" t="str">
        <f>IFERROR(IF(Portafolio_Proyectos!$AQ657="","",Portafolio_Proyectos!$A657),"")</f>
        <v/>
      </c>
      <c r="H1971" s="5" t="str">
        <f>IFERROR(IF(Portafolio_Proyectos!$AQ657="","",Portafolio_Proyectos!$E657),"")</f>
        <v/>
      </c>
    </row>
    <row r="1972" spans="1:8" x14ac:dyDescent="0.35">
      <c r="A1972" s="5" t="str">
        <f>IFERROR(IF(Portafolio_Proyectos!$AR657="","","CAP-"&amp;ROW()-1),"")</f>
        <v/>
      </c>
      <c r="B1972" s="5" t="str">
        <f>IFERROR(IF(Portafolio_Proyectos!$AR657="","",Portafolio_Proyectos!$AR657),"")</f>
        <v/>
      </c>
      <c r="C1972" s="5" t="str">
        <f>IFERROR(IF(Portafolio_Proyectos!$AR657="","","Distintiva"),"")</f>
        <v/>
      </c>
      <c r="D1972" s="5" t="str">
        <f>IFERROR(IF(Portafolio_Proyectos!$AR657="","",Portafolio_Proyectos!$C657),"")</f>
        <v/>
      </c>
      <c r="E1972" s="5" t="str">
        <f>IFERROR(IF(Portafolio_Proyectos!$AR657="","",Portafolio_Proyectos!$B657),"")</f>
        <v/>
      </c>
      <c r="F1972" s="5" t="str">
        <f>IFERROR(IF(Portafolio_Proyectos!$AR657="","",Portafolio_Proyectos!$D657),"")</f>
        <v/>
      </c>
      <c r="G1972" s="5" t="str">
        <f>IFERROR(IF(Portafolio_Proyectos!$AR657="","",Portafolio_Proyectos!$A657),"")</f>
        <v/>
      </c>
      <c r="H1972" s="5" t="str">
        <f>IFERROR(IF(Portafolio_Proyectos!$AR657="","",Portafolio_Proyectos!$E657),"")</f>
        <v/>
      </c>
    </row>
    <row r="1973" spans="1:8" x14ac:dyDescent="0.35">
      <c r="A1973" s="5" t="str">
        <f>IFERROR(IF(Portafolio_Proyectos!$AP658="","","CAP-"&amp;ROW()-1),"")</f>
        <v/>
      </c>
      <c r="B1973" s="5" t="str">
        <f>IFERROR(IF(Portafolio_Proyectos!$AP658="","",Portafolio_Proyectos!$AP658),"")</f>
        <v/>
      </c>
      <c r="C1973" s="5" t="str">
        <f>IFERROR(IF(Portafolio_Proyectos!$AP658="","","Emergente"),"")</f>
        <v/>
      </c>
      <c r="D1973" s="5" t="str">
        <f>IFERROR(IF(Portafolio_Proyectos!$AP658="","",Portafolio_Proyectos!$C658),"")</f>
        <v/>
      </c>
      <c r="E1973" s="5" t="str">
        <f>IFERROR(IF(Portafolio_Proyectos!$AP658="","",Portafolio_Proyectos!$B658),"")</f>
        <v/>
      </c>
      <c r="F1973" s="5" t="str">
        <f>IFERROR(IF(Portafolio_Proyectos!$AP658="","",Portafolio_Proyectos!$D658),"")</f>
        <v/>
      </c>
      <c r="G1973" s="5" t="str">
        <f>IFERROR(IF(Portafolio_Proyectos!$AP658="","",Portafolio_Proyectos!$A658),"")</f>
        <v/>
      </c>
      <c r="H1973" s="5" t="str">
        <f>IFERROR(IF(Portafolio_Proyectos!$AP658="","",Portafolio_Proyectos!$E658),"")</f>
        <v/>
      </c>
    </row>
    <row r="1974" spans="1:8" x14ac:dyDescent="0.35">
      <c r="A1974" s="5" t="str">
        <f>IFERROR(IF(Portafolio_Proyectos!$AQ658="","","CAP-"&amp;ROW()-1),"")</f>
        <v/>
      </c>
      <c r="B1974" s="5" t="str">
        <f>IFERROR(IF(Portafolio_Proyectos!$AQ658="","",Portafolio_Proyectos!$AQ658),"")</f>
        <v/>
      </c>
      <c r="C1974" s="5" t="str">
        <f>IFERROR(IF(Portafolio_Proyectos!$AQ658="","","Consolidada"),"")</f>
        <v/>
      </c>
      <c r="D1974" s="5" t="str">
        <f>IFERROR(IF(Portafolio_Proyectos!$AQ658="","",Portafolio_Proyectos!$C658),"")</f>
        <v/>
      </c>
      <c r="E1974" s="5" t="str">
        <f>IFERROR(IF(Portafolio_Proyectos!$AQ658="","",Portafolio_Proyectos!$B658),"")</f>
        <v/>
      </c>
      <c r="F1974" s="5" t="str">
        <f>IFERROR(IF(Portafolio_Proyectos!$AQ658="","",Portafolio_Proyectos!$D658),"")</f>
        <v/>
      </c>
      <c r="G1974" s="5" t="str">
        <f>IFERROR(IF(Portafolio_Proyectos!$AQ658="","",Portafolio_Proyectos!$A658),"")</f>
        <v/>
      </c>
      <c r="H1974" s="5" t="str">
        <f>IFERROR(IF(Portafolio_Proyectos!$AQ658="","",Portafolio_Proyectos!$E658),"")</f>
        <v/>
      </c>
    </row>
    <row r="1975" spans="1:8" x14ac:dyDescent="0.35">
      <c r="A1975" s="5" t="str">
        <f>IFERROR(IF(Portafolio_Proyectos!$AR658="","","CAP-"&amp;ROW()-1),"")</f>
        <v/>
      </c>
      <c r="B1975" s="5" t="str">
        <f>IFERROR(IF(Portafolio_Proyectos!$AR658="","",Portafolio_Proyectos!$AR658),"")</f>
        <v/>
      </c>
      <c r="C1975" s="5" t="str">
        <f>IFERROR(IF(Portafolio_Proyectos!$AR658="","","Distintiva"),"")</f>
        <v/>
      </c>
      <c r="D1975" s="5" t="str">
        <f>IFERROR(IF(Portafolio_Proyectos!$AR658="","",Portafolio_Proyectos!$C658),"")</f>
        <v/>
      </c>
      <c r="E1975" s="5" t="str">
        <f>IFERROR(IF(Portafolio_Proyectos!$AR658="","",Portafolio_Proyectos!$B658),"")</f>
        <v/>
      </c>
      <c r="F1975" s="5" t="str">
        <f>IFERROR(IF(Portafolio_Proyectos!$AR658="","",Portafolio_Proyectos!$D658),"")</f>
        <v/>
      </c>
      <c r="G1975" s="5" t="str">
        <f>IFERROR(IF(Portafolio_Proyectos!$AR658="","",Portafolio_Proyectos!$A658),"")</f>
        <v/>
      </c>
      <c r="H1975" s="5" t="str">
        <f>IFERROR(IF(Portafolio_Proyectos!$AR658="","",Portafolio_Proyectos!$E658),"")</f>
        <v/>
      </c>
    </row>
    <row r="1976" spans="1:8" x14ac:dyDescent="0.35">
      <c r="A1976" s="5" t="str">
        <f>IFERROR(IF(Portafolio_Proyectos!$AP659="","","CAP-"&amp;ROW()-1),"")</f>
        <v/>
      </c>
      <c r="B1976" s="5" t="str">
        <f>IFERROR(IF(Portafolio_Proyectos!$AP659="","",Portafolio_Proyectos!$AP659),"")</f>
        <v/>
      </c>
      <c r="C1976" s="5" t="str">
        <f>IFERROR(IF(Portafolio_Proyectos!$AP659="","","Emergente"),"")</f>
        <v/>
      </c>
      <c r="D1976" s="5" t="str">
        <f>IFERROR(IF(Portafolio_Proyectos!$AP659="","",Portafolio_Proyectos!$C659),"")</f>
        <v/>
      </c>
      <c r="E1976" s="5" t="str">
        <f>IFERROR(IF(Portafolio_Proyectos!$AP659="","",Portafolio_Proyectos!$B659),"")</f>
        <v/>
      </c>
      <c r="F1976" s="5" t="str">
        <f>IFERROR(IF(Portafolio_Proyectos!$AP659="","",Portafolio_Proyectos!$D659),"")</f>
        <v/>
      </c>
      <c r="G1976" s="5" t="str">
        <f>IFERROR(IF(Portafolio_Proyectos!$AP659="","",Portafolio_Proyectos!$A659),"")</f>
        <v/>
      </c>
      <c r="H1976" s="5" t="str">
        <f>IFERROR(IF(Portafolio_Proyectos!$AP659="","",Portafolio_Proyectos!$E659),"")</f>
        <v/>
      </c>
    </row>
    <row r="1977" spans="1:8" x14ac:dyDescent="0.35">
      <c r="A1977" s="5" t="str">
        <f>IFERROR(IF(Portafolio_Proyectos!$AQ659="","","CAP-"&amp;ROW()-1),"")</f>
        <v/>
      </c>
      <c r="B1977" s="5" t="str">
        <f>IFERROR(IF(Portafolio_Proyectos!$AQ659="","",Portafolio_Proyectos!$AQ659),"")</f>
        <v/>
      </c>
      <c r="C1977" s="5" t="str">
        <f>IFERROR(IF(Portafolio_Proyectos!$AQ659="","","Consolidada"),"")</f>
        <v/>
      </c>
      <c r="D1977" s="5" t="str">
        <f>IFERROR(IF(Portafolio_Proyectos!$AQ659="","",Portafolio_Proyectos!$C659),"")</f>
        <v/>
      </c>
      <c r="E1977" s="5" t="str">
        <f>IFERROR(IF(Portafolio_Proyectos!$AQ659="","",Portafolio_Proyectos!$B659),"")</f>
        <v/>
      </c>
      <c r="F1977" s="5" t="str">
        <f>IFERROR(IF(Portafolio_Proyectos!$AQ659="","",Portafolio_Proyectos!$D659),"")</f>
        <v/>
      </c>
      <c r="G1977" s="5" t="str">
        <f>IFERROR(IF(Portafolio_Proyectos!$AQ659="","",Portafolio_Proyectos!$A659),"")</f>
        <v/>
      </c>
      <c r="H1977" s="5" t="str">
        <f>IFERROR(IF(Portafolio_Proyectos!$AQ659="","",Portafolio_Proyectos!$E659),"")</f>
        <v/>
      </c>
    </row>
    <row r="1978" spans="1:8" x14ac:dyDescent="0.35">
      <c r="A1978" s="5" t="str">
        <f>IFERROR(IF(Portafolio_Proyectos!$AR659="","","CAP-"&amp;ROW()-1),"")</f>
        <v/>
      </c>
      <c r="B1978" s="5" t="str">
        <f>IFERROR(IF(Portafolio_Proyectos!$AR659="","",Portafolio_Proyectos!$AR659),"")</f>
        <v/>
      </c>
      <c r="C1978" s="5" t="str">
        <f>IFERROR(IF(Portafolio_Proyectos!$AR659="","","Distintiva"),"")</f>
        <v/>
      </c>
      <c r="D1978" s="5" t="str">
        <f>IFERROR(IF(Portafolio_Proyectos!$AR659="","",Portafolio_Proyectos!$C659),"")</f>
        <v/>
      </c>
      <c r="E1978" s="5" t="str">
        <f>IFERROR(IF(Portafolio_Proyectos!$AR659="","",Portafolio_Proyectos!$B659),"")</f>
        <v/>
      </c>
      <c r="F1978" s="5" t="str">
        <f>IFERROR(IF(Portafolio_Proyectos!$AR659="","",Portafolio_Proyectos!$D659),"")</f>
        <v/>
      </c>
      <c r="G1978" s="5" t="str">
        <f>IFERROR(IF(Portafolio_Proyectos!$AR659="","",Portafolio_Proyectos!$A659),"")</f>
        <v/>
      </c>
      <c r="H1978" s="5" t="str">
        <f>IFERROR(IF(Portafolio_Proyectos!$AR659="","",Portafolio_Proyectos!$E659),"")</f>
        <v/>
      </c>
    </row>
    <row r="1979" spans="1:8" x14ac:dyDescent="0.35">
      <c r="A1979" s="5" t="str">
        <f>IFERROR(IF(Portafolio_Proyectos!$AP660="","","CAP-"&amp;ROW()-1),"")</f>
        <v/>
      </c>
      <c r="B1979" s="5" t="str">
        <f>IFERROR(IF(Portafolio_Proyectos!$AP660="","",Portafolio_Proyectos!$AP660),"")</f>
        <v/>
      </c>
      <c r="C1979" s="5" t="str">
        <f>IFERROR(IF(Portafolio_Proyectos!$AP660="","","Emergente"),"")</f>
        <v/>
      </c>
      <c r="D1979" s="5" t="str">
        <f>IFERROR(IF(Portafolio_Proyectos!$AP660="","",Portafolio_Proyectos!$C660),"")</f>
        <v/>
      </c>
      <c r="E1979" s="5" t="str">
        <f>IFERROR(IF(Portafolio_Proyectos!$AP660="","",Portafolio_Proyectos!$B660),"")</f>
        <v/>
      </c>
      <c r="F1979" s="5" t="str">
        <f>IFERROR(IF(Portafolio_Proyectos!$AP660="","",Portafolio_Proyectos!$D660),"")</f>
        <v/>
      </c>
      <c r="G1979" s="5" t="str">
        <f>IFERROR(IF(Portafolio_Proyectos!$AP660="","",Portafolio_Proyectos!$A660),"")</f>
        <v/>
      </c>
      <c r="H1979" s="5" t="str">
        <f>IFERROR(IF(Portafolio_Proyectos!$AP660="","",Portafolio_Proyectos!$E660),"")</f>
        <v/>
      </c>
    </row>
    <row r="1980" spans="1:8" x14ac:dyDescent="0.35">
      <c r="A1980" s="5" t="str">
        <f>IFERROR(IF(Portafolio_Proyectos!$AQ660="","","CAP-"&amp;ROW()-1),"")</f>
        <v/>
      </c>
      <c r="B1980" s="5" t="str">
        <f>IFERROR(IF(Portafolio_Proyectos!$AQ660="","",Portafolio_Proyectos!$AQ660),"")</f>
        <v/>
      </c>
      <c r="C1980" s="5" t="str">
        <f>IFERROR(IF(Portafolio_Proyectos!$AQ660="","","Consolidada"),"")</f>
        <v/>
      </c>
      <c r="D1980" s="5" t="str">
        <f>IFERROR(IF(Portafolio_Proyectos!$AQ660="","",Portafolio_Proyectos!$C660),"")</f>
        <v/>
      </c>
      <c r="E1980" s="5" t="str">
        <f>IFERROR(IF(Portafolio_Proyectos!$AQ660="","",Portafolio_Proyectos!$B660),"")</f>
        <v/>
      </c>
      <c r="F1980" s="5" t="str">
        <f>IFERROR(IF(Portafolio_Proyectos!$AQ660="","",Portafolio_Proyectos!$D660),"")</f>
        <v/>
      </c>
      <c r="G1980" s="5" t="str">
        <f>IFERROR(IF(Portafolio_Proyectos!$AQ660="","",Portafolio_Proyectos!$A660),"")</f>
        <v/>
      </c>
      <c r="H1980" s="5" t="str">
        <f>IFERROR(IF(Portafolio_Proyectos!$AQ660="","",Portafolio_Proyectos!$E660),"")</f>
        <v/>
      </c>
    </row>
    <row r="1981" spans="1:8" x14ac:dyDescent="0.35">
      <c r="A1981" s="5" t="str">
        <f>IFERROR(IF(Portafolio_Proyectos!$AR660="","","CAP-"&amp;ROW()-1),"")</f>
        <v/>
      </c>
      <c r="B1981" s="5" t="str">
        <f>IFERROR(IF(Portafolio_Proyectos!$AR660="","",Portafolio_Proyectos!$AR660),"")</f>
        <v/>
      </c>
      <c r="C1981" s="5" t="str">
        <f>IFERROR(IF(Portafolio_Proyectos!$AR660="","","Distintiva"),"")</f>
        <v/>
      </c>
      <c r="D1981" s="5" t="str">
        <f>IFERROR(IF(Portafolio_Proyectos!$AR660="","",Portafolio_Proyectos!$C660),"")</f>
        <v/>
      </c>
      <c r="E1981" s="5" t="str">
        <f>IFERROR(IF(Portafolio_Proyectos!$AR660="","",Portafolio_Proyectos!$B660),"")</f>
        <v/>
      </c>
      <c r="F1981" s="5" t="str">
        <f>IFERROR(IF(Portafolio_Proyectos!$AR660="","",Portafolio_Proyectos!$D660),"")</f>
        <v/>
      </c>
      <c r="G1981" s="5" t="str">
        <f>IFERROR(IF(Portafolio_Proyectos!$AR660="","",Portafolio_Proyectos!$A660),"")</f>
        <v/>
      </c>
      <c r="H1981" s="5" t="str">
        <f>IFERROR(IF(Portafolio_Proyectos!$AR660="","",Portafolio_Proyectos!$E660),"")</f>
        <v/>
      </c>
    </row>
    <row r="1982" spans="1:8" x14ac:dyDescent="0.35">
      <c r="A1982" s="5" t="str">
        <f>IFERROR(IF(Portafolio_Proyectos!$AP661="","","CAP-"&amp;ROW()-1),"")</f>
        <v/>
      </c>
      <c r="B1982" s="5" t="str">
        <f>IFERROR(IF(Portafolio_Proyectos!$AP661="","",Portafolio_Proyectos!$AP661),"")</f>
        <v/>
      </c>
      <c r="C1982" s="5" t="str">
        <f>IFERROR(IF(Portafolio_Proyectos!$AP661="","","Emergente"),"")</f>
        <v/>
      </c>
      <c r="D1982" s="5" t="str">
        <f>IFERROR(IF(Portafolio_Proyectos!$AP661="","",Portafolio_Proyectos!$C661),"")</f>
        <v/>
      </c>
      <c r="E1982" s="5" t="str">
        <f>IFERROR(IF(Portafolio_Proyectos!$AP661="","",Portafolio_Proyectos!$B661),"")</f>
        <v/>
      </c>
      <c r="F1982" s="5" t="str">
        <f>IFERROR(IF(Portafolio_Proyectos!$AP661="","",Portafolio_Proyectos!$D661),"")</f>
        <v/>
      </c>
      <c r="G1982" s="5" t="str">
        <f>IFERROR(IF(Portafolio_Proyectos!$AP661="","",Portafolio_Proyectos!$A661),"")</f>
        <v/>
      </c>
      <c r="H1982" s="5" t="str">
        <f>IFERROR(IF(Portafolio_Proyectos!$AP661="","",Portafolio_Proyectos!$E661),"")</f>
        <v/>
      </c>
    </row>
    <row r="1983" spans="1:8" x14ac:dyDescent="0.35">
      <c r="A1983" s="5" t="str">
        <f>IFERROR(IF(Portafolio_Proyectos!$AQ661="","","CAP-"&amp;ROW()-1),"")</f>
        <v/>
      </c>
      <c r="B1983" s="5" t="str">
        <f>IFERROR(IF(Portafolio_Proyectos!$AQ661="","",Portafolio_Proyectos!$AQ661),"")</f>
        <v/>
      </c>
      <c r="C1983" s="5" t="str">
        <f>IFERROR(IF(Portafolio_Proyectos!$AQ661="","","Consolidada"),"")</f>
        <v/>
      </c>
      <c r="D1983" s="5" t="str">
        <f>IFERROR(IF(Portafolio_Proyectos!$AQ661="","",Portafolio_Proyectos!$C661),"")</f>
        <v/>
      </c>
      <c r="E1983" s="5" t="str">
        <f>IFERROR(IF(Portafolio_Proyectos!$AQ661="","",Portafolio_Proyectos!$B661),"")</f>
        <v/>
      </c>
      <c r="F1983" s="5" t="str">
        <f>IFERROR(IF(Portafolio_Proyectos!$AQ661="","",Portafolio_Proyectos!$D661),"")</f>
        <v/>
      </c>
      <c r="G1983" s="5" t="str">
        <f>IFERROR(IF(Portafolio_Proyectos!$AQ661="","",Portafolio_Proyectos!$A661),"")</f>
        <v/>
      </c>
      <c r="H1983" s="5" t="str">
        <f>IFERROR(IF(Portafolio_Proyectos!$AQ661="","",Portafolio_Proyectos!$E661),"")</f>
        <v/>
      </c>
    </row>
    <row r="1984" spans="1:8" x14ac:dyDescent="0.35">
      <c r="A1984" s="5" t="str">
        <f>IFERROR(IF(Portafolio_Proyectos!$AR661="","","CAP-"&amp;ROW()-1),"")</f>
        <v/>
      </c>
      <c r="B1984" s="5" t="str">
        <f>IFERROR(IF(Portafolio_Proyectos!$AR661="","",Portafolio_Proyectos!$AR661),"")</f>
        <v/>
      </c>
      <c r="C1984" s="5" t="str">
        <f>IFERROR(IF(Portafolio_Proyectos!$AR661="","","Distintiva"),"")</f>
        <v/>
      </c>
      <c r="D1984" s="5" t="str">
        <f>IFERROR(IF(Portafolio_Proyectos!$AR661="","",Portafolio_Proyectos!$C661),"")</f>
        <v/>
      </c>
      <c r="E1984" s="5" t="str">
        <f>IFERROR(IF(Portafolio_Proyectos!$AR661="","",Portafolio_Proyectos!$B661),"")</f>
        <v/>
      </c>
      <c r="F1984" s="5" t="str">
        <f>IFERROR(IF(Portafolio_Proyectos!$AR661="","",Portafolio_Proyectos!$D661),"")</f>
        <v/>
      </c>
      <c r="G1984" s="5" t="str">
        <f>IFERROR(IF(Portafolio_Proyectos!$AR661="","",Portafolio_Proyectos!$A661),"")</f>
        <v/>
      </c>
      <c r="H1984" s="5" t="str">
        <f>IFERROR(IF(Portafolio_Proyectos!$AR661="","",Portafolio_Proyectos!$E661),"")</f>
        <v/>
      </c>
    </row>
    <row r="1985" spans="1:8" x14ac:dyDescent="0.35">
      <c r="A1985" s="5" t="str">
        <f>IFERROR(IF(Portafolio_Proyectos!$AP662="","","CAP-"&amp;ROW()-1),"")</f>
        <v/>
      </c>
      <c r="B1985" s="5" t="str">
        <f>IFERROR(IF(Portafolio_Proyectos!$AP662="","",Portafolio_Proyectos!$AP662),"")</f>
        <v/>
      </c>
      <c r="C1985" s="5" t="str">
        <f>IFERROR(IF(Portafolio_Proyectos!$AP662="","","Emergente"),"")</f>
        <v/>
      </c>
      <c r="D1985" s="5" t="str">
        <f>IFERROR(IF(Portafolio_Proyectos!$AP662="","",Portafolio_Proyectos!$C662),"")</f>
        <v/>
      </c>
      <c r="E1985" s="5" t="str">
        <f>IFERROR(IF(Portafolio_Proyectos!$AP662="","",Portafolio_Proyectos!$B662),"")</f>
        <v/>
      </c>
      <c r="F1985" s="5" t="str">
        <f>IFERROR(IF(Portafolio_Proyectos!$AP662="","",Portafolio_Proyectos!$D662),"")</f>
        <v/>
      </c>
      <c r="G1985" s="5" t="str">
        <f>IFERROR(IF(Portafolio_Proyectos!$AP662="","",Portafolio_Proyectos!$A662),"")</f>
        <v/>
      </c>
      <c r="H1985" s="5" t="str">
        <f>IFERROR(IF(Portafolio_Proyectos!$AP662="","",Portafolio_Proyectos!$E662),"")</f>
        <v/>
      </c>
    </row>
    <row r="1986" spans="1:8" x14ac:dyDescent="0.35">
      <c r="A1986" s="5" t="str">
        <f>IFERROR(IF(Portafolio_Proyectos!$AQ662="","","CAP-"&amp;ROW()-1),"")</f>
        <v/>
      </c>
      <c r="B1986" s="5" t="str">
        <f>IFERROR(IF(Portafolio_Proyectos!$AQ662="","",Portafolio_Proyectos!$AQ662),"")</f>
        <v/>
      </c>
      <c r="C1986" s="5" t="str">
        <f>IFERROR(IF(Portafolio_Proyectos!$AQ662="","","Consolidada"),"")</f>
        <v/>
      </c>
      <c r="D1986" s="5" t="str">
        <f>IFERROR(IF(Portafolio_Proyectos!$AQ662="","",Portafolio_Proyectos!$C662),"")</f>
        <v/>
      </c>
      <c r="E1986" s="5" t="str">
        <f>IFERROR(IF(Portafolio_Proyectos!$AQ662="","",Portafolio_Proyectos!$B662),"")</f>
        <v/>
      </c>
      <c r="F1986" s="5" t="str">
        <f>IFERROR(IF(Portafolio_Proyectos!$AQ662="","",Portafolio_Proyectos!$D662),"")</f>
        <v/>
      </c>
      <c r="G1986" s="5" t="str">
        <f>IFERROR(IF(Portafolio_Proyectos!$AQ662="","",Portafolio_Proyectos!$A662),"")</f>
        <v/>
      </c>
      <c r="H1986" s="5" t="str">
        <f>IFERROR(IF(Portafolio_Proyectos!$AQ662="","",Portafolio_Proyectos!$E662),"")</f>
        <v/>
      </c>
    </row>
    <row r="1987" spans="1:8" x14ac:dyDescent="0.35">
      <c r="A1987" s="5" t="str">
        <f>IFERROR(IF(Portafolio_Proyectos!$AR662="","","CAP-"&amp;ROW()-1),"")</f>
        <v/>
      </c>
      <c r="B1987" s="5" t="str">
        <f>IFERROR(IF(Portafolio_Proyectos!$AR662="","",Portafolio_Proyectos!$AR662),"")</f>
        <v/>
      </c>
      <c r="C1987" s="5" t="str">
        <f>IFERROR(IF(Portafolio_Proyectos!$AR662="","","Distintiva"),"")</f>
        <v/>
      </c>
      <c r="D1987" s="5" t="str">
        <f>IFERROR(IF(Portafolio_Proyectos!$AR662="","",Portafolio_Proyectos!$C662),"")</f>
        <v/>
      </c>
      <c r="E1987" s="5" t="str">
        <f>IFERROR(IF(Portafolio_Proyectos!$AR662="","",Portafolio_Proyectos!$B662),"")</f>
        <v/>
      </c>
      <c r="F1987" s="5" t="str">
        <f>IFERROR(IF(Portafolio_Proyectos!$AR662="","",Portafolio_Proyectos!$D662),"")</f>
        <v/>
      </c>
      <c r="G1987" s="5" t="str">
        <f>IFERROR(IF(Portafolio_Proyectos!$AR662="","",Portafolio_Proyectos!$A662),"")</f>
        <v/>
      </c>
      <c r="H1987" s="5" t="str">
        <f>IFERROR(IF(Portafolio_Proyectos!$AR662="","",Portafolio_Proyectos!$E662),"")</f>
        <v/>
      </c>
    </row>
    <row r="1988" spans="1:8" x14ac:dyDescent="0.35">
      <c r="A1988" s="5" t="str">
        <f>IFERROR(IF(Portafolio_Proyectos!$AP663="","","CAP-"&amp;ROW()-1),"")</f>
        <v/>
      </c>
      <c r="B1988" s="5" t="str">
        <f>IFERROR(IF(Portafolio_Proyectos!$AP663="","",Portafolio_Proyectos!$AP663),"")</f>
        <v/>
      </c>
      <c r="C1988" s="5" t="str">
        <f>IFERROR(IF(Portafolio_Proyectos!$AP663="","","Emergente"),"")</f>
        <v/>
      </c>
      <c r="D1988" s="5" t="str">
        <f>IFERROR(IF(Portafolio_Proyectos!$AP663="","",Portafolio_Proyectos!$C663),"")</f>
        <v/>
      </c>
      <c r="E1988" s="5" t="str">
        <f>IFERROR(IF(Portafolio_Proyectos!$AP663="","",Portafolio_Proyectos!$B663),"")</f>
        <v/>
      </c>
      <c r="F1988" s="5" t="str">
        <f>IFERROR(IF(Portafolio_Proyectos!$AP663="","",Portafolio_Proyectos!$D663),"")</f>
        <v/>
      </c>
      <c r="G1988" s="5" t="str">
        <f>IFERROR(IF(Portafolio_Proyectos!$AP663="","",Portafolio_Proyectos!$A663),"")</f>
        <v/>
      </c>
      <c r="H1988" s="5" t="str">
        <f>IFERROR(IF(Portafolio_Proyectos!$AP663="","",Portafolio_Proyectos!$E663),"")</f>
        <v/>
      </c>
    </row>
    <row r="1989" spans="1:8" x14ac:dyDescent="0.35">
      <c r="A1989" s="5" t="str">
        <f>IFERROR(IF(Portafolio_Proyectos!$AQ663="","","CAP-"&amp;ROW()-1),"")</f>
        <v/>
      </c>
      <c r="B1989" s="5" t="str">
        <f>IFERROR(IF(Portafolio_Proyectos!$AQ663="","",Portafolio_Proyectos!$AQ663),"")</f>
        <v/>
      </c>
      <c r="C1989" s="5" t="str">
        <f>IFERROR(IF(Portafolio_Proyectos!$AQ663="","","Consolidada"),"")</f>
        <v/>
      </c>
      <c r="D1989" s="5" t="str">
        <f>IFERROR(IF(Portafolio_Proyectos!$AQ663="","",Portafolio_Proyectos!$C663),"")</f>
        <v/>
      </c>
      <c r="E1989" s="5" t="str">
        <f>IFERROR(IF(Portafolio_Proyectos!$AQ663="","",Portafolio_Proyectos!$B663),"")</f>
        <v/>
      </c>
      <c r="F1989" s="5" t="str">
        <f>IFERROR(IF(Portafolio_Proyectos!$AQ663="","",Portafolio_Proyectos!$D663),"")</f>
        <v/>
      </c>
      <c r="G1989" s="5" t="str">
        <f>IFERROR(IF(Portafolio_Proyectos!$AQ663="","",Portafolio_Proyectos!$A663),"")</f>
        <v/>
      </c>
      <c r="H1989" s="5" t="str">
        <f>IFERROR(IF(Portafolio_Proyectos!$AQ663="","",Portafolio_Proyectos!$E663),"")</f>
        <v/>
      </c>
    </row>
    <row r="1990" spans="1:8" x14ac:dyDescent="0.35">
      <c r="A1990" s="5" t="str">
        <f>IFERROR(IF(Portafolio_Proyectos!$AR663="","","CAP-"&amp;ROW()-1),"")</f>
        <v/>
      </c>
      <c r="B1990" s="5" t="str">
        <f>IFERROR(IF(Portafolio_Proyectos!$AR663="","",Portafolio_Proyectos!$AR663),"")</f>
        <v/>
      </c>
      <c r="C1990" s="5" t="str">
        <f>IFERROR(IF(Portafolio_Proyectos!$AR663="","","Distintiva"),"")</f>
        <v/>
      </c>
      <c r="D1990" s="5" t="str">
        <f>IFERROR(IF(Portafolio_Proyectos!$AR663="","",Portafolio_Proyectos!$C663),"")</f>
        <v/>
      </c>
      <c r="E1990" s="5" t="str">
        <f>IFERROR(IF(Portafolio_Proyectos!$AR663="","",Portafolio_Proyectos!$B663),"")</f>
        <v/>
      </c>
      <c r="F1990" s="5" t="str">
        <f>IFERROR(IF(Portafolio_Proyectos!$AR663="","",Portafolio_Proyectos!$D663),"")</f>
        <v/>
      </c>
      <c r="G1990" s="5" t="str">
        <f>IFERROR(IF(Portafolio_Proyectos!$AR663="","",Portafolio_Proyectos!$A663),"")</f>
        <v/>
      </c>
      <c r="H1990" s="5" t="str">
        <f>IFERROR(IF(Portafolio_Proyectos!$AR663="","",Portafolio_Proyectos!$E663),"")</f>
        <v/>
      </c>
    </row>
    <row r="1991" spans="1:8" x14ac:dyDescent="0.35">
      <c r="A1991" s="5" t="str">
        <f>IFERROR(IF(Portafolio_Proyectos!$AP664="","","CAP-"&amp;ROW()-1),"")</f>
        <v/>
      </c>
      <c r="B1991" s="5" t="str">
        <f>IFERROR(IF(Portafolio_Proyectos!$AP664="","",Portafolio_Proyectos!$AP664),"")</f>
        <v/>
      </c>
      <c r="C1991" s="5" t="str">
        <f>IFERROR(IF(Portafolio_Proyectos!$AP664="","","Emergente"),"")</f>
        <v/>
      </c>
      <c r="D1991" s="5" t="str">
        <f>IFERROR(IF(Portafolio_Proyectos!$AP664="","",Portafolio_Proyectos!$C664),"")</f>
        <v/>
      </c>
      <c r="E1991" s="5" t="str">
        <f>IFERROR(IF(Portafolio_Proyectos!$AP664="","",Portafolio_Proyectos!$B664),"")</f>
        <v/>
      </c>
      <c r="F1991" s="5" t="str">
        <f>IFERROR(IF(Portafolio_Proyectos!$AP664="","",Portafolio_Proyectos!$D664),"")</f>
        <v/>
      </c>
      <c r="G1991" s="5" t="str">
        <f>IFERROR(IF(Portafolio_Proyectos!$AP664="","",Portafolio_Proyectos!$A664),"")</f>
        <v/>
      </c>
      <c r="H1991" s="5" t="str">
        <f>IFERROR(IF(Portafolio_Proyectos!$AP664="","",Portafolio_Proyectos!$E664),"")</f>
        <v/>
      </c>
    </row>
    <row r="1992" spans="1:8" x14ac:dyDescent="0.35">
      <c r="A1992" s="5" t="str">
        <f>IFERROR(IF(Portafolio_Proyectos!$AQ664="","","CAP-"&amp;ROW()-1),"")</f>
        <v/>
      </c>
      <c r="B1992" s="5" t="str">
        <f>IFERROR(IF(Portafolio_Proyectos!$AQ664="","",Portafolio_Proyectos!$AQ664),"")</f>
        <v/>
      </c>
      <c r="C1992" s="5" t="str">
        <f>IFERROR(IF(Portafolio_Proyectos!$AQ664="","","Consolidada"),"")</f>
        <v/>
      </c>
      <c r="D1992" s="5" t="str">
        <f>IFERROR(IF(Portafolio_Proyectos!$AQ664="","",Portafolio_Proyectos!$C664),"")</f>
        <v/>
      </c>
      <c r="E1992" s="5" t="str">
        <f>IFERROR(IF(Portafolio_Proyectos!$AQ664="","",Portafolio_Proyectos!$B664),"")</f>
        <v/>
      </c>
      <c r="F1992" s="5" t="str">
        <f>IFERROR(IF(Portafolio_Proyectos!$AQ664="","",Portafolio_Proyectos!$D664),"")</f>
        <v/>
      </c>
      <c r="G1992" s="5" t="str">
        <f>IFERROR(IF(Portafolio_Proyectos!$AQ664="","",Portafolio_Proyectos!$A664),"")</f>
        <v/>
      </c>
      <c r="H1992" s="5" t="str">
        <f>IFERROR(IF(Portafolio_Proyectos!$AQ664="","",Portafolio_Proyectos!$E664),"")</f>
        <v/>
      </c>
    </row>
    <row r="1993" spans="1:8" x14ac:dyDescent="0.35">
      <c r="A1993" s="5" t="str">
        <f>IFERROR(IF(Portafolio_Proyectos!$AR664="","","CAP-"&amp;ROW()-1),"")</f>
        <v/>
      </c>
      <c r="B1993" s="5" t="str">
        <f>IFERROR(IF(Portafolio_Proyectos!$AR664="","",Portafolio_Proyectos!$AR664),"")</f>
        <v/>
      </c>
      <c r="C1993" s="5" t="str">
        <f>IFERROR(IF(Portafolio_Proyectos!$AR664="","","Distintiva"),"")</f>
        <v/>
      </c>
      <c r="D1993" s="5" t="str">
        <f>IFERROR(IF(Portafolio_Proyectos!$AR664="","",Portafolio_Proyectos!$C664),"")</f>
        <v/>
      </c>
      <c r="E1993" s="5" t="str">
        <f>IFERROR(IF(Portafolio_Proyectos!$AR664="","",Portafolio_Proyectos!$B664),"")</f>
        <v/>
      </c>
      <c r="F1993" s="5" t="str">
        <f>IFERROR(IF(Portafolio_Proyectos!$AR664="","",Portafolio_Proyectos!$D664),"")</f>
        <v/>
      </c>
      <c r="G1993" s="5" t="str">
        <f>IFERROR(IF(Portafolio_Proyectos!$AR664="","",Portafolio_Proyectos!$A664),"")</f>
        <v/>
      </c>
      <c r="H1993" s="5" t="str">
        <f>IFERROR(IF(Portafolio_Proyectos!$AR664="","",Portafolio_Proyectos!$E664),"")</f>
        <v/>
      </c>
    </row>
    <row r="1994" spans="1:8" x14ac:dyDescent="0.35">
      <c r="A1994" s="5" t="str">
        <f>IFERROR(IF(Portafolio_Proyectos!$AP665="","","CAP-"&amp;ROW()-1),"")</f>
        <v/>
      </c>
      <c r="B1994" s="5" t="str">
        <f>IFERROR(IF(Portafolio_Proyectos!$AP665="","",Portafolio_Proyectos!$AP665),"")</f>
        <v/>
      </c>
      <c r="C1994" s="5" t="str">
        <f>IFERROR(IF(Portafolio_Proyectos!$AP665="","","Emergente"),"")</f>
        <v/>
      </c>
      <c r="D1994" s="5" t="str">
        <f>IFERROR(IF(Portafolio_Proyectos!$AP665="","",Portafolio_Proyectos!$C665),"")</f>
        <v/>
      </c>
      <c r="E1994" s="5" t="str">
        <f>IFERROR(IF(Portafolio_Proyectos!$AP665="","",Portafolio_Proyectos!$B665),"")</f>
        <v/>
      </c>
      <c r="F1994" s="5" t="str">
        <f>IFERROR(IF(Portafolio_Proyectos!$AP665="","",Portafolio_Proyectos!$D665),"")</f>
        <v/>
      </c>
      <c r="G1994" s="5" t="str">
        <f>IFERROR(IF(Portafolio_Proyectos!$AP665="","",Portafolio_Proyectos!$A665),"")</f>
        <v/>
      </c>
      <c r="H1994" s="5" t="str">
        <f>IFERROR(IF(Portafolio_Proyectos!$AP665="","",Portafolio_Proyectos!$E665),"")</f>
        <v/>
      </c>
    </row>
    <row r="1995" spans="1:8" x14ac:dyDescent="0.35">
      <c r="A1995" s="5" t="str">
        <f>IFERROR(IF(Portafolio_Proyectos!$AQ665="","","CAP-"&amp;ROW()-1),"")</f>
        <v/>
      </c>
      <c r="B1995" s="5" t="str">
        <f>IFERROR(IF(Portafolio_Proyectos!$AQ665="","",Portafolio_Proyectos!$AQ665),"")</f>
        <v/>
      </c>
      <c r="C1995" s="5" t="str">
        <f>IFERROR(IF(Portafolio_Proyectos!$AQ665="","","Consolidada"),"")</f>
        <v/>
      </c>
      <c r="D1995" s="5" t="str">
        <f>IFERROR(IF(Portafolio_Proyectos!$AQ665="","",Portafolio_Proyectos!$C665),"")</f>
        <v/>
      </c>
      <c r="E1995" s="5" t="str">
        <f>IFERROR(IF(Portafolio_Proyectos!$AQ665="","",Portafolio_Proyectos!$B665),"")</f>
        <v/>
      </c>
      <c r="F1995" s="5" t="str">
        <f>IFERROR(IF(Portafolio_Proyectos!$AQ665="","",Portafolio_Proyectos!$D665),"")</f>
        <v/>
      </c>
      <c r="G1995" s="5" t="str">
        <f>IFERROR(IF(Portafolio_Proyectos!$AQ665="","",Portafolio_Proyectos!$A665),"")</f>
        <v/>
      </c>
      <c r="H1995" s="5" t="str">
        <f>IFERROR(IF(Portafolio_Proyectos!$AQ665="","",Portafolio_Proyectos!$E665),"")</f>
        <v/>
      </c>
    </row>
    <row r="1996" spans="1:8" x14ac:dyDescent="0.35">
      <c r="A1996" s="5" t="str">
        <f>IFERROR(IF(Portafolio_Proyectos!$AR665="","","CAP-"&amp;ROW()-1),"")</f>
        <v/>
      </c>
      <c r="B1996" s="5" t="str">
        <f>IFERROR(IF(Portafolio_Proyectos!$AR665="","",Portafolio_Proyectos!$AR665),"")</f>
        <v/>
      </c>
      <c r="C1996" s="5" t="str">
        <f>IFERROR(IF(Portafolio_Proyectos!$AR665="","","Distintiva"),"")</f>
        <v/>
      </c>
      <c r="D1996" s="5" t="str">
        <f>IFERROR(IF(Portafolio_Proyectos!$AR665="","",Portafolio_Proyectos!$C665),"")</f>
        <v/>
      </c>
      <c r="E1996" s="5" t="str">
        <f>IFERROR(IF(Portafolio_Proyectos!$AR665="","",Portafolio_Proyectos!$B665),"")</f>
        <v/>
      </c>
      <c r="F1996" s="5" t="str">
        <f>IFERROR(IF(Portafolio_Proyectos!$AR665="","",Portafolio_Proyectos!$D665),"")</f>
        <v/>
      </c>
      <c r="G1996" s="5" t="str">
        <f>IFERROR(IF(Portafolio_Proyectos!$AR665="","",Portafolio_Proyectos!$A665),"")</f>
        <v/>
      </c>
      <c r="H1996" s="5" t="str">
        <f>IFERROR(IF(Portafolio_Proyectos!$AR665="","",Portafolio_Proyectos!$E665),"")</f>
        <v/>
      </c>
    </row>
    <row r="1997" spans="1:8" x14ac:dyDescent="0.35">
      <c r="A1997" s="5" t="str">
        <f>IFERROR(IF(Portafolio_Proyectos!$AP666="","","CAP-"&amp;ROW()-1),"")</f>
        <v/>
      </c>
      <c r="B1997" s="5" t="str">
        <f>IFERROR(IF(Portafolio_Proyectos!$AP666="","",Portafolio_Proyectos!$AP666),"")</f>
        <v/>
      </c>
      <c r="C1997" s="5" t="str">
        <f>IFERROR(IF(Portafolio_Proyectos!$AP666="","","Emergente"),"")</f>
        <v/>
      </c>
      <c r="D1997" s="5" t="str">
        <f>IFERROR(IF(Portafolio_Proyectos!$AP666="","",Portafolio_Proyectos!$C666),"")</f>
        <v/>
      </c>
      <c r="E1997" s="5" t="str">
        <f>IFERROR(IF(Portafolio_Proyectos!$AP666="","",Portafolio_Proyectos!$B666),"")</f>
        <v/>
      </c>
      <c r="F1997" s="5" t="str">
        <f>IFERROR(IF(Portafolio_Proyectos!$AP666="","",Portafolio_Proyectos!$D666),"")</f>
        <v/>
      </c>
      <c r="G1997" s="5" t="str">
        <f>IFERROR(IF(Portafolio_Proyectos!$AP666="","",Portafolio_Proyectos!$A666),"")</f>
        <v/>
      </c>
      <c r="H1997" s="5" t="str">
        <f>IFERROR(IF(Portafolio_Proyectos!$AP666="","",Portafolio_Proyectos!$E666),"")</f>
        <v/>
      </c>
    </row>
    <row r="1998" spans="1:8" x14ac:dyDescent="0.35">
      <c r="A1998" s="5" t="str">
        <f>IFERROR(IF(Portafolio_Proyectos!$AQ666="","","CAP-"&amp;ROW()-1),"")</f>
        <v/>
      </c>
      <c r="B1998" s="5" t="str">
        <f>IFERROR(IF(Portafolio_Proyectos!$AQ666="","",Portafolio_Proyectos!$AQ666),"")</f>
        <v/>
      </c>
      <c r="C1998" s="5" t="str">
        <f>IFERROR(IF(Portafolio_Proyectos!$AQ666="","","Consolidada"),"")</f>
        <v/>
      </c>
      <c r="D1998" s="5" t="str">
        <f>IFERROR(IF(Portafolio_Proyectos!$AQ666="","",Portafolio_Proyectos!$C666),"")</f>
        <v/>
      </c>
      <c r="E1998" s="5" t="str">
        <f>IFERROR(IF(Portafolio_Proyectos!$AQ666="","",Portafolio_Proyectos!$B666),"")</f>
        <v/>
      </c>
      <c r="F1998" s="5" t="str">
        <f>IFERROR(IF(Portafolio_Proyectos!$AQ666="","",Portafolio_Proyectos!$D666),"")</f>
        <v/>
      </c>
      <c r="G1998" s="5" t="str">
        <f>IFERROR(IF(Portafolio_Proyectos!$AQ666="","",Portafolio_Proyectos!$A666),"")</f>
        <v/>
      </c>
      <c r="H1998" s="5" t="str">
        <f>IFERROR(IF(Portafolio_Proyectos!$AQ666="","",Portafolio_Proyectos!$E666),"")</f>
        <v/>
      </c>
    </row>
    <row r="1999" spans="1:8" x14ac:dyDescent="0.35">
      <c r="A1999" s="5" t="str">
        <f>IFERROR(IF(Portafolio_Proyectos!$AR666="","","CAP-"&amp;ROW()-1),"")</f>
        <v/>
      </c>
      <c r="B1999" s="5" t="str">
        <f>IFERROR(IF(Portafolio_Proyectos!$AR666="","",Portafolio_Proyectos!$AR666),"")</f>
        <v/>
      </c>
      <c r="C1999" s="5" t="str">
        <f>IFERROR(IF(Portafolio_Proyectos!$AR666="","","Distintiva"),"")</f>
        <v/>
      </c>
      <c r="D1999" s="5" t="str">
        <f>IFERROR(IF(Portafolio_Proyectos!$AR666="","",Portafolio_Proyectos!$C666),"")</f>
        <v/>
      </c>
      <c r="E1999" s="5" t="str">
        <f>IFERROR(IF(Portafolio_Proyectos!$AR666="","",Portafolio_Proyectos!$B666),"")</f>
        <v/>
      </c>
      <c r="F1999" s="5" t="str">
        <f>IFERROR(IF(Portafolio_Proyectos!$AR666="","",Portafolio_Proyectos!$D666),"")</f>
        <v/>
      </c>
      <c r="G1999" s="5" t="str">
        <f>IFERROR(IF(Portafolio_Proyectos!$AR666="","",Portafolio_Proyectos!$A666),"")</f>
        <v/>
      </c>
      <c r="H1999" s="5" t="str">
        <f>IFERROR(IF(Portafolio_Proyectos!$AR666="","",Portafolio_Proyectos!$E666),"")</f>
        <v/>
      </c>
    </row>
    <row r="2000" spans="1:8" x14ac:dyDescent="0.35">
      <c r="A2000" s="5" t="str">
        <f>IFERROR(IF(Portafolio_Proyectos!$AP667="","","CAP-"&amp;ROW()-1),"")</f>
        <v/>
      </c>
      <c r="B2000" s="5" t="str">
        <f>IFERROR(IF(Portafolio_Proyectos!$AP667="","",Portafolio_Proyectos!$AP667),"")</f>
        <v/>
      </c>
      <c r="C2000" s="5" t="str">
        <f>IFERROR(IF(Portafolio_Proyectos!$AP667="","","Emergente"),"")</f>
        <v/>
      </c>
      <c r="D2000" s="5" t="str">
        <f>IFERROR(IF(Portafolio_Proyectos!$AP667="","",Portafolio_Proyectos!$C667),"")</f>
        <v/>
      </c>
      <c r="E2000" s="5" t="str">
        <f>IFERROR(IF(Portafolio_Proyectos!$AP667="","",Portafolio_Proyectos!$B667),"")</f>
        <v/>
      </c>
      <c r="F2000" s="5" t="str">
        <f>IFERROR(IF(Portafolio_Proyectos!$AP667="","",Portafolio_Proyectos!$D667),"")</f>
        <v/>
      </c>
      <c r="G2000" s="5" t="str">
        <f>IFERROR(IF(Portafolio_Proyectos!$AP667="","",Portafolio_Proyectos!$A667),"")</f>
        <v/>
      </c>
      <c r="H2000" s="5" t="str">
        <f>IFERROR(IF(Portafolio_Proyectos!$AP667="","",Portafolio_Proyectos!$E667),"")</f>
        <v/>
      </c>
    </row>
    <row r="2001" spans="1:8" x14ac:dyDescent="0.35">
      <c r="A2001" s="5" t="str">
        <f>IFERROR(IF(Portafolio_Proyectos!$AQ667="","","CAP-"&amp;ROW()-1),"")</f>
        <v/>
      </c>
      <c r="B2001" s="5" t="str">
        <f>IFERROR(IF(Portafolio_Proyectos!$AQ667="","",Portafolio_Proyectos!$AQ667),"")</f>
        <v/>
      </c>
      <c r="C2001" s="5" t="str">
        <f>IFERROR(IF(Portafolio_Proyectos!$AQ667="","","Consolidada"),"")</f>
        <v/>
      </c>
      <c r="D2001" s="5" t="str">
        <f>IFERROR(IF(Portafolio_Proyectos!$AQ667="","",Portafolio_Proyectos!$C667),"")</f>
        <v/>
      </c>
      <c r="E2001" s="5" t="str">
        <f>IFERROR(IF(Portafolio_Proyectos!$AQ667="","",Portafolio_Proyectos!$B667),"")</f>
        <v/>
      </c>
      <c r="F2001" s="5" t="str">
        <f>IFERROR(IF(Portafolio_Proyectos!$AQ667="","",Portafolio_Proyectos!$D667),"")</f>
        <v/>
      </c>
      <c r="G2001" s="5" t="str">
        <f>IFERROR(IF(Portafolio_Proyectos!$AQ667="","",Portafolio_Proyectos!$A667),"")</f>
        <v/>
      </c>
      <c r="H2001" s="5" t="str">
        <f>IFERROR(IF(Portafolio_Proyectos!$AQ667="","",Portafolio_Proyectos!$E667),"")</f>
        <v/>
      </c>
    </row>
    <row r="2002" spans="1:8" x14ac:dyDescent="0.35">
      <c r="A2002" s="5" t="str">
        <f>IFERROR(IF(Portafolio_Proyectos!$AR667="","","CAP-"&amp;ROW()-1),"")</f>
        <v/>
      </c>
      <c r="B2002" s="5" t="str">
        <f>IFERROR(IF(Portafolio_Proyectos!$AR667="","",Portafolio_Proyectos!$AR667),"")</f>
        <v/>
      </c>
      <c r="C2002" s="5" t="str">
        <f>IFERROR(IF(Portafolio_Proyectos!$AR667="","","Distintiva"),"")</f>
        <v/>
      </c>
      <c r="D2002" s="5" t="str">
        <f>IFERROR(IF(Portafolio_Proyectos!$AR667="","",Portafolio_Proyectos!$C667),"")</f>
        <v/>
      </c>
      <c r="E2002" s="5" t="str">
        <f>IFERROR(IF(Portafolio_Proyectos!$AR667="","",Portafolio_Proyectos!$B667),"")</f>
        <v/>
      </c>
      <c r="F2002" s="5" t="str">
        <f>IFERROR(IF(Portafolio_Proyectos!$AR667="","",Portafolio_Proyectos!$D667),"")</f>
        <v/>
      </c>
      <c r="G2002" s="5" t="str">
        <f>IFERROR(IF(Portafolio_Proyectos!$AR667="","",Portafolio_Proyectos!$A667),"")</f>
        <v/>
      </c>
      <c r="H2002" s="5" t="str">
        <f>IFERROR(IF(Portafolio_Proyectos!$AR667="","",Portafolio_Proyectos!$E667),"")</f>
        <v/>
      </c>
    </row>
    <row r="2003" spans="1:8" x14ac:dyDescent="0.35">
      <c r="A2003" s="5" t="str">
        <f>IFERROR(IF(Portafolio_Proyectos!$AP668="","","CAP-"&amp;ROW()-1),"")</f>
        <v/>
      </c>
      <c r="B2003" s="5" t="str">
        <f>IFERROR(IF(Portafolio_Proyectos!$AP668="","",Portafolio_Proyectos!$AP668),"")</f>
        <v/>
      </c>
      <c r="C2003" s="5" t="str">
        <f>IFERROR(IF(Portafolio_Proyectos!$AP668="","","Emergente"),"")</f>
        <v/>
      </c>
      <c r="D2003" s="5" t="str">
        <f>IFERROR(IF(Portafolio_Proyectos!$AP668="","",Portafolio_Proyectos!$C668),"")</f>
        <v/>
      </c>
      <c r="E2003" s="5" t="str">
        <f>IFERROR(IF(Portafolio_Proyectos!$AP668="","",Portafolio_Proyectos!$B668),"")</f>
        <v/>
      </c>
      <c r="F2003" s="5" t="str">
        <f>IFERROR(IF(Portafolio_Proyectos!$AP668="","",Portafolio_Proyectos!$D668),"")</f>
        <v/>
      </c>
      <c r="G2003" s="5" t="str">
        <f>IFERROR(IF(Portafolio_Proyectos!$AP668="","",Portafolio_Proyectos!$A668),"")</f>
        <v/>
      </c>
      <c r="H2003" s="5" t="str">
        <f>IFERROR(IF(Portafolio_Proyectos!$AP668="","",Portafolio_Proyectos!$E668),"")</f>
        <v/>
      </c>
    </row>
    <row r="2004" spans="1:8" x14ac:dyDescent="0.35">
      <c r="A2004" s="5" t="str">
        <f>IFERROR(IF(Portafolio_Proyectos!$AQ668="","","CAP-"&amp;ROW()-1),"")</f>
        <v/>
      </c>
      <c r="B2004" s="5" t="str">
        <f>IFERROR(IF(Portafolio_Proyectos!$AQ668="","",Portafolio_Proyectos!$AQ668),"")</f>
        <v/>
      </c>
      <c r="C2004" s="5" t="str">
        <f>IFERROR(IF(Portafolio_Proyectos!$AQ668="","","Consolidada"),"")</f>
        <v/>
      </c>
      <c r="D2004" s="5" t="str">
        <f>IFERROR(IF(Portafolio_Proyectos!$AQ668="","",Portafolio_Proyectos!$C668),"")</f>
        <v/>
      </c>
      <c r="E2004" s="5" t="str">
        <f>IFERROR(IF(Portafolio_Proyectos!$AQ668="","",Portafolio_Proyectos!$B668),"")</f>
        <v/>
      </c>
      <c r="F2004" s="5" t="str">
        <f>IFERROR(IF(Portafolio_Proyectos!$AQ668="","",Portafolio_Proyectos!$D668),"")</f>
        <v/>
      </c>
      <c r="G2004" s="5" t="str">
        <f>IFERROR(IF(Portafolio_Proyectos!$AQ668="","",Portafolio_Proyectos!$A668),"")</f>
        <v/>
      </c>
      <c r="H2004" s="5" t="str">
        <f>IFERROR(IF(Portafolio_Proyectos!$AQ668="","",Portafolio_Proyectos!$E668),"")</f>
        <v/>
      </c>
    </row>
    <row r="2005" spans="1:8" x14ac:dyDescent="0.35">
      <c r="A2005" s="5" t="str">
        <f>IFERROR(IF(Portafolio_Proyectos!$AR668="","","CAP-"&amp;ROW()-1),"")</f>
        <v/>
      </c>
      <c r="B2005" s="5" t="str">
        <f>IFERROR(IF(Portafolio_Proyectos!$AR668="","",Portafolio_Proyectos!$AR668),"")</f>
        <v/>
      </c>
      <c r="C2005" s="5" t="str">
        <f>IFERROR(IF(Portafolio_Proyectos!$AR668="","","Distintiva"),"")</f>
        <v/>
      </c>
      <c r="D2005" s="5" t="str">
        <f>IFERROR(IF(Portafolio_Proyectos!$AR668="","",Portafolio_Proyectos!$C668),"")</f>
        <v/>
      </c>
      <c r="E2005" s="5" t="str">
        <f>IFERROR(IF(Portafolio_Proyectos!$AR668="","",Portafolio_Proyectos!$B668),"")</f>
        <v/>
      </c>
      <c r="F2005" s="5" t="str">
        <f>IFERROR(IF(Portafolio_Proyectos!$AR668="","",Portafolio_Proyectos!$D668),"")</f>
        <v/>
      </c>
      <c r="G2005" s="5" t="str">
        <f>IFERROR(IF(Portafolio_Proyectos!$AR668="","",Portafolio_Proyectos!$A668),"")</f>
        <v/>
      </c>
      <c r="H2005" s="5" t="str">
        <f>IFERROR(IF(Portafolio_Proyectos!$AR668="","",Portafolio_Proyectos!$E668),"")</f>
        <v/>
      </c>
    </row>
    <row r="2006" spans="1:8" x14ac:dyDescent="0.35">
      <c r="A2006" s="5" t="str">
        <f>IFERROR(IF(Portafolio_Proyectos!$AP669="","","CAP-"&amp;ROW()-1),"")</f>
        <v/>
      </c>
      <c r="B2006" s="5" t="str">
        <f>IFERROR(IF(Portafolio_Proyectos!$AP669="","",Portafolio_Proyectos!$AP669),"")</f>
        <v/>
      </c>
      <c r="C2006" s="5" t="str">
        <f>IFERROR(IF(Portafolio_Proyectos!$AP669="","","Emergente"),"")</f>
        <v/>
      </c>
      <c r="D2006" s="5" t="str">
        <f>IFERROR(IF(Portafolio_Proyectos!$AP669="","",Portafolio_Proyectos!$C669),"")</f>
        <v/>
      </c>
      <c r="E2006" s="5" t="str">
        <f>IFERROR(IF(Portafolio_Proyectos!$AP669="","",Portafolio_Proyectos!$B669),"")</f>
        <v/>
      </c>
      <c r="F2006" s="5" t="str">
        <f>IFERROR(IF(Portafolio_Proyectos!$AP669="","",Portafolio_Proyectos!$D669),"")</f>
        <v/>
      </c>
      <c r="G2006" s="5" t="str">
        <f>IFERROR(IF(Portafolio_Proyectos!$AP669="","",Portafolio_Proyectos!$A669),"")</f>
        <v/>
      </c>
      <c r="H2006" s="5" t="str">
        <f>IFERROR(IF(Portafolio_Proyectos!$AP669="","",Portafolio_Proyectos!$E669),"")</f>
        <v/>
      </c>
    </row>
    <row r="2007" spans="1:8" x14ac:dyDescent="0.35">
      <c r="A2007" s="5" t="str">
        <f>IFERROR(IF(Portafolio_Proyectos!$AQ669="","","CAP-"&amp;ROW()-1),"")</f>
        <v/>
      </c>
      <c r="B2007" s="5" t="str">
        <f>IFERROR(IF(Portafolio_Proyectos!$AQ669="","",Portafolio_Proyectos!$AQ669),"")</f>
        <v/>
      </c>
      <c r="C2007" s="5" t="str">
        <f>IFERROR(IF(Portafolio_Proyectos!$AQ669="","","Consolidada"),"")</f>
        <v/>
      </c>
      <c r="D2007" s="5" t="str">
        <f>IFERROR(IF(Portafolio_Proyectos!$AQ669="","",Portafolio_Proyectos!$C669),"")</f>
        <v/>
      </c>
      <c r="E2007" s="5" t="str">
        <f>IFERROR(IF(Portafolio_Proyectos!$AQ669="","",Portafolio_Proyectos!$B669),"")</f>
        <v/>
      </c>
      <c r="F2007" s="5" t="str">
        <f>IFERROR(IF(Portafolio_Proyectos!$AQ669="","",Portafolio_Proyectos!$D669),"")</f>
        <v/>
      </c>
      <c r="G2007" s="5" t="str">
        <f>IFERROR(IF(Portafolio_Proyectos!$AQ669="","",Portafolio_Proyectos!$A669),"")</f>
        <v/>
      </c>
      <c r="H2007" s="5" t="str">
        <f>IFERROR(IF(Portafolio_Proyectos!$AQ669="","",Portafolio_Proyectos!$E669),"")</f>
        <v/>
      </c>
    </row>
    <row r="2008" spans="1:8" x14ac:dyDescent="0.35">
      <c r="A2008" s="5" t="str">
        <f>IFERROR(IF(Portafolio_Proyectos!$AR669="","","CAP-"&amp;ROW()-1),"")</f>
        <v/>
      </c>
      <c r="B2008" s="5" t="str">
        <f>IFERROR(IF(Portafolio_Proyectos!$AR669="","",Portafolio_Proyectos!$AR669),"")</f>
        <v/>
      </c>
      <c r="C2008" s="5" t="str">
        <f>IFERROR(IF(Portafolio_Proyectos!$AR669="","","Distintiva"),"")</f>
        <v/>
      </c>
      <c r="D2008" s="5" t="str">
        <f>IFERROR(IF(Portafolio_Proyectos!$AR669="","",Portafolio_Proyectos!$C669),"")</f>
        <v/>
      </c>
      <c r="E2008" s="5" t="str">
        <f>IFERROR(IF(Portafolio_Proyectos!$AR669="","",Portafolio_Proyectos!$B669),"")</f>
        <v/>
      </c>
      <c r="F2008" s="5" t="str">
        <f>IFERROR(IF(Portafolio_Proyectos!$AR669="","",Portafolio_Proyectos!$D669),"")</f>
        <v/>
      </c>
      <c r="G2008" s="5" t="str">
        <f>IFERROR(IF(Portafolio_Proyectos!$AR669="","",Portafolio_Proyectos!$A669),"")</f>
        <v/>
      </c>
      <c r="H2008" s="5" t="str">
        <f>IFERROR(IF(Portafolio_Proyectos!$AR669="","",Portafolio_Proyectos!$E669),"")</f>
        <v/>
      </c>
    </row>
    <row r="2009" spans="1:8" x14ac:dyDescent="0.35">
      <c r="A2009" s="5" t="str">
        <f>IFERROR(IF(Portafolio_Proyectos!$AP670="","","CAP-"&amp;ROW()-1),"")</f>
        <v/>
      </c>
      <c r="B2009" s="5" t="str">
        <f>IFERROR(IF(Portafolio_Proyectos!$AP670="","",Portafolio_Proyectos!$AP670),"")</f>
        <v/>
      </c>
      <c r="C2009" s="5" t="str">
        <f>IFERROR(IF(Portafolio_Proyectos!$AP670="","","Emergente"),"")</f>
        <v/>
      </c>
      <c r="D2009" s="5" t="str">
        <f>IFERROR(IF(Portafolio_Proyectos!$AP670="","",Portafolio_Proyectos!$C670),"")</f>
        <v/>
      </c>
      <c r="E2009" s="5" t="str">
        <f>IFERROR(IF(Portafolio_Proyectos!$AP670="","",Portafolio_Proyectos!$B670),"")</f>
        <v/>
      </c>
      <c r="F2009" s="5" t="str">
        <f>IFERROR(IF(Portafolio_Proyectos!$AP670="","",Portafolio_Proyectos!$D670),"")</f>
        <v/>
      </c>
      <c r="G2009" s="5" t="str">
        <f>IFERROR(IF(Portafolio_Proyectos!$AP670="","",Portafolio_Proyectos!$A670),"")</f>
        <v/>
      </c>
      <c r="H2009" s="5" t="str">
        <f>IFERROR(IF(Portafolio_Proyectos!$AP670="","",Portafolio_Proyectos!$E670),"")</f>
        <v/>
      </c>
    </row>
    <row r="2010" spans="1:8" x14ac:dyDescent="0.35">
      <c r="A2010" s="5" t="str">
        <f>IFERROR(IF(Portafolio_Proyectos!$AQ670="","","CAP-"&amp;ROW()-1),"")</f>
        <v/>
      </c>
      <c r="B2010" s="5" t="str">
        <f>IFERROR(IF(Portafolio_Proyectos!$AQ670="","",Portafolio_Proyectos!$AQ670),"")</f>
        <v/>
      </c>
      <c r="C2010" s="5" t="str">
        <f>IFERROR(IF(Portafolio_Proyectos!$AQ670="","","Consolidada"),"")</f>
        <v/>
      </c>
      <c r="D2010" s="5" t="str">
        <f>IFERROR(IF(Portafolio_Proyectos!$AQ670="","",Portafolio_Proyectos!$C670),"")</f>
        <v/>
      </c>
      <c r="E2010" s="5" t="str">
        <f>IFERROR(IF(Portafolio_Proyectos!$AQ670="","",Portafolio_Proyectos!$B670),"")</f>
        <v/>
      </c>
      <c r="F2010" s="5" t="str">
        <f>IFERROR(IF(Portafolio_Proyectos!$AQ670="","",Portafolio_Proyectos!$D670),"")</f>
        <v/>
      </c>
      <c r="G2010" s="5" t="str">
        <f>IFERROR(IF(Portafolio_Proyectos!$AQ670="","",Portafolio_Proyectos!$A670),"")</f>
        <v/>
      </c>
      <c r="H2010" s="5" t="str">
        <f>IFERROR(IF(Portafolio_Proyectos!$AQ670="","",Portafolio_Proyectos!$E670),"")</f>
        <v/>
      </c>
    </row>
    <row r="2011" spans="1:8" x14ac:dyDescent="0.35">
      <c r="A2011" s="5" t="str">
        <f>IFERROR(IF(Portafolio_Proyectos!$AR670="","","CAP-"&amp;ROW()-1),"")</f>
        <v/>
      </c>
      <c r="B2011" s="5" t="str">
        <f>IFERROR(IF(Portafolio_Proyectos!$AR670="","",Portafolio_Proyectos!$AR670),"")</f>
        <v/>
      </c>
      <c r="C2011" s="5" t="str">
        <f>IFERROR(IF(Portafolio_Proyectos!$AR670="","","Distintiva"),"")</f>
        <v/>
      </c>
      <c r="D2011" s="5" t="str">
        <f>IFERROR(IF(Portafolio_Proyectos!$AR670="","",Portafolio_Proyectos!$C670),"")</f>
        <v/>
      </c>
      <c r="E2011" s="5" t="str">
        <f>IFERROR(IF(Portafolio_Proyectos!$AR670="","",Portafolio_Proyectos!$B670),"")</f>
        <v/>
      </c>
      <c r="F2011" s="5" t="str">
        <f>IFERROR(IF(Portafolio_Proyectos!$AR670="","",Portafolio_Proyectos!$D670),"")</f>
        <v/>
      </c>
      <c r="G2011" s="5" t="str">
        <f>IFERROR(IF(Portafolio_Proyectos!$AR670="","",Portafolio_Proyectos!$A670),"")</f>
        <v/>
      </c>
      <c r="H2011" s="5" t="str">
        <f>IFERROR(IF(Portafolio_Proyectos!$AR670="","",Portafolio_Proyectos!$E670),"")</f>
        <v/>
      </c>
    </row>
    <row r="2012" spans="1:8" x14ac:dyDescent="0.35">
      <c r="A2012" s="5" t="str">
        <f>IFERROR(IF(Portafolio_Proyectos!$AP671="","","CAP-"&amp;ROW()-1),"")</f>
        <v/>
      </c>
      <c r="B2012" s="5" t="str">
        <f>IFERROR(IF(Portafolio_Proyectos!$AP671="","",Portafolio_Proyectos!$AP671),"")</f>
        <v/>
      </c>
      <c r="C2012" s="5" t="str">
        <f>IFERROR(IF(Portafolio_Proyectos!$AP671="","","Emergente"),"")</f>
        <v/>
      </c>
      <c r="D2012" s="5" t="str">
        <f>IFERROR(IF(Portafolio_Proyectos!$AP671="","",Portafolio_Proyectos!$C671),"")</f>
        <v/>
      </c>
      <c r="E2012" s="5" t="str">
        <f>IFERROR(IF(Portafolio_Proyectos!$AP671="","",Portafolio_Proyectos!$B671),"")</f>
        <v/>
      </c>
      <c r="F2012" s="5" t="str">
        <f>IFERROR(IF(Portafolio_Proyectos!$AP671="","",Portafolio_Proyectos!$D671),"")</f>
        <v/>
      </c>
      <c r="G2012" s="5" t="str">
        <f>IFERROR(IF(Portafolio_Proyectos!$AP671="","",Portafolio_Proyectos!$A671),"")</f>
        <v/>
      </c>
      <c r="H2012" s="5" t="str">
        <f>IFERROR(IF(Portafolio_Proyectos!$AP671="","",Portafolio_Proyectos!$E671),"")</f>
        <v/>
      </c>
    </row>
    <row r="2013" spans="1:8" x14ac:dyDescent="0.35">
      <c r="A2013" s="5" t="str">
        <f>IFERROR(IF(Portafolio_Proyectos!$AQ671="","","CAP-"&amp;ROW()-1),"")</f>
        <v/>
      </c>
      <c r="B2013" s="5" t="str">
        <f>IFERROR(IF(Portafolio_Proyectos!$AQ671="","",Portafolio_Proyectos!$AQ671),"")</f>
        <v/>
      </c>
      <c r="C2013" s="5" t="str">
        <f>IFERROR(IF(Portafolio_Proyectos!$AQ671="","","Consolidada"),"")</f>
        <v/>
      </c>
      <c r="D2013" s="5" t="str">
        <f>IFERROR(IF(Portafolio_Proyectos!$AQ671="","",Portafolio_Proyectos!$C671),"")</f>
        <v/>
      </c>
      <c r="E2013" s="5" t="str">
        <f>IFERROR(IF(Portafolio_Proyectos!$AQ671="","",Portafolio_Proyectos!$B671),"")</f>
        <v/>
      </c>
      <c r="F2013" s="5" t="str">
        <f>IFERROR(IF(Portafolio_Proyectos!$AQ671="","",Portafolio_Proyectos!$D671),"")</f>
        <v/>
      </c>
      <c r="G2013" s="5" t="str">
        <f>IFERROR(IF(Portafolio_Proyectos!$AQ671="","",Portafolio_Proyectos!$A671),"")</f>
        <v/>
      </c>
      <c r="H2013" s="5" t="str">
        <f>IFERROR(IF(Portafolio_Proyectos!$AQ671="","",Portafolio_Proyectos!$E671),"")</f>
        <v/>
      </c>
    </row>
    <row r="2014" spans="1:8" x14ac:dyDescent="0.35">
      <c r="A2014" s="5" t="str">
        <f>IFERROR(IF(Portafolio_Proyectos!$AR671="","","CAP-"&amp;ROW()-1),"")</f>
        <v/>
      </c>
      <c r="B2014" s="5" t="str">
        <f>IFERROR(IF(Portafolio_Proyectos!$AR671="","",Portafolio_Proyectos!$AR671),"")</f>
        <v/>
      </c>
      <c r="C2014" s="5" t="str">
        <f>IFERROR(IF(Portafolio_Proyectos!$AR671="","","Distintiva"),"")</f>
        <v/>
      </c>
      <c r="D2014" s="5" t="str">
        <f>IFERROR(IF(Portafolio_Proyectos!$AR671="","",Portafolio_Proyectos!$C671),"")</f>
        <v/>
      </c>
      <c r="E2014" s="5" t="str">
        <f>IFERROR(IF(Portafolio_Proyectos!$AR671="","",Portafolio_Proyectos!$B671),"")</f>
        <v/>
      </c>
      <c r="F2014" s="5" t="str">
        <f>IFERROR(IF(Portafolio_Proyectos!$AR671="","",Portafolio_Proyectos!$D671),"")</f>
        <v/>
      </c>
      <c r="G2014" s="5" t="str">
        <f>IFERROR(IF(Portafolio_Proyectos!$AR671="","",Portafolio_Proyectos!$A671),"")</f>
        <v/>
      </c>
      <c r="H2014" s="5" t="str">
        <f>IFERROR(IF(Portafolio_Proyectos!$AR671="","",Portafolio_Proyectos!$E671),"")</f>
        <v/>
      </c>
    </row>
    <row r="2015" spans="1:8" x14ac:dyDescent="0.35">
      <c r="A2015" s="5" t="str">
        <f>IFERROR(IF(Portafolio_Proyectos!$AP672="","","CAP-"&amp;ROW()-1),"")</f>
        <v/>
      </c>
      <c r="B2015" s="5" t="str">
        <f>IFERROR(IF(Portafolio_Proyectos!$AP672="","",Portafolio_Proyectos!$AP672),"")</f>
        <v/>
      </c>
      <c r="C2015" s="5" t="str">
        <f>IFERROR(IF(Portafolio_Proyectos!$AP672="","","Emergente"),"")</f>
        <v/>
      </c>
      <c r="D2015" s="5" t="str">
        <f>IFERROR(IF(Portafolio_Proyectos!$AP672="","",Portafolio_Proyectos!$C672),"")</f>
        <v/>
      </c>
      <c r="E2015" s="5" t="str">
        <f>IFERROR(IF(Portafolio_Proyectos!$AP672="","",Portafolio_Proyectos!$B672),"")</f>
        <v/>
      </c>
      <c r="F2015" s="5" t="str">
        <f>IFERROR(IF(Portafolio_Proyectos!$AP672="","",Portafolio_Proyectos!$D672),"")</f>
        <v/>
      </c>
      <c r="G2015" s="5" t="str">
        <f>IFERROR(IF(Portafolio_Proyectos!$AP672="","",Portafolio_Proyectos!$A672),"")</f>
        <v/>
      </c>
      <c r="H2015" s="5" t="str">
        <f>IFERROR(IF(Portafolio_Proyectos!$AP672="","",Portafolio_Proyectos!$E672),"")</f>
        <v/>
      </c>
    </row>
    <row r="2016" spans="1:8" x14ac:dyDescent="0.35">
      <c r="A2016" s="5" t="str">
        <f>IFERROR(IF(Portafolio_Proyectos!$AQ672="","","CAP-"&amp;ROW()-1),"")</f>
        <v/>
      </c>
      <c r="B2016" s="5" t="str">
        <f>IFERROR(IF(Portafolio_Proyectos!$AQ672="","",Portafolio_Proyectos!$AQ672),"")</f>
        <v/>
      </c>
      <c r="C2016" s="5" t="str">
        <f>IFERROR(IF(Portafolio_Proyectos!$AQ672="","","Consolidada"),"")</f>
        <v/>
      </c>
      <c r="D2016" s="5" t="str">
        <f>IFERROR(IF(Portafolio_Proyectos!$AQ672="","",Portafolio_Proyectos!$C672),"")</f>
        <v/>
      </c>
      <c r="E2016" s="5" t="str">
        <f>IFERROR(IF(Portafolio_Proyectos!$AQ672="","",Portafolio_Proyectos!$B672),"")</f>
        <v/>
      </c>
      <c r="F2016" s="5" t="str">
        <f>IFERROR(IF(Portafolio_Proyectos!$AQ672="","",Portafolio_Proyectos!$D672),"")</f>
        <v/>
      </c>
      <c r="G2016" s="5" t="str">
        <f>IFERROR(IF(Portafolio_Proyectos!$AQ672="","",Portafolio_Proyectos!$A672),"")</f>
        <v/>
      </c>
      <c r="H2016" s="5" t="str">
        <f>IFERROR(IF(Portafolio_Proyectos!$AQ672="","",Portafolio_Proyectos!$E672),"")</f>
        <v/>
      </c>
    </row>
    <row r="2017" spans="1:8" x14ac:dyDescent="0.35">
      <c r="A2017" s="5" t="str">
        <f>IFERROR(IF(Portafolio_Proyectos!$AR672="","","CAP-"&amp;ROW()-1),"")</f>
        <v/>
      </c>
      <c r="B2017" s="5" t="str">
        <f>IFERROR(IF(Portafolio_Proyectos!$AR672="","",Portafolio_Proyectos!$AR672),"")</f>
        <v/>
      </c>
      <c r="C2017" s="5" t="str">
        <f>IFERROR(IF(Portafolio_Proyectos!$AR672="","","Distintiva"),"")</f>
        <v/>
      </c>
      <c r="D2017" s="5" t="str">
        <f>IFERROR(IF(Portafolio_Proyectos!$AR672="","",Portafolio_Proyectos!$C672),"")</f>
        <v/>
      </c>
      <c r="E2017" s="5" t="str">
        <f>IFERROR(IF(Portafolio_Proyectos!$AR672="","",Portafolio_Proyectos!$B672),"")</f>
        <v/>
      </c>
      <c r="F2017" s="5" t="str">
        <f>IFERROR(IF(Portafolio_Proyectos!$AR672="","",Portafolio_Proyectos!$D672),"")</f>
        <v/>
      </c>
      <c r="G2017" s="5" t="str">
        <f>IFERROR(IF(Portafolio_Proyectos!$AR672="","",Portafolio_Proyectos!$A672),"")</f>
        <v/>
      </c>
      <c r="H2017" s="5" t="str">
        <f>IFERROR(IF(Portafolio_Proyectos!$AR672="","",Portafolio_Proyectos!$E672),"")</f>
        <v/>
      </c>
    </row>
    <row r="2018" spans="1:8" x14ac:dyDescent="0.35">
      <c r="A2018" s="5" t="str">
        <f>IFERROR(IF(Portafolio_Proyectos!$AP673="","","CAP-"&amp;ROW()-1),"")</f>
        <v/>
      </c>
      <c r="B2018" s="5" t="str">
        <f>IFERROR(IF(Portafolio_Proyectos!$AP673="","",Portafolio_Proyectos!$AP673),"")</f>
        <v/>
      </c>
      <c r="C2018" s="5" t="str">
        <f>IFERROR(IF(Portafolio_Proyectos!$AP673="","","Emergente"),"")</f>
        <v/>
      </c>
      <c r="D2018" s="5" t="str">
        <f>IFERROR(IF(Portafolio_Proyectos!$AP673="","",Portafolio_Proyectos!$C673),"")</f>
        <v/>
      </c>
      <c r="E2018" s="5" t="str">
        <f>IFERROR(IF(Portafolio_Proyectos!$AP673="","",Portafolio_Proyectos!$B673),"")</f>
        <v/>
      </c>
      <c r="F2018" s="5" t="str">
        <f>IFERROR(IF(Portafolio_Proyectos!$AP673="","",Portafolio_Proyectos!$D673),"")</f>
        <v/>
      </c>
      <c r="G2018" s="5" t="str">
        <f>IFERROR(IF(Portafolio_Proyectos!$AP673="","",Portafolio_Proyectos!$A673),"")</f>
        <v/>
      </c>
      <c r="H2018" s="5" t="str">
        <f>IFERROR(IF(Portafolio_Proyectos!$AP673="","",Portafolio_Proyectos!$E673),"")</f>
        <v/>
      </c>
    </row>
    <row r="2019" spans="1:8" x14ac:dyDescent="0.35">
      <c r="A2019" s="5" t="str">
        <f>IFERROR(IF(Portafolio_Proyectos!$AQ673="","","CAP-"&amp;ROW()-1),"")</f>
        <v/>
      </c>
      <c r="B2019" s="5" t="str">
        <f>IFERROR(IF(Portafolio_Proyectos!$AQ673="","",Portafolio_Proyectos!$AQ673),"")</f>
        <v/>
      </c>
      <c r="C2019" s="5" t="str">
        <f>IFERROR(IF(Portafolio_Proyectos!$AQ673="","","Consolidada"),"")</f>
        <v/>
      </c>
      <c r="D2019" s="5" t="str">
        <f>IFERROR(IF(Portafolio_Proyectos!$AQ673="","",Portafolio_Proyectos!$C673),"")</f>
        <v/>
      </c>
      <c r="E2019" s="5" t="str">
        <f>IFERROR(IF(Portafolio_Proyectos!$AQ673="","",Portafolio_Proyectos!$B673),"")</f>
        <v/>
      </c>
      <c r="F2019" s="5" t="str">
        <f>IFERROR(IF(Portafolio_Proyectos!$AQ673="","",Portafolio_Proyectos!$D673),"")</f>
        <v/>
      </c>
      <c r="G2019" s="5" t="str">
        <f>IFERROR(IF(Portafolio_Proyectos!$AQ673="","",Portafolio_Proyectos!$A673),"")</f>
        <v/>
      </c>
      <c r="H2019" s="5" t="str">
        <f>IFERROR(IF(Portafolio_Proyectos!$AQ673="","",Portafolio_Proyectos!$E673),"")</f>
        <v/>
      </c>
    </row>
    <row r="2020" spans="1:8" x14ac:dyDescent="0.35">
      <c r="A2020" s="5" t="str">
        <f>IFERROR(IF(Portafolio_Proyectos!$AR673="","","CAP-"&amp;ROW()-1),"")</f>
        <v/>
      </c>
      <c r="B2020" s="5" t="str">
        <f>IFERROR(IF(Portafolio_Proyectos!$AR673="","",Portafolio_Proyectos!$AR673),"")</f>
        <v/>
      </c>
      <c r="C2020" s="5" t="str">
        <f>IFERROR(IF(Portafolio_Proyectos!$AR673="","","Distintiva"),"")</f>
        <v/>
      </c>
      <c r="D2020" s="5" t="str">
        <f>IFERROR(IF(Portafolio_Proyectos!$AR673="","",Portafolio_Proyectos!$C673),"")</f>
        <v/>
      </c>
      <c r="E2020" s="5" t="str">
        <f>IFERROR(IF(Portafolio_Proyectos!$AR673="","",Portafolio_Proyectos!$B673),"")</f>
        <v/>
      </c>
      <c r="F2020" s="5" t="str">
        <f>IFERROR(IF(Portafolio_Proyectos!$AR673="","",Portafolio_Proyectos!$D673),"")</f>
        <v/>
      </c>
      <c r="G2020" s="5" t="str">
        <f>IFERROR(IF(Portafolio_Proyectos!$AR673="","",Portafolio_Proyectos!$A673),"")</f>
        <v/>
      </c>
      <c r="H2020" s="5" t="str">
        <f>IFERROR(IF(Portafolio_Proyectos!$AR673="","",Portafolio_Proyectos!$E673),"")</f>
        <v/>
      </c>
    </row>
    <row r="2021" spans="1:8" x14ac:dyDescent="0.35">
      <c r="A2021" s="5" t="str">
        <f>IFERROR(IF(Portafolio_Proyectos!$AP674="","","CAP-"&amp;ROW()-1),"")</f>
        <v/>
      </c>
      <c r="B2021" s="5" t="str">
        <f>IFERROR(IF(Portafolio_Proyectos!$AP674="","",Portafolio_Proyectos!$AP674),"")</f>
        <v/>
      </c>
      <c r="C2021" s="5" t="str">
        <f>IFERROR(IF(Portafolio_Proyectos!$AP674="","","Emergente"),"")</f>
        <v/>
      </c>
      <c r="D2021" s="5" t="str">
        <f>IFERROR(IF(Portafolio_Proyectos!$AP674="","",Portafolio_Proyectos!$C674),"")</f>
        <v/>
      </c>
      <c r="E2021" s="5" t="str">
        <f>IFERROR(IF(Portafolio_Proyectos!$AP674="","",Portafolio_Proyectos!$B674),"")</f>
        <v/>
      </c>
      <c r="F2021" s="5" t="str">
        <f>IFERROR(IF(Portafolio_Proyectos!$AP674="","",Portafolio_Proyectos!$D674),"")</f>
        <v/>
      </c>
      <c r="G2021" s="5" t="str">
        <f>IFERROR(IF(Portafolio_Proyectos!$AP674="","",Portafolio_Proyectos!$A674),"")</f>
        <v/>
      </c>
      <c r="H2021" s="5" t="str">
        <f>IFERROR(IF(Portafolio_Proyectos!$AP674="","",Portafolio_Proyectos!$E674),"")</f>
        <v/>
      </c>
    </row>
    <row r="2022" spans="1:8" x14ac:dyDescent="0.35">
      <c r="A2022" s="5" t="str">
        <f>IFERROR(IF(Portafolio_Proyectos!$AQ674="","","CAP-"&amp;ROW()-1),"")</f>
        <v/>
      </c>
      <c r="B2022" s="5" t="str">
        <f>IFERROR(IF(Portafolio_Proyectos!$AQ674="","",Portafolio_Proyectos!$AQ674),"")</f>
        <v/>
      </c>
      <c r="C2022" s="5" t="str">
        <f>IFERROR(IF(Portafolio_Proyectos!$AQ674="","","Consolidada"),"")</f>
        <v/>
      </c>
      <c r="D2022" s="5" t="str">
        <f>IFERROR(IF(Portafolio_Proyectos!$AQ674="","",Portafolio_Proyectos!$C674),"")</f>
        <v/>
      </c>
      <c r="E2022" s="5" t="str">
        <f>IFERROR(IF(Portafolio_Proyectos!$AQ674="","",Portafolio_Proyectos!$B674),"")</f>
        <v/>
      </c>
      <c r="F2022" s="5" t="str">
        <f>IFERROR(IF(Portafolio_Proyectos!$AQ674="","",Portafolio_Proyectos!$D674),"")</f>
        <v/>
      </c>
      <c r="G2022" s="5" t="str">
        <f>IFERROR(IF(Portafolio_Proyectos!$AQ674="","",Portafolio_Proyectos!$A674),"")</f>
        <v/>
      </c>
      <c r="H2022" s="5" t="str">
        <f>IFERROR(IF(Portafolio_Proyectos!$AQ674="","",Portafolio_Proyectos!$E674),"")</f>
        <v/>
      </c>
    </row>
    <row r="2023" spans="1:8" x14ac:dyDescent="0.35">
      <c r="A2023" s="5" t="str">
        <f>IFERROR(IF(Portafolio_Proyectos!$AR674="","","CAP-"&amp;ROW()-1),"")</f>
        <v/>
      </c>
      <c r="B2023" s="5" t="str">
        <f>IFERROR(IF(Portafolio_Proyectos!$AR674="","",Portafolio_Proyectos!$AR674),"")</f>
        <v/>
      </c>
      <c r="C2023" s="5" t="str">
        <f>IFERROR(IF(Portafolio_Proyectos!$AR674="","","Distintiva"),"")</f>
        <v/>
      </c>
      <c r="D2023" s="5" t="str">
        <f>IFERROR(IF(Portafolio_Proyectos!$AR674="","",Portafolio_Proyectos!$C674),"")</f>
        <v/>
      </c>
      <c r="E2023" s="5" t="str">
        <f>IFERROR(IF(Portafolio_Proyectos!$AR674="","",Portafolio_Proyectos!$B674),"")</f>
        <v/>
      </c>
      <c r="F2023" s="5" t="str">
        <f>IFERROR(IF(Portafolio_Proyectos!$AR674="","",Portafolio_Proyectos!$D674),"")</f>
        <v/>
      </c>
      <c r="G2023" s="5" t="str">
        <f>IFERROR(IF(Portafolio_Proyectos!$AR674="","",Portafolio_Proyectos!$A674),"")</f>
        <v/>
      </c>
      <c r="H2023" s="5" t="str">
        <f>IFERROR(IF(Portafolio_Proyectos!$AR674="","",Portafolio_Proyectos!$E674),"")</f>
        <v/>
      </c>
    </row>
    <row r="2024" spans="1:8" x14ac:dyDescent="0.35">
      <c r="A2024" s="5" t="str">
        <f>IFERROR(IF(Portafolio_Proyectos!$AP675="","","CAP-"&amp;ROW()-1),"")</f>
        <v/>
      </c>
      <c r="B2024" s="5" t="str">
        <f>IFERROR(IF(Portafolio_Proyectos!$AP675="","",Portafolio_Proyectos!$AP675),"")</f>
        <v/>
      </c>
      <c r="C2024" s="5" t="str">
        <f>IFERROR(IF(Portafolio_Proyectos!$AP675="","","Emergente"),"")</f>
        <v/>
      </c>
      <c r="D2024" s="5" t="str">
        <f>IFERROR(IF(Portafolio_Proyectos!$AP675="","",Portafolio_Proyectos!$C675),"")</f>
        <v/>
      </c>
      <c r="E2024" s="5" t="str">
        <f>IFERROR(IF(Portafolio_Proyectos!$AP675="","",Portafolio_Proyectos!$B675),"")</f>
        <v/>
      </c>
      <c r="F2024" s="5" t="str">
        <f>IFERROR(IF(Portafolio_Proyectos!$AP675="","",Portafolio_Proyectos!$D675),"")</f>
        <v/>
      </c>
      <c r="G2024" s="5" t="str">
        <f>IFERROR(IF(Portafolio_Proyectos!$AP675="","",Portafolio_Proyectos!$A675),"")</f>
        <v/>
      </c>
      <c r="H2024" s="5" t="str">
        <f>IFERROR(IF(Portafolio_Proyectos!$AP675="","",Portafolio_Proyectos!$E675),"")</f>
        <v/>
      </c>
    </row>
    <row r="2025" spans="1:8" x14ac:dyDescent="0.35">
      <c r="A2025" s="5" t="str">
        <f>IFERROR(IF(Portafolio_Proyectos!$AQ675="","","CAP-"&amp;ROW()-1),"")</f>
        <v/>
      </c>
      <c r="B2025" s="5" t="str">
        <f>IFERROR(IF(Portafolio_Proyectos!$AQ675="","",Portafolio_Proyectos!$AQ675),"")</f>
        <v/>
      </c>
      <c r="C2025" s="5" t="str">
        <f>IFERROR(IF(Portafolio_Proyectos!$AQ675="","","Consolidada"),"")</f>
        <v/>
      </c>
      <c r="D2025" s="5" t="str">
        <f>IFERROR(IF(Portafolio_Proyectos!$AQ675="","",Portafolio_Proyectos!$C675),"")</f>
        <v/>
      </c>
      <c r="E2025" s="5" t="str">
        <f>IFERROR(IF(Portafolio_Proyectos!$AQ675="","",Portafolio_Proyectos!$B675),"")</f>
        <v/>
      </c>
      <c r="F2025" s="5" t="str">
        <f>IFERROR(IF(Portafolio_Proyectos!$AQ675="","",Portafolio_Proyectos!$D675),"")</f>
        <v/>
      </c>
      <c r="G2025" s="5" t="str">
        <f>IFERROR(IF(Portafolio_Proyectos!$AQ675="","",Portafolio_Proyectos!$A675),"")</f>
        <v/>
      </c>
      <c r="H2025" s="5" t="str">
        <f>IFERROR(IF(Portafolio_Proyectos!$AQ675="","",Portafolio_Proyectos!$E675),"")</f>
        <v/>
      </c>
    </row>
    <row r="2026" spans="1:8" x14ac:dyDescent="0.35">
      <c r="A2026" s="5" t="str">
        <f>IFERROR(IF(Portafolio_Proyectos!$AR675="","","CAP-"&amp;ROW()-1),"")</f>
        <v/>
      </c>
      <c r="B2026" s="5" t="str">
        <f>IFERROR(IF(Portafolio_Proyectos!$AR675="","",Portafolio_Proyectos!$AR675),"")</f>
        <v/>
      </c>
      <c r="C2026" s="5" t="str">
        <f>IFERROR(IF(Portafolio_Proyectos!$AR675="","","Distintiva"),"")</f>
        <v/>
      </c>
      <c r="D2026" s="5" t="str">
        <f>IFERROR(IF(Portafolio_Proyectos!$AR675="","",Portafolio_Proyectos!$C675),"")</f>
        <v/>
      </c>
      <c r="E2026" s="5" t="str">
        <f>IFERROR(IF(Portafolio_Proyectos!$AR675="","",Portafolio_Proyectos!$B675),"")</f>
        <v/>
      </c>
      <c r="F2026" s="5" t="str">
        <f>IFERROR(IF(Portafolio_Proyectos!$AR675="","",Portafolio_Proyectos!$D675),"")</f>
        <v/>
      </c>
      <c r="G2026" s="5" t="str">
        <f>IFERROR(IF(Portafolio_Proyectos!$AR675="","",Portafolio_Proyectos!$A675),"")</f>
        <v/>
      </c>
      <c r="H2026" s="5" t="str">
        <f>IFERROR(IF(Portafolio_Proyectos!$AR675="","",Portafolio_Proyectos!$E675),"")</f>
        <v/>
      </c>
    </row>
    <row r="2027" spans="1:8" x14ac:dyDescent="0.35">
      <c r="A2027" s="5" t="str">
        <f>IFERROR(IF(Portafolio_Proyectos!$AP676="","","CAP-"&amp;ROW()-1),"")</f>
        <v/>
      </c>
      <c r="B2027" s="5" t="str">
        <f>IFERROR(IF(Portafolio_Proyectos!$AP676="","",Portafolio_Proyectos!$AP676),"")</f>
        <v/>
      </c>
      <c r="C2027" s="5" t="str">
        <f>IFERROR(IF(Portafolio_Proyectos!$AP676="","","Emergente"),"")</f>
        <v/>
      </c>
      <c r="D2027" s="5" t="str">
        <f>IFERROR(IF(Portafolio_Proyectos!$AP676="","",Portafolio_Proyectos!$C676),"")</f>
        <v/>
      </c>
      <c r="E2027" s="5" t="str">
        <f>IFERROR(IF(Portafolio_Proyectos!$AP676="","",Portafolio_Proyectos!$B676),"")</f>
        <v/>
      </c>
      <c r="F2027" s="5" t="str">
        <f>IFERROR(IF(Portafolio_Proyectos!$AP676="","",Portafolio_Proyectos!$D676),"")</f>
        <v/>
      </c>
      <c r="G2027" s="5" t="str">
        <f>IFERROR(IF(Portafolio_Proyectos!$AP676="","",Portafolio_Proyectos!$A676),"")</f>
        <v/>
      </c>
      <c r="H2027" s="5" t="str">
        <f>IFERROR(IF(Portafolio_Proyectos!$AP676="","",Portafolio_Proyectos!$E676),"")</f>
        <v/>
      </c>
    </row>
    <row r="2028" spans="1:8" x14ac:dyDescent="0.35">
      <c r="A2028" s="5" t="str">
        <f>IFERROR(IF(Portafolio_Proyectos!$AQ676="","","CAP-"&amp;ROW()-1),"")</f>
        <v/>
      </c>
      <c r="B2028" s="5" t="str">
        <f>IFERROR(IF(Portafolio_Proyectos!$AQ676="","",Portafolio_Proyectos!$AQ676),"")</f>
        <v/>
      </c>
      <c r="C2028" s="5" t="str">
        <f>IFERROR(IF(Portafolio_Proyectos!$AQ676="","","Consolidada"),"")</f>
        <v/>
      </c>
      <c r="D2028" s="5" t="str">
        <f>IFERROR(IF(Portafolio_Proyectos!$AQ676="","",Portafolio_Proyectos!$C676),"")</f>
        <v/>
      </c>
      <c r="E2028" s="5" t="str">
        <f>IFERROR(IF(Portafolio_Proyectos!$AQ676="","",Portafolio_Proyectos!$B676),"")</f>
        <v/>
      </c>
      <c r="F2028" s="5" t="str">
        <f>IFERROR(IF(Portafolio_Proyectos!$AQ676="","",Portafolio_Proyectos!$D676),"")</f>
        <v/>
      </c>
      <c r="G2028" s="5" t="str">
        <f>IFERROR(IF(Portafolio_Proyectos!$AQ676="","",Portafolio_Proyectos!$A676),"")</f>
        <v/>
      </c>
      <c r="H2028" s="5" t="str">
        <f>IFERROR(IF(Portafolio_Proyectos!$AQ676="","",Portafolio_Proyectos!$E676),"")</f>
        <v/>
      </c>
    </row>
    <row r="2029" spans="1:8" x14ac:dyDescent="0.35">
      <c r="A2029" s="5" t="str">
        <f>IFERROR(IF(Portafolio_Proyectos!$AR676="","","CAP-"&amp;ROW()-1),"")</f>
        <v/>
      </c>
      <c r="B2029" s="5" t="str">
        <f>IFERROR(IF(Portafolio_Proyectos!$AR676="","",Portafolio_Proyectos!$AR676),"")</f>
        <v/>
      </c>
      <c r="C2029" s="5" t="str">
        <f>IFERROR(IF(Portafolio_Proyectos!$AR676="","","Distintiva"),"")</f>
        <v/>
      </c>
      <c r="D2029" s="5" t="str">
        <f>IFERROR(IF(Portafolio_Proyectos!$AR676="","",Portafolio_Proyectos!$C676),"")</f>
        <v/>
      </c>
      <c r="E2029" s="5" t="str">
        <f>IFERROR(IF(Portafolio_Proyectos!$AR676="","",Portafolio_Proyectos!$B676),"")</f>
        <v/>
      </c>
      <c r="F2029" s="5" t="str">
        <f>IFERROR(IF(Portafolio_Proyectos!$AR676="","",Portafolio_Proyectos!$D676),"")</f>
        <v/>
      </c>
      <c r="G2029" s="5" t="str">
        <f>IFERROR(IF(Portafolio_Proyectos!$AR676="","",Portafolio_Proyectos!$A676),"")</f>
        <v/>
      </c>
      <c r="H2029" s="5" t="str">
        <f>IFERROR(IF(Portafolio_Proyectos!$AR676="","",Portafolio_Proyectos!$E676),"")</f>
        <v/>
      </c>
    </row>
    <row r="2030" spans="1:8" x14ac:dyDescent="0.35">
      <c r="A2030" s="5" t="str">
        <f>IFERROR(IF(Portafolio_Proyectos!$AP677="","","CAP-"&amp;ROW()-1),"")</f>
        <v/>
      </c>
      <c r="B2030" s="5" t="str">
        <f>IFERROR(IF(Portafolio_Proyectos!$AP677="","",Portafolio_Proyectos!$AP677),"")</f>
        <v/>
      </c>
      <c r="C2030" s="5" t="str">
        <f>IFERROR(IF(Portafolio_Proyectos!$AP677="","","Emergente"),"")</f>
        <v/>
      </c>
      <c r="D2030" s="5" t="str">
        <f>IFERROR(IF(Portafolio_Proyectos!$AP677="","",Portafolio_Proyectos!$C677),"")</f>
        <v/>
      </c>
      <c r="E2030" s="5" t="str">
        <f>IFERROR(IF(Portafolio_Proyectos!$AP677="","",Portafolio_Proyectos!$B677),"")</f>
        <v/>
      </c>
      <c r="F2030" s="5" t="str">
        <f>IFERROR(IF(Portafolio_Proyectos!$AP677="","",Portafolio_Proyectos!$D677),"")</f>
        <v/>
      </c>
      <c r="G2030" s="5" t="str">
        <f>IFERROR(IF(Portafolio_Proyectos!$AP677="","",Portafolio_Proyectos!$A677),"")</f>
        <v/>
      </c>
      <c r="H2030" s="5" t="str">
        <f>IFERROR(IF(Portafolio_Proyectos!$AP677="","",Portafolio_Proyectos!$E677),"")</f>
        <v/>
      </c>
    </row>
    <row r="2031" spans="1:8" x14ac:dyDescent="0.35">
      <c r="A2031" s="5" t="str">
        <f>IFERROR(IF(Portafolio_Proyectos!$AQ677="","","CAP-"&amp;ROW()-1),"")</f>
        <v/>
      </c>
      <c r="B2031" s="5" t="str">
        <f>IFERROR(IF(Portafolio_Proyectos!$AQ677="","",Portafolio_Proyectos!$AQ677),"")</f>
        <v/>
      </c>
      <c r="C2031" s="5" t="str">
        <f>IFERROR(IF(Portafolio_Proyectos!$AQ677="","","Consolidada"),"")</f>
        <v/>
      </c>
      <c r="D2031" s="5" t="str">
        <f>IFERROR(IF(Portafolio_Proyectos!$AQ677="","",Portafolio_Proyectos!$C677),"")</f>
        <v/>
      </c>
      <c r="E2031" s="5" t="str">
        <f>IFERROR(IF(Portafolio_Proyectos!$AQ677="","",Portafolio_Proyectos!$B677),"")</f>
        <v/>
      </c>
      <c r="F2031" s="5" t="str">
        <f>IFERROR(IF(Portafolio_Proyectos!$AQ677="","",Portafolio_Proyectos!$D677),"")</f>
        <v/>
      </c>
      <c r="G2031" s="5" t="str">
        <f>IFERROR(IF(Portafolio_Proyectos!$AQ677="","",Portafolio_Proyectos!$A677),"")</f>
        <v/>
      </c>
      <c r="H2031" s="5" t="str">
        <f>IFERROR(IF(Portafolio_Proyectos!$AQ677="","",Portafolio_Proyectos!$E677),"")</f>
        <v/>
      </c>
    </row>
    <row r="2032" spans="1:8" x14ac:dyDescent="0.35">
      <c r="A2032" s="5" t="str">
        <f>IFERROR(IF(Portafolio_Proyectos!$AR677="","","CAP-"&amp;ROW()-1),"")</f>
        <v/>
      </c>
      <c r="B2032" s="5" t="str">
        <f>IFERROR(IF(Portafolio_Proyectos!$AR677="","",Portafolio_Proyectos!$AR677),"")</f>
        <v/>
      </c>
      <c r="C2032" s="5" t="str">
        <f>IFERROR(IF(Portafolio_Proyectos!$AR677="","","Distintiva"),"")</f>
        <v/>
      </c>
      <c r="D2032" s="5" t="str">
        <f>IFERROR(IF(Portafolio_Proyectos!$AR677="","",Portafolio_Proyectos!$C677),"")</f>
        <v/>
      </c>
      <c r="E2032" s="5" t="str">
        <f>IFERROR(IF(Portafolio_Proyectos!$AR677="","",Portafolio_Proyectos!$B677),"")</f>
        <v/>
      </c>
      <c r="F2032" s="5" t="str">
        <f>IFERROR(IF(Portafolio_Proyectos!$AR677="","",Portafolio_Proyectos!$D677),"")</f>
        <v/>
      </c>
      <c r="G2032" s="5" t="str">
        <f>IFERROR(IF(Portafolio_Proyectos!$AR677="","",Portafolio_Proyectos!$A677),"")</f>
        <v/>
      </c>
      <c r="H2032" s="5" t="str">
        <f>IFERROR(IF(Portafolio_Proyectos!$AR677="","",Portafolio_Proyectos!$E677),"")</f>
        <v/>
      </c>
    </row>
    <row r="2033" spans="1:8" x14ac:dyDescent="0.35">
      <c r="A2033" s="5" t="str">
        <f>IFERROR(IF(Portafolio_Proyectos!$AP678="","","CAP-"&amp;ROW()-1),"")</f>
        <v/>
      </c>
      <c r="B2033" s="5" t="str">
        <f>IFERROR(IF(Portafolio_Proyectos!$AP678="","",Portafolio_Proyectos!$AP678),"")</f>
        <v/>
      </c>
      <c r="C2033" s="5" t="str">
        <f>IFERROR(IF(Portafolio_Proyectos!$AP678="","","Emergente"),"")</f>
        <v/>
      </c>
      <c r="D2033" s="5" t="str">
        <f>IFERROR(IF(Portafolio_Proyectos!$AP678="","",Portafolio_Proyectos!$C678),"")</f>
        <v/>
      </c>
      <c r="E2033" s="5" t="str">
        <f>IFERROR(IF(Portafolio_Proyectos!$AP678="","",Portafolio_Proyectos!$B678),"")</f>
        <v/>
      </c>
      <c r="F2033" s="5" t="str">
        <f>IFERROR(IF(Portafolio_Proyectos!$AP678="","",Portafolio_Proyectos!$D678),"")</f>
        <v/>
      </c>
      <c r="G2033" s="5" t="str">
        <f>IFERROR(IF(Portafolio_Proyectos!$AP678="","",Portafolio_Proyectos!$A678),"")</f>
        <v/>
      </c>
      <c r="H2033" s="5" t="str">
        <f>IFERROR(IF(Portafolio_Proyectos!$AP678="","",Portafolio_Proyectos!$E678),"")</f>
        <v/>
      </c>
    </row>
    <row r="2034" spans="1:8" x14ac:dyDescent="0.35">
      <c r="A2034" s="5" t="str">
        <f>IFERROR(IF(Portafolio_Proyectos!$AQ678="","","CAP-"&amp;ROW()-1),"")</f>
        <v/>
      </c>
      <c r="B2034" s="5" t="str">
        <f>IFERROR(IF(Portafolio_Proyectos!$AQ678="","",Portafolio_Proyectos!$AQ678),"")</f>
        <v/>
      </c>
      <c r="C2034" s="5" t="str">
        <f>IFERROR(IF(Portafolio_Proyectos!$AQ678="","","Consolidada"),"")</f>
        <v/>
      </c>
      <c r="D2034" s="5" t="str">
        <f>IFERROR(IF(Portafolio_Proyectos!$AQ678="","",Portafolio_Proyectos!$C678),"")</f>
        <v/>
      </c>
      <c r="E2034" s="5" t="str">
        <f>IFERROR(IF(Portafolio_Proyectos!$AQ678="","",Portafolio_Proyectos!$B678),"")</f>
        <v/>
      </c>
      <c r="F2034" s="5" t="str">
        <f>IFERROR(IF(Portafolio_Proyectos!$AQ678="","",Portafolio_Proyectos!$D678),"")</f>
        <v/>
      </c>
      <c r="G2034" s="5" t="str">
        <f>IFERROR(IF(Portafolio_Proyectos!$AQ678="","",Portafolio_Proyectos!$A678),"")</f>
        <v/>
      </c>
      <c r="H2034" s="5" t="str">
        <f>IFERROR(IF(Portafolio_Proyectos!$AQ678="","",Portafolio_Proyectos!$E678),"")</f>
        <v/>
      </c>
    </row>
    <row r="2035" spans="1:8" x14ac:dyDescent="0.35">
      <c r="A2035" s="5" t="str">
        <f>IFERROR(IF(Portafolio_Proyectos!$AR678="","","CAP-"&amp;ROW()-1),"")</f>
        <v/>
      </c>
      <c r="B2035" s="5" t="str">
        <f>IFERROR(IF(Portafolio_Proyectos!$AR678="","",Portafolio_Proyectos!$AR678),"")</f>
        <v/>
      </c>
      <c r="C2035" s="5" t="str">
        <f>IFERROR(IF(Portafolio_Proyectos!$AR678="","","Distintiva"),"")</f>
        <v/>
      </c>
      <c r="D2035" s="5" t="str">
        <f>IFERROR(IF(Portafolio_Proyectos!$AR678="","",Portafolio_Proyectos!$C678),"")</f>
        <v/>
      </c>
      <c r="E2035" s="5" t="str">
        <f>IFERROR(IF(Portafolio_Proyectos!$AR678="","",Portafolio_Proyectos!$B678),"")</f>
        <v/>
      </c>
      <c r="F2035" s="5" t="str">
        <f>IFERROR(IF(Portafolio_Proyectos!$AR678="","",Portafolio_Proyectos!$D678),"")</f>
        <v/>
      </c>
      <c r="G2035" s="5" t="str">
        <f>IFERROR(IF(Portafolio_Proyectos!$AR678="","",Portafolio_Proyectos!$A678),"")</f>
        <v/>
      </c>
      <c r="H2035" s="5" t="str">
        <f>IFERROR(IF(Portafolio_Proyectos!$AR678="","",Portafolio_Proyectos!$E678),"")</f>
        <v/>
      </c>
    </row>
    <row r="2036" spans="1:8" x14ac:dyDescent="0.35">
      <c r="A2036" s="5" t="str">
        <f>IFERROR(IF(Portafolio_Proyectos!$AP679="","","CAP-"&amp;ROW()-1),"")</f>
        <v/>
      </c>
      <c r="B2036" s="5" t="str">
        <f>IFERROR(IF(Portafolio_Proyectos!$AP679="","",Portafolio_Proyectos!$AP679),"")</f>
        <v/>
      </c>
      <c r="C2036" s="5" t="str">
        <f>IFERROR(IF(Portafolio_Proyectos!$AP679="","","Emergente"),"")</f>
        <v/>
      </c>
      <c r="D2036" s="5" t="str">
        <f>IFERROR(IF(Portafolio_Proyectos!$AP679="","",Portafolio_Proyectos!$C679),"")</f>
        <v/>
      </c>
      <c r="E2036" s="5" t="str">
        <f>IFERROR(IF(Portafolio_Proyectos!$AP679="","",Portafolio_Proyectos!$B679),"")</f>
        <v/>
      </c>
      <c r="F2036" s="5" t="str">
        <f>IFERROR(IF(Portafolio_Proyectos!$AP679="","",Portafolio_Proyectos!$D679),"")</f>
        <v/>
      </c>
      <c r="G2036" s="5" t="str">
        <f>IFERROR(IF(Portafolio_Proyectos!$AP679="","",Portafolio_Proyectos!$A679),"")</f>
        <v/>
      </c>
      <c r="H2036" s="5" t="str">
        <f>IFERROR(IF(Portafolio_Proyectos!$AP679="","",Portafolio_Proyectos!$E679),"")</f>
        <v/>
      </c>
    </row>
    <row r="2037" spans="1:8" x14ac:dyDescent="0.35">
      <c r="A2037" s="5" t="str">
        <f>IFERROR(IF(Portafolio_Proyectos!$AQ679="","","CAP-"&amp;ROW()-1),"")</f>
        <v/>
      </c>
      <c r="B2037" s="5" t="str">
        <f>IFERROR(IF(Portafolio_Proyectos!$AQ679="","",Portafolio_Proyectos!$AQ679),"")</f>
        <v/>
      </c>
      <c r="C2037" s="5" t="str">
        <f>IFERROR(IF(Portafolio_Proyectos!$AQ679="","","Consolidada"),"")</f>
        <v/>
      </c>
      <c r="D2037" s="5" t="str">
        <f>IFERROR(IF(Portafolio_Proyectos!$AQ679="","",Portafolio_Proyectos!$C679),"")</f>
        <v/>
      </c>
      <c r="E2037" s="5" t="str">
        <f>IFERROR(IF(Portafolio_Proyectos!$AQ679="","",Portafolio_Proyectos!$B679),"")</f>
        <v/>
      </c>
      <c r="F2037" s="5" t="str">
        <f>IFERROR(IF(Portafolio_Proyectos!$AQ679="","",Portafolio_Proyectos!$D679),"")</f>
        <v/>
      </c>
      <c r="G2037" s="5" t="str">
        <f>IFERROR(IF(Portafolio_Proyectos!$AQ679="","",Portafolio_Proyectos!$A679),"")</f>
        <v/>
      </c>
      <c r="H2037" s="5" t="str">
        <f>IFERROR(IF(Portafolio_Proyectos!$AQ679="","",Portafolio_Proyectos!$E679),"")</f>
        <v/>
      </c>
    </row>
    <row r="2038" spans="1:8" x14ac:dyDescent="0.35">
      <c r="A2038" s="5" t="str">
        <f>IFERROR(IF(Portafolio_Proyectos!$AR679="","","CAP-"&amp;ROW()-1),"")</f>
        <v/>
      </c>
      <c r="B2038" s="5" t="str">
        <f>IFERROR(IF(Portafolio_Proyectos!$AR679="","",Portafolio_Proyectos!$AR679),"")</f>
        <v/>
      </c>
      <c r="C2038" s="5" t="str">
        <f>IFERROR(IF(Portafolio_Proyectos!$AR679="","","Distintiva"),"")</f>
        <v/>
      </c>
      <c r="D2038" s="5" t="str">
        <f>IFERROR(IF(Portafolio_Proyectos!$AR679="","",Portafolio_Proyectos!$C679),"")</f>
        <v/>
      </c>
      <c r="E2038" s="5" t="str">
        <f>IFERROR(IF(Portafolio_Proyectos!$AR679="","",Portafolio_Proyectos!$B679),"")</f>
        <v/>
      </c>
      <c r="F2038" s="5" t="str">
        <f>IFERROR(IF(Portafolio_Proyectos!$AR679="","",Portafolio_Proyectos!$D679),"")</f>
        <v/>
      </c>
      <c r="G2038" s="5" t="str">
        <f>IFERROR(IF(Portafolio_Proyectos!$AR679="","",Portafolio_Proyectos!$A679),"")</f>
        <v/>
      </c>
      <c r="H2038" s="5" t="str">
        <f>IFERROR(IF(Portafolio_Proyectos!$AR679="","",Portafolio_Proyectos!$E679),"")</f>
        <v/>
      </c>
    </row>
    <row r="2039" spans="1:8" x14ac:dyDescent="0.35">
      <c r="A2039" s="5" t="str">
        <f>IFERROR(IF(Portafolio_Proyectos!$AP680="","","CAP-"&amp;ROW()-1),"")</f>
        <v/>
      </c>
      <c r="B2039" s="5" t="str">
        <f>IFERROR(IF(Portafolio_Proyectos!$AP680="","",Portafolio_Proyectos!$AP680),"")</f>
        <v/>
      </c>
      <c r="C2039" s="5" t="str">
        <f>IFERROR(IF(Portafolio_Proyectos!$AP680="","","Emergente"),"")</f>
        <v/>
      </c>
      <c r="D2039" s="5" t="str">
        <f>IFERROR(IF(Portafolio_Proyectos!$AP680="","",Portafolio_Proyectos!$C680),"")</f>
        <v/>
      </c>
      <c r="E2039" s="5" t="str">
        <f>IFERROR(IF(Portafolio_Proyectos!$AP680="","",Portafolio_Proyectos!$B680),"")</f>
        <v/>
      </c>
      <c r="F2039" s="5" t="str">
        <f>IFERROR(IF(Portafolio_Proyectos!$AP680="","",Portafolio_Proyectos!$D680),"")</f>
        <v/>
      </c>
      <c r="G2039" s="5" t="str">
        <f>IFERROR(IF(Portafolio_Proyectos!$AP680="","",Portafolio_Proyectos!$A680),"")</f>
        <v/>
      </c>
      <c r="H2039" s="5" t="str">
        <f>IFERROR(IF(Portafolio_Proyectos!$AP680="","",Portafolio_Proyectos!$E680),"")</f>
        <v/>
      </c>
    </row>
    <row r="2040" spans="1:8" x14ac:dyDescent="0.35">
      <c r="A2040" s="5" t="str">
        <f>IFERROR(IF(Portafolio_Proyectos!$AQ680="","","CAP-"&amp;ROW()-1),"")</f>
        <v/>
      </c>
      <c r="B2040" s="5" t="str">
        <f>IFERROR(IF(Portafolio_Proyectos!$AQ680="","",Portafolio_Proyectos!$AQ680),"")</f>
        <v/>
      </c>
      <c r="C2040" s="5" t="str">
        <f>IFERROR(IF(Portafolio_Proyectos!$AQ680="","","Consolidada"),"")</f>
        <v/>
      </c>
      <c r="D2040" s="5" t="str">
        <f>IFERROR(IF(Portafolio_Proyectos!$AQ680="","",Portafolio_Proyectos!$C680),"")</f>
        <v/>
      </c>
      <c r="E2040" s="5" t="str">
        <f>IFERROR(IF(Portafolio_Proyectos!$AQ680="","",Portafolio_Proyectos!$B680),"")</f>
        <v/>
      </c>
      <c r="F2040" s="5" t="str">
        <f>IFERROR(IF(Portafolio_Proyectos!$AQ680="","",Portafolio_Proyectos!$D680),"")</f>
        <v/>
      </c>
      <c r="G2040" s="5" t="str">
        <f>IFERROR(IF(Portafolio_Proyectos!$AQ680="","",Portafolio_Proyectos!$A680),"")</f>
        <v/>
      </c>
      <c r="H2040" s="5" t="str">
        <f>IFERROR(IF(Portafolio_Proyectos!$AQ680="","",Portafolio_Proyectos!$E680),"")</f>
        <v/>
      </c>
    </row>
    <row r="2041" spans="1:8" x14ac:dyDescent="0.35">
      <c r="A2041" s="5" t="str">
        <f>IFERROR(IF(Portafolio_Proyectos!$AR680="","","CAP-"&amp;ROW()-1),"")</f>
        <v/>
      </c>
      <c r="B2041" s="5" t="str">
        <f>IFERROR(IF(Portafolio_Proyectos!$AR680="","",Portafolio_Proyectos!$AR680),"")</f>
        <v/>
      </c>
      <c r="C2041" s="5" t="str">
        <f>IFERROR(IF(Portafolio_Proyectos!$AR680="","","Distintiva"),"")</f>
        <v/>
      </c>
      <c r="D2041" s="5" t="str">
        <f>IFERROR(IF(Portafolio_Proyectos!$AR680="","",Portafolio_Proyectos!$C680),"")</f>
        <v/>
      </c>
      <c r="E2041" s="5" t="str">
        <f>IFERROR(IF(Portafolio_Proyectos!$AR680="","",Portafolio_Proyectos!$B680),"")</f>
        <v/>
      </c>
      <c r="F2041" s="5" t="str">
        <f>IFERROR(IF(Portafolio_Proyectos!$AR680="","",Portafolio_Proyectos!$D680),"")</f>
        <v/>
      </c>
      <c r="G2041" s="5" t="str">
        <f>IFERROR(IF(Portafolio_Proyectos!$AR680="","",Portafolio_Proyectos!$A680),"")</f>
        <v/>
      </c>
      <c r="H2041" s="5" t="str">
        <f>IFERROR(IF(Portafolio_Proyectos!$AR680="","",Portafolio_Proyectos!$E680),"")</f>
        <v/>
      </c>
    </row>
    <row r="2042" spans="1:8" x14ac:dyDescent="0.35">
      <c r="A2042" s="5" t="str">
        <f>IFERROR(IF(Portafolio_Proyectos!$AP681="","","CAP-"&amp;ROW()-1),"")</f>
        <v/>
      </c>
      <c r="B2042" s="5" t="str">
        <f>IFERROR(IF(Portafolio_Proyectos!$AP681="","",Portafolio_Proyectos!$AP681),"")</f>
        <v/>
      </c>
      <c r="C2042" s="5" t="str">
        <f>IFERROR(IF(Portafolio_Proyectos!$AP681="","","Emergente"),"")</f>
        <v/>
      </c>
      <c r="D2042" s="5" t="str">
        <f>IFERROR(IF(Portafolio_Proyectos!$AP681="","",Portafolio_Proyectos!$C681),"")</f>
        <v/>
      </c>
      <c r="E2042" s="5" t="str">
        <f>IFERROR(IF(Portafolio_Proyectos!$AP681="","",Portafolio_Proyectos!$B681),"")</f>
        <v/>
      </c>
      <c r="F2042" s="5" t="str">
        <f>IFERROR(IF(Portafolio_Proyectos!$AP681="","",Portafolio_Proyectos!$D681),"")</f>
        <v/>
      </c>
      <c r="G2042" s="5" t="str">
        <f>IFERROR(IF(Portafolio_Proyectos!$AP681="","",Portafolio_Proyectos!$A681),"")</f>
        <v/>
      </c>
      <c r="H2042" s="5" t="str">
        <f>IFERROR(IF(Portafolio_Proyectos!$AP681="","",Portafolio_Proyectos!$E681),"")</f>
        <v/>
      </c>
    </row>
    <row r="2043" spans="1:8" x14ac:dyDescent="0.35">
      <c r="A2043" s="5" t="str">
        <f>IFERROR(IF(Portafolio_Proyectos!$AQ681="","","CAP-"&amp;ROW()-1),"")</f>
        <v/>
      </c>
      <c r="B2043" s="5" t="str">
        <f>IFERROR(IF(Portafolio_Proyectos!$AQ681="","",Portafolio_Proyectos!$AQ681),"")</f>
        <v/>
      </c>
      <c r="C2043" s="5" t="str">
        <f>IFERROR(IF(Portafolio_Proyectos!$AQ681="","","Consolidada"),"")</f>
        <v/>
      </c>
      <c r="D2043" s="5" t="str">
        <f>IFERROR(IF(Portafolio_Proyectos!$AQ681="","",Portafolio_Proyectos!$C681),"")</f>
        <v/>
      </c>
      <c r="E2043" s="5" t="str">
        <f>IFERROR(IF(Portafolio_Proyectos!$AQ681="","",Portafolio_Proyectos!$B681),"")</f>
        <v/>
      </c>
      <c r="F2043" s="5" t="str">
        <f>IFERROR(IF(Portafolio_Proyectos!$AQ681="","",Portafolio_Proyectos!$D681),"")</f>
        <v/>
      </c>
      <c r="G2043" s="5" t="str">
        <f>IFERROR(IF(Portafolio_Proyectos!$AQ681="","",Portafolio_Proyectos!$A681),"")</f>
        <v/>
      </c>
      <c r="H2043" s="5" t="str">
        <f>IFERROR(IF(Portafolio_Proyectos!$AQ681="","",Portafolio_Proyectos!$E681),"")</f>
        <v/>
      </c>
    </row>
    <row r="2044" spans="1:8" x14ac:dyDescent="0.35">
      <c r="A2044" s="5" t="str">
        <f>IFERROR(IF(Portafolio_Proyectos!$AR681="","","CAP-"&amp;ROW()-1),"")</f>
        <v/>
      </c>
      <c r="B2044" s="5" t="str">
        <f>IFERROR(IF(Portafolio_Proyectos!$AR681="","",Portafolio_Proyectos!$AR681),"")</f>
        <v/>
      </c>
      <c r="C2044" s="5" t="str">
        <f>IFERROR(IF(Portafolio_Proyectos!$AR681="","","Distintiva"),"")</f>
        <v/>
      </c>
      <c r="D2044" s="5" t="str">
        <f>IFERROR(IF(Portafolio_Proyectos!$AR681="","",Portafolio_Proyectos!$C681),"")</f>
        <v/>
      </c>
      <c r="E2044" s="5" t="str">
        <f>IFERROR(IF(Portafolio_Proyectos!$AR681="","",Portafolio_Proyectos!$B681),"")</f>
        <v/>
      </c>
      <c r="F2044" s="5" t="str">
        <f>IFERROR(IF(Portafolio_Proyectos!$AR681="","",Portafolio_Proyectos!$D681),"")</f>
        <v/>
      </c>
      <c r="G2044" s="5" t="str">
        <f>IFERROR(IF(Portafolio_Proyectos!$AR681="","",Portafolio_Proyectos!$A681),"")</f>
        <v/>
      </c>
      <c r="H2044" s="5" t="str">
        <f>IFERROR(IF(Portafolio_Proyectos!$AR681="","",Portafolio_Proyectos!$E681),"")</f>
        <v/>
      </c>
    </row>
    <row r="2045" spans="1:8" x14ac:dyDescent="0.35">
      <c r="A2045" s="5" t="str">
        <f>IFERROR(IF(Portafolio_Proyectos!$AP682="","","CAP-"&amp;ROW()-1),"")</f>
        <v/>
      </c>
      <c r="B2045" s="5" t="str">
        <f>IFERROR(IF(Portafolio_Proyectos!$AP682="","",Portafolio_Proyectos!$AP682),"")</f>
        <v/>
      </c>
      <c r="C2045" s="5" t="str">
        <f>IFERROR(IF(Portafolio_Proyectos!$AP682="","","Emergente"),"")</f>
        <v/>
      </c>
      <c r="D2045" s="5" t="str">
        <f>IFERROR(IF(Portafolio_Proyectos!$AP682="","",Portafolio_Proyectos!$C682),"")</f>
        <v/>
      </c>
      <c r="E2045" s="5" t="str">
        <f>IFERROR(IF(Portafolio_Proyectos!$AP682="","",Portafolio_Proyectos!$B682),"")</f>
        <v/>
      </c>
      <c r="F2045" s="5" t="str">
        <f>IFERROR(IF(Portafolio_Proyectos!$AP682="","",Portafolio_Proyectos!$D682),"")</f>
        <v/>
      </c>
      <c r="G2045" s="5" t="str">
        <f>IFERROR(IF(Portafolio_Proyectos!$AP682="","",Portafolio_Proyectos!$A682),"")</f>
        <v/>
      </c>
      <c r="H2045" s="5" t="str">
        <f>IFERROR(IF(Portafolio_Proyectos!$AP682="","",Portafolio_Proyectos!$E682),"")</f>
        <v/>
      </c>
    </row>
    <row r="2046" spans="1:8" x14ac:dyDescent="0.35">
      <c r="A2046" s="5" t="str">
        <f>IFERROR(IF(Portafolio_Proyectos!$AQ682="","","CAP-"&amp;ROW()-1),"")</f>
        <v/>
      </c>
      <c r="B2046" s="5" t="str">
        <f>IFERROR(IF(Portafolio_Proyectos!$AQ682="","",Portafolio_Proyectos!$AQ682),"")</f>
        <v/>
      </c>
      <c r="C2046" s="5" t="str">
        <f>IFERROR(IF(Portafolio_Proyectos!$AQ682="","","Consolidada"),"")</f>
        <v/>
      </c>
      <c r="D2046" s="5" t="str">
        <f>IFERROR(IF(Portafolio_Proyectos!$AQ682="","",Portafolio_Proyectos!$C682),"")</f>
        <v/>
      </c>
      <c r="E2046" s="5" t="str">
        <f>IFERROR(IF(Portafolio_Proyectos!$AQ682="","",Portafolio_Proyectos!$B682),"")</f>
        <v/>
      </c>
      <c r="F2046" s="5" t="str">
        <f>IFERROR(IF(Portafolio_Proyectos!$AQ682="","",Portafolio_Proyectos!$D682),"")</f>
        <v/>
      </c>
      <c r="G2046" s="5" t="str">
        <f>IFERROR(IF(Portafolio_Proyectos!$AQ682="","",Portafolio_Proyectos!$A682),"")</f>
        <v/>
      </c>
      <c r="H2046" s="5" t="str">
        <f>IFERROR(IF(Portafolio_Proyectos!$AQ682="","",Portafolio_Proyectos!$E682),"")</f>
        <v/>
      </c>
    </row>
    <row r="2047" spans="1:8" x14ac:dyDescent="0.35">
      <c r="A2047" s="5" t="str">
        <f>IFERROR(IF(Portafolio_Proyectos!$AR682="","","CAP-"&amp;ROW()-1),"")</f>
        <v/>
      </c>
      <c r="B2047" s="5" t="str">
        <f>IFERROR(IF(Portafolio_Proyectos!$AR682="","",Portafolio_Proyectos!$AR682),"")</f>
        <v/>
      </c>
      <c r="C2047" s="5" t="str">
        <f>IFERROR(IF(Portafolio_Proyectos!$AR682="","","Distintiva"),"")</f>
        <v/>
      </c>
      <c r="D2047" s="5" t="str">
        <f>IFERROR(IF(Portafolio_Proyectos!$AR682="","",Portafolio_Proyectos!$C682),"")</f>
        <v/>
      </c>
      <c r="E2047" s="5" t="str">
        <f>IFERROR(IF(Portafolio_Proyectos!$AR682="","",Portafolio_Proyectos!$B682),"")</f>
        <v/>
      </c>
      <c r="F2047" s="5" t="str">
        <f>IFERROR(IF(Portafolio_Proyectos!$AR682="","",Portafolio_Proyectos!$D682),"")</f>
        <v/>
      </c>
      <c r="G2047" s="5" t="str">
        <f>IFERROR(IF(Portafolio_Proyectos!$AR682="","",Portafolio_Proyectos!$A682),"")</f>
        <v/>
      </c>
      <c r="H2047" s="5" t="str">
        <f>IFERROR(IF(Portafolio_Proyectos!$AR682="","",Portafolio_Proyectos!$E682),"")</f>
        <v/>
      </c>
    </row>
    <row r="2048" spans="1:8" x14ac:dyDescent="0.35">
      <c r="A2048" s="5" t="str">
        <f>IFERROR(IF(Portafolio_Proyectos!$AP683="","","CAP-"&amp;ROW()-1),"")</f>
        <v/>
      </c>
      <c r="B2048" s="5" t="str">
        <f>IFERROR(IF(Portafolio_Proyectos!$AP683="","",Portafolio_Proyectos!$AP683),"")</f>
        <v/>
      </c>
      <c r="C2048" s="5" t="str">
        <f>IFERROR(IF(Portafolio_Proyectos!$AP683="","","Emergente"),"")</f>
        <v/>
      </c>
      <c r="D2048" s="5" t="str">
        <f>IFERROR(IF(Portafolio_Proyectos!$AP683="","",Portafolio_Proyectos!$C683),"")</f>
        <v/>
      </c>
      <c r="E2048" s="5" t="str">
        <f>IFERROR(IF(Portafolio_Proyectos!$AP683="","",Portafolio_Proyectos!$B683),"")</f>
        <v/>
      </c>
      <c r="F2048" s="5" t="str">
        <f>IFERROR(IF(Portafolio_Proyectos!$AP683="","",Portafolio_Proyectos!$D683),"")</f>
        <v/>
      </c>
      <c r="G2048" s="5" t="str">
        <f>IFERROR(IF(Portafolio_Proyectos!$AP683="","",Portafolio_Proyectos!$A683),"")</f>
        <v/>
      </c>
      <c r="H2048" s="5" t="str">
        <f>IFERROR(IF(Portafolio_Proyectos!$AP683="","",Portafolio_Proyectos!$E683),"")</f>
        <v/>
      </c>
    </row>
    <row r="2049" spans="1:8" x14ac:dyDescent="0.35">
      <c r="A2049" s="5" t="str">
        <f>IFERROR(IF(Portafolio_Proyectos!$AQ683="","","CAP-"&amp;ROW()-1),"")</f>
        <v/>
      </c>
      <c r="B2049" s="5" t="str">
        <f>IFERROR(IF(Portafolio_Proyectos!$AQ683="","",Portafolio_Proyectos!$AQ683),"")</f>
        <v/>
      </c>
      <c r="C2049" s="5" t="str">
        <f>IFERROR(IF(Portafolio_Proyectos!$AQ683="","","Consolidada"),"")</f>
        <v/>
      </c>
      <c r="D2049" s="5" t="str">
        <f>IFERROR(IF(Portafolio_Proyectos!$AQ683="","",Portafolio_Proyectos!$C683),"")</f>
        <v/>
      </c>
      <c r="E2049" s="5" t="str">
        <f>IFERROR(IF(Portafolio_Proyectos!$AQ683="","",Portafolio_Proyectos!$B683),"")</f>
        <v/>
      </c>
      <c r="F2049" s="5" t="str">
        <f>IFERROR(IF(Portafolio_Proyectos!$AQ683="","",Portafolio_Proyectos!$D683),"")</f>
        <v/>
      </c>
      <c r="G2049" s="5" t="str">
        <f>IFERROR(IF(Portafolio_Proyectos!$AQ683="","",Portafolio_Proyectos!$A683),"")</f>
        <v/>
      </c>
      <c r="H2049" s="5" t="str">
        <f>IFERROR(IF(Portafolio_Proyectos!$AQ683="","",Portafolio_Proyectos!$E683),"")</f>
        <v/>
      </c>
    </row>
    <row r="2050" spans="1:8" x14ac:dyDescent="0.35">
      <c r="A2050" s="5" t="str">
        <f>IFERROR(IF(Portafolio_Proyectos!$AR683="","","CAP-"&amp;ROW()-1),"")</f>
        <v/>
      </c>
      <c r="B2050" s="5" t="str">
        <f>IFERROR(IF(Portafolio_Proyectos!$AR683="","",Portafolio_Proyectos!$AR683),"")</f>
        <v/>
      </c>
      <c r="C2050" s="5" t="str">
        <f>IFERROR(IF(Portafolio_Proyectos!$AR683="","","Distintiva"),"")</f>
        <v/>
      </c>
      <c r="D2050" s="5" t="str">
        <f>IFERROR(IF(Portafolio_Proyectos!$AR683="","",Portafolio_Proyectos!$C683),"")</f>
        <v/>
      </c>
      <c r="E2050" s="5" t="str">
        <f>IFERROR(IF(Portafolio_Proyectos!$AR683="","",Portafolio_Proyectos!$B683),"")</f>
        <v/>
      </c>
      <c r="F2050" s="5" t="str">
        <f>IFERROR(IF(Portafolio_Proyectos!$AR683="","",Portafolio_Proyectos!$D683),"")</f>
        <v/>
      </c>
      <c r="G2050" s="5" t="str">
        <f>IFERROR(IF(Portafolio_Proyectos!$AR683="","",Portafolio_Proyectos!$A683),"")</f>
        <v/>
      </c>
      <c r="H2050" s="5" t="str">
        <f>IFERROR(IF(Portafolio_Proyectos!$AR683="","",Portafolio_Proyectos!$E683),"")</f>
        <v/>
      </c>
    </row>
    <row r="2051" spans="1:8" x14ac:dyDescent="0.35">
      <c r="A2051" s="5" t="str">
        <f>IFERROR(IF(Portafolio_Proyectos!$AP684="","","CAP-"&amp;ROW()-1),"")</f>
        <v/>
      </c>
      <c r="B2051" s="5" t="str">
        <f>IFERROR(IF(Portafolio_Proyectos!$AP684="","",Portafolio_Proyectos!$AP684),"")</f>
        <v/>
      </c>
      <c r="C2051" s="5" t="str">
        <f>IFERROR(IF(Portafolio_Proyectos!$AP684="","","Emergente"),"")</f>
        <v/>
      </c>
      <c r="D2051" s="5" t="str">
        <f>IFERROR(IF(Portafolio_Proyectos!$AP684="","",Portafolio_Proyectos!$C684),"")</f>
        <v/>
      </c>
      <c r="E2051" s="5" t="str">
        <f>IFERROR(IF(Portafolio_Proyectos!$AP684="","",Portafolio_Proyectos!$B684),"")</f>
        <v/>
      </c>
      <c r="F2051" s="5" t="str">
        <f>IFERROR(IF(Portafolio_Proyectos!$AP684="","",Portafolio_Proyectos!$D684),"")</f>
        <v/>
      </c>
      <c r="G2051" s="5" t="str">
        <f>IFERROR(IF(Portafolio_Proyectos!$AP684="","",Portafolio_Proyectos!$A684),"")</f>
        <v/>
      </c>
      <c r="H2051" s="5" t="str">
        <f>IFERROR(IF(Portafolio_Proyectos!$AP684="","",Portafolio_Proyectos!$E684),"")</f>
        <v/>
      </c>
    </row>
    <row r="2052" spans="1:8" x14ac:dyDescent="0.35">
      <c r="A2052" s="5" t="str">
        <f>IFERROR(IF(Portafolio_Proyectos!$AQ684="","","CAP-"&amp;ROW()-1),"")</f>
        <v/>
      </c>
      <c r="B2052" s="5" t="str">
        <f>IFERROR(IF(Portafolio_Proyectos!$AQ684="","",Portafolio_Proyectos!$AQ684),"")</f>
        <v/>
      </c>
      <c r="C2052" s="5" t="str">
        <f>IFERROR(IF(Portafolio_Proyectos!$AQ684="","","Consolidada"),"")</f>
        <v/>
      </c>
      <c r="D2052" s="5" t="str">
        <f>IFERROR(IF(Portafolio_Proyectos!$AQ684="","",Portafolio_Proyectos!$C684),"")</f>
        <v/>
      </c>
      <c r="E2052" s="5" t="str">
        <f>IFERROR(IF(Portafolio_Proyectos!$AQ684="","",Portafolio_Proyectos!$B684),"")</f>
        <v/>
      </c>
      <c r="F2052" s="5" t="str">
        <f>IFERROR(IF(Portafolio_Proyectos!$AQ684="","",Portafolio_Proyectos!$D684),"")</f>
        <v/>
      </c>
      <c r="G2052" s="5" t="str">
        <f>IFERROR(IF(Portafolio_Proyectos!$AQ684="","",Portafolio_Proyectos!$A684),"")</f>
        <v/>
      </c>
      <c r="H2052" s="5" t="str">
        <f>IFERROR(IF(Portafolio_Proyectos!$AQ684="","",Portafolio_Proyectos!$E684),"")</f>
        <v/>
      </c>
    </row>
    <row r="2053" spans="1:8" x14ac:dyDescent="0.35">
      <c r="A2053" s="5" t="str">
        <f>IFERROR(IF(Portafolio_Proyectos!$AR684="","","CAP-"&amp;ROW()-1),"")</f>
        <v/>
      </c>
      <c r="B2053" s="5" t="str">
        <f>IFERROR(IF(Portafolio_Proyectos!$AR684="","",Portafolio_Proyectos!$AR684),"")</f>
        <v/>
      </c>
      <c r="C2053" s="5" t="str">
        <f>IFERROR(IF(Portafolio_Proyectos!$AR684="","","Distintiva"),"")</f>
        <v/>
      </c>
      <c r="D2053" s="5" t="str">
        <f>IFERROR(IF(Portafolio_Proyectos!$AR684="","",Portafolio_Proyectos!$C684),"")</f>
        <v/>
      </c>
      <c r="E2053" s="5" t="str">
        <f>IFERROR(IF(Portafolio_Proyectos!$AR684="","",Portafolio_Proyectos!$B684),"")</f>
        <v/>
      </c>
      <c r="F2053" s="5" t="str">
        <f>IFERROR(IF(Portafolio_Proyectos!$AR684="","",Portafolio_Proyectos!$D684),"")</f>
        <v/>
      </c>
      <c r="G2053" s="5" t="str">
        <f>IFERROR(IF(Portafolio_Proyectos!$AR684="","",Portafolio_Proyectos!$A684),"")</f>
        <v/>
      </c>
      <c r="H2053" s="5" t="str">
        <f>IFERROR(IF(Portafolio_Proyectos!$AR684="","",Portafolio_Proyectos!$E684),"")</f>
        <v/>
      </c>
    </row>
    <row r="2054" spans="1:8" x14ac:dyDescent="0.35">
      <c r="A2054" s="5" t="str">
        <f>IFERROR(IF(Portafolio_Proyectos!$AP685="","","CAP-"&amp;ROW()-1),"")</f>
        <v/>
      </c>
      <c r="B2054" s="5" t="str">
        <f>IFERROR(IF(Portafolio_Proyectos!$AP685="","",Portafolio_Proyectos!$AP685),"")</f>
        <v/>
      </c>
      <c r="C2054" s="5" t="str">
        <f>IFERROR(IF(Portafolio_Proyectos!$AP685="","","Emergente"),"")</f>
        <v/>
      </c>
      <c r="D2054" s="5" t="str">
        <f>IFERROR(IF(Portafolio_Proyectos!$AP685="","",Portafolio_Proyectos!$C685),"")</f>
        <v/>
      </c>
      <c r="E2054" s="5" t="str">
        <f>IFERROR(IF(Portafolio_Proyectos!$AP685="","",Portafolio_Proyectos!$B685),"")</f>
        <v/>
      </c>
      <c r="F2054" s="5" t="str">
        <f>IFERROR(IF(Portafolio_Proyectos!$AP685="","",Portafolio_Proyectos!$D685),"")</f>
        <v/>
      </c>
      <c r="G2054" s="5" t="str">
        <f>IFERROR(IF(Portafolio_Proyectos!$AP685="","",Portafolio_Proyectos!$A685),"")</f>
        <v/>
      </c>
      <c r="H2054" s="5" t="str">
        <f>IFERROR(IF(Portafolio_Proyectos!$AP685="","",Portafolio_Proyectos!$E685),"")</f>
        <v/>
      </c>
    </row>
    <row r="2055" spans="1:8" x14ac:dyDescent="0.35">
      <c r="A2055" s="5" t="str">
        <f>IFERROR(IF(Portafolio_Proyectos!$AQ685="","","CAP-"&amp;ROW()-1),"")</f>
        <v/>
      </c>
      <c r="B2055" s="5" t="str">
        <f>IFERROR(IF(Portafolio_Proyectos!$AQ685="","",Portafolio_Proyectos!$AQ685),"")</f>
        <v/>
      </c>
      <c r="C2055" s="5" t="str">
        <f>IFERROR(IF(Portafolio_Proyectos!$AQ685="","","Consolidada"),"")</f>
        <v/>
      </c>
      <c r="D2055" s="5" t="str">
        <f>IFERROR(IF(Portafolio_Proyectos!$AQ685="","",Portafolio_Proyectos!$C685),"")</f>
        <v/>
      </c>
      <c r="E2055" s="5" t="str">
        <f>IFERROR(IF(Portafolio_Proyectos!$AQ685="","",Portafolio_Proyectos!$B685),"")</f>
        <v/>
      </c>
      <c r="F2055" s="5" t="str">
        <f>IFERROR(IF(Portafolio_Proyectos!$AQ685="","",Portafolio_Proyectos!$D685),"")</f>
        <v/>
      </c>
      <c r="G2055" s="5" t="str">
        <f>IFERROR(IF(Portafolio_Proyectos!$AQ685="","",Portafolio_Proyectos!$A685),"")</f>
        <v/>
      </c>
      <c r="H2055" s="5" t="str">
        <f>IFERROR(IF(Portafolio_Proyectos!$AQ685="","",Portafolio_Proyectos!$E685),"")</f>
        <v/>
      </c>
    </row>
    <row r="2056" spans="1:8" x14ac:dyDescent="0.35">
      <c r="A2056" s="5" t="str">
        <f>IFERROR(IF(Portafolio_Proyectos!$AR685="","","CAP-"&amp;ROW()-1),"")</f>
        <v/>
      </c>
      <c r="B2056" s="5" t="str">
        <f>IFERROR(IF(Portafolio_Proyectos!$AR685="","",Portafolio_Proyectos!$AR685),"")</f>
        <v/>
      </c>
      <c r="C2056" s="5" t="str">
        <f>IFERROR(IF(Portafolio_Proyectos!$AR685="","","Distintiva"),"")</f>
        <v/>
      </c>
      <c r="D2056" s="5" t="str">
        <f>IFERROR(IF(Portafolio_Proyectos!$AR685="","",Portafolio_Proyectos!$C685),"")</f>
        <v/>
      </c>
      <c r="E2056" s="5" t="str">
        <f>IFERROR(IF(Portafolio_Proyectos!$AR685="","",Portafolio_Proyectos!$B685),"")</f>
        <v/>
      </c>
      <c r="F2056" s="5" t="str">
        <f>IFERROR(IF(Portafolio_Proyectos!$AR685="","",Portafolio_Proyectos!$D685),"")</f>
        <v/>
      </c>
      <c r="G2056" s="5" t="str">
        <f>IFERROR(IF(Portafolio_Proyectos!$AR685="","",Portafolio_Proyectos!$A685),"")</f>
        <v/>
      </c>
      <c r="H2056" s="5" t="str">
        <f>IFERROR(IF(Portafolio_Proyectos!$AR685="","",Portafolio_Proyectos!$E685),"")</f>
        <v/>
      </c>
    </row>
    <row r="2057" spans="1:8" x14ac:dyDescent="0.35">
      <c r="A2057" s="5" t="str">
        <f>IFERROR(IF(Portafolio_Proyectos!$AP686="","","CAP-"&amp;ROW()-1),"")</f>
        <v/>
      </c>
      <c r="B2057" s="5" t="str">
        <f>IFERROR(IF(Portafolio_Proyectos!$AP686="","",Portafolio_Proyectos!$AP686),"")</f>
        <v/>
      </c>
      <c r="C2057" s="5" t="str">
        <f>IFERROR(IF(Portafolio_Proyectos!$AP686="","","Emergente"),"")</f>
        <v/>
      </c>
      <c r="D2057" s="5" t="str">
        <f>IFERROR(IF(Portafolio_Proyectos!$AP686="","",Portafolio_Proyectos!$C686),"")</f>
        <v/>
      </c>
      <c r="E2057" s="5" t="str">
        <f>IFERROR(IF(Portafolio_Proyectos!$AP686="","",Portafolio_Proyectos!$B686),"")</f>
        <v/>
      </c>
      <c r="F2057" s="5" t="str">
        <f>IFERROR(IF(Portafolio_Proyectos!$AP686="","",Portafolio_Proyectos!$D686),"")</f>
        <v/>
      </c>
      <c r="G2057" s="5" t="str">
        <f>IFERROR(IF(Portafolio_Proyectos!$AP686="","",Portafolio_Proyectos!$A686),"")</f>
        <v/>
      </c>
      <c r="H2057" s="5" t="str">
        <f>IFERROR(IF(Portafolio_Proyectos!$AP686="","",Portafolio_Proyectos!$E686),"")</f>
        <v/>
      </c>
    </row>
    <row r="2058" spans="1:8" x14ac:dyDescent="0.35">
      <c r="A2058" s="5" t="str">
        <f>IFERROR(IF(Portafolio_Proyectos!$AQ686="","","CAP-"&amp;ROW()-1),"")</f>
        <v/>
      </c>
      <c r="B2058" s="5" t="str">
        <f>IFERROR(IF(Portafolio_Proyectos!$AQ686="","",Portafolio_Proyectos!$AQ686),"")</f>
        <v/>
      </c>
      <c r="C2058" s="5" t="str">
        <f>IFERROR(IF(Portafolio_Proyectos!$AQ686="","","Consolidada"),"")</f>
        <v/>
      </c>
      <c r="D2058" s="5" t="str">
        <f>IFERROR(IF(Portafolio_Proyectos!$AQ686="","",Portafolio_Proyectos!$C686),"")</f>
        <v/>
      </c>
      <c r="E2058" s="5" t="str">
        <f>IFERROR(IF(Portafolio_Proyectos!$AQ686="","",Portafolio_Proyectos!$B686),"")</f>
        <v/>
      </c>
      <c r="F2058" s="5" t="str">
        <f>IFERROR(IF(Portafolio_Proyectos!$AQ686="","",Portafolio_Proyectos!$D686),"")</f>
        <v/>
      </c>
      <c r="G2058" s="5" t="str">
        <f>IFERROR(IF(Portafolio_Proyectos!$AQ686="","",Portafolio_Proyectos!$A686),"")</f>
        <v/>
      </c>
      <c r="H2058" s="5" t="str">
        <f>IFERROR(IF(Portafolio_Proyectos!$AQ686="","",Portafolio_Proyectos!$E686),"")</f>
        <v/>
      </c>
    </row>
    <row r="2059" spans="1:8" x14ac:dyDescent="0.35">
      <c r="A2059" s="5" t="str">
        <f>IFERROR(IF(Portafolio_Proyectos!$AR686="","","CAP-"&amp;ROW()-1),"")</f>
        <v/>
      </c>
      <c r="B2059" s="5" t="str">
        <f>IFERROR(IF(Portafolio_Proyectos!$AR686="","",Portafolio_Proyectos!$AR686),"")</f>
        <v/>
      </c>
      <c r="C2059" s="5" t="str">
        <f>IFERROR(IF(Portafolio_Proyectos!$AR686="","","Distintiva"),"")</f>
        <v/>
      </c>
      <c r="D2059" s="5" t="str">
        <f>IFERROR(IF(Portafolio_Proyectos!$AR686="","",Portafolio_Proyectos!$C686),"")</f>
        <v/>
      </c>
      <c r="E2059" s="5" t="str">
        <f>IFERROR(IF(Portafolio_Proyectos!$AR686="","",Portafolio_Proyectos!$B686),"")</f>
        <v/>
      </c>
      <c r="F2059" s="5" t="str">
        <f>IFERROR(IF(Portafolio_Proyectos!$AR686="","",Portafolio_Proyectos!$D686),"")</f>
        <v/>
      </c>
      <c r="G2059" s="5" t="str">
        <f>IFERROR(IF(Portafolio_Proyectos!$AR686="","",Portafolio_Proyectos!$A686),"")</f>
        <v/>
      </c>
      <c r="H2059" s="5" t="str">
        <f>IFERROR(IF(Portafolio_Proyectos!$AR686="","",Portafolio_Proyectos!$E686),"")</f>
        <v/>
      </c>
    </row>
    <row r="2060" spans="1:8" x14ac:dyDescent="0.35">
      <c r="A2060" s="5" t="str">
        <f>IFERROR(IF(Portafolio_Proyectos!$AP687="","","CAP-"&amp;ROW()-1),"")</f>
        <v/>
      </c>
      <c r="B2060" s="5" t="str">
        <f>IFERROR(IF(Portafolio_Proyectos!$AP687="","",Portafolio_Proyectos!$AP687),"")</f>
        <v/>
      </c>
      <c r="C2060" s="5" t="str">
        <f>IFERROR(IF(Portafolio_Proyectos!$AP687="","","Emergente"),"")</f>
        <v/>
      </c>
      <c r="D2060" s="5" t="str">
        <f>IFERROR(IF(Portafolio_Proyectos!$AP687="","",Portafolio_Proyectos!$C687),"")</f>
        <v/>
      </c>
      <c r="E2060" s="5" t="str">
        <f>IFERROR(IF(Portafolio_Proyectos!$AP687="","",Portafolio_Proyectos!$B687),"")</f>
        <v/>
      </c>
      <c r="F2060" s="5" t="str">
        <f>IFERROR(IF(Portafolio_Proyectos!$AP687="","",Portafolio_Proyectos!$D687),"")</f>
        <v/>
      </c>
      <c r="G2060" s="5" t="str">
        <f>IFERROR(IF(Portafolio_Proyectos!$AP687="","",Portafolio_Proyectos!$A687),"")</f>
        <v/>
      </c>
      <c r="H2060" s="5" t="str">
        <f>IFERROR(IF(Portafolio_Proyectos!$AP687="","",Portafolio_Proyectos!$E687),"")</f>
        <v/>
      </c>
    </row>
    <row r="2061" spans="1:8" x14ac:dyDescent="0.35">
      <c r="A2061" s="5" t="str">
        <f>IFERROR(IF(Portafolio_Proyectos!$AQ687="","","CAP-"&amp;ROW()-1),"")</f>
        <v/>
      </c>
      <c r="B2061" s="5" t="str">
        <f>IFERROR(IF(Portafolio_Proyectos!$AQ687="","",Portafolio_Proyectos!$AQ687),"")</f>
        <v/>
      </c>
      <c r="C2061" s="5" t="str">
        <f>IFERROR(IF(Portafolio_Proyectos!$AQ687="","","Consolidada"),"")</f>
        <v/>
      </c>
      <c r="D2061" s="5" t="str">
        <f>IFERROR(IF(Portafolio_Proyectos!$AQ687="","",Portafolio_Proyectos!$C687),"")</f>
        <v/>
      </c>
      <c r="E2061" s="5" t="str">
        <f>IFERROR(IF(Portafolio_Proyectos!$AQ687="","",Portafolio_Proyectos!$B687),"")</f>
        <v/>
      </c>
      <c r="F2061" s="5" t="str">
        <f>IFERROR(IF(Portafolio_Proyectos!$AQ687="","",Portafolio_Proyectos!$D687),"")</f>
        <v/>
      </c>
      <c r="G2061" s="5" t="str">
        <f>IFERROR(IF(Portafolio_Proyectos!$AQ687="","",Portafolio_Proyectos!$A687),"")</f>
        <v/>
      </c>
      <c r="H2061" s="5" t="str">
        <f>IFERROR(IF(Portafolio_Proyectos!$AQ687="","",Portafolio_Proyectos!$E687),"")</f>
        <v/>
      </c>
    </row>
    <row r="2062" spans="1:8" x14ac:dyDescent="0.35">
      <c r="A2062" s="5" t="str">
        <f>IFERROR(IF(Portafolio_Proyectos!$AR687="","","CAP-"&amp;ROW()-1),"")</f>
        <v/>
      </c>
      <c r="B2062" s="5" t="str">
        <f>IFERROR(IF(Portafolio_Proyectos!$AR687="","",Portafolio_Proyectos!$AR687),"")</f>
        <v/>
      </c>
      <c r="C2062" s="5" t="str">
        <f>IFERROR(IF(Portafolio_Proyectos!$AR687="","","Distintiva"),"")</f>
        <v/>
      </c>
      <c r="D2062" s="5" t="str">
        <f>IFERROR(IF(Portafolio_Proyectos!$AR687="","",Portafolio_Proyectos!$C687),"")</f>
        <v/>
      </c>
      <c r="E2062" s="5" t="str">
        <f>IFERROR(IF(Portafolio_Proyectos!$AR687="","",Portafolio_Proyectos!$B687),"")</f>
        <v/>
      </c>
      <c r="F2062" s="5" t="str">
        <f>IFERROR(IF(Portafolio_Proyectos!$AR687="","",Portafolio_Proyectos!$D687),"")</f>
        <v/>
      </c>
      <c r="G2062" s="5" t="str">
        <f>IFERROR(IF(Portafolio_Proyectos!$AR687="","",Portafolio_Proyectos!$A687),"")</f>
        <v/>
      </c>
      <c r="H2062" s="5" t="str">
        <f>IFERROR(IF(Portafolio_Proyectos!$AR687="","",Portafolio_Proyectos!$E687),"")</f>
        <v/>
      </c>
    </row>
    <row r="2063" spans="1:8" x14ac:dyDescent="0.35">
      <c r="A2063" s="5" t="str">
        <f>IFERROR(IF(Portafolio_Proyectos!$AP688="","","CAP-"&amp;ROW()-1),"")</f>
        <v/>
      </c>
      <c r="B2063" s="5" t="str">
        <f>IFERROR(IF(Portafolio_Proyectos!$AP688="","",Portafolio_Proyectos!$AP688),"")</f>
        <v/>
      </c>
      <c r="C2063" s="5" t="str">
        <f>IFERROR(IF(Portafolio_Proyectos!$AP688="","","Emergente"),"")</f>
        <v/>
      </c>
      <c r="D2063" s="5" t="str">
        <f>IFERROR(IF(Portafolio_Proyectos!$AP688="","",Portafolio_Proyectos!$C688),"")</f>
        <v/>
      </c>
      <c r="E2063" s="5" t="str">
        <f>IFERROR(IF(Portafolio_Proyectos!$AP688="","",Portafolio_Proyectos!$B688),"")</f>
        <v/>
      </c>
      <c r="F2063" s="5" t="str">
        <f>IFERROR(IF(Portafolio_Proyectos!$AP688="","",Portafolio_Proyectos!$D688),"")</f>
        <v/>
      </c>
      <c r="G2063" s="5" t="str">
        <f>IFERROR(IF(Portafolio_Proyectos!$AP688="","",Portafolio_Proyectos!$A688),"")</f>
        <v/>
      </c>
      <c r="H2063" s="5" t="str">
        <f>IFERROR(IF(Portafolio_Proyectos!$AP688="","",Portafolio_Proyectos!$E688),"")</f>
        <v/>
      </c>
    </row>
    <row r="2064" spans="1:8" x14ac:dyDescent="0.35">
      <c r="A2064" s="5" t="str">
        <f>IFERROR(IF(Portafolio_Proyectos!$AQ688="","","CAP-"&amp;ROW()-1),"")</f>
        <v/>
      </c>
      <c r="B2064" s="5" t="str">
        <f>IFERROR(IF(Portafolio_Proyectos!$AQ688="","",Portafolio_Proyectos!$AQ688),"")</f>
        <v/>
      </c>
      <c r="C2064" s="5" t="str">
        <f>IFERROR(IF(Portafolio_Proyectos!$AQ688="","","Consolidada"),"")</f>
        <v/>
      </c>
      <c r="D2064" s="5" t="str">
        <f>IFERROR(IF(Portafolio_Proyectos!$AQ688="","",Portafolio_Proyectos!$C688),"")</f>
        <v/>
      </c>
      <c r="E2064" s="5" t="str">
        <f>IFERROR(IF(Portafolio_Proyectos!$AQ688="","",Portafolio_Proyectos!$B688),"")</f>
        <v/>
      </c>
      <c r="F2064" s="5" t="str">
        <f>IFERROR(IF(Portafolio_Proyectos!$AQ688="","",Portafolio_Proyectos!$D688),"")</f>
        <v/>
      </c>
      <c r="G2064" s="5" t="str">
        <f>IFERROR(IF(Portafolio_Proyectos!$AQ688="","",Portafolio_Proyectos!$A688),"")</f>
        <v/>
      </c>
      <c r="H2064" s="5" t="str">
        <f>IFERROR(IF(Portafolio_Proyectos!$AQ688="","",Portafolio_Proyectos!$E688),"")</f>
        <v/>
      </c>
    </row>
    <row r="2065" spans="1:8" x14ac:dyDescent="0.35">
      <c r="A2065" s="5" t="str">
        <f>IFERROR(IF(Portafolio_Proyectos!$AR688="","","CAP-"&amp;ROW()-1),"")</f>
        <v/>
      </c>
      <c r="B2065" s="5" t="str">
        <f>IFERROR(IF(Portafolio_Proyectos!$AR688="","",Portafolio_Proyectos!$AR688),"")</f>
        <v/>
      </c>
      <c r="C2065" s="5" t="str">
        <f>IFERROR(IF(Portafolio_Proyectos!$AR688="","","Distintiva"),"")</f>
        <v/>
      </c>
      <c r="D2065" s="5" t="str">
        <f>IFERROR(IF(Portafolio_Proyectos!$AR688="","",Portafolio_Proyectos!$C688),"")</f>
        <v/>
      </c>
      <c r="E2065" s="5" t="str">
        <f>IFERROR(IF(Portafolio_Proyectos!$AR688="","",Portafolio_Proyectos!$B688),"")</f>
        <v/>
      </c>
      <c r="F2065" s="5" t="str">
        <f>IFERROR(IF(Portafolio_Proyectos!$AR688="","",Portafolio_Proyectos!$D688),"")</f>
        <v/>
      </c>
      <c r="G2065" s="5" t="str">
        <f>IFERROR(IF(Portafolio_Proyectos!$AR688="","",Portafolio_Proyectos!$A688),"")</f>
        <v/>
      </c>
      <c r="H2065" s="5" t="str">
        <f>IFERROR(IF(Portafolio_Proyectos!$AR688="","",Portafolio_Proyectos!$E688),"")</f>
        <v/>
      </c>
    </row>
    <row r="2066" spans="1:8" x14ac:dyDescent="0.35">
      <c r="A2066" s="5" t="str">
        <f>IFERROR(IF(Portafolio_Proyectos!$AP689="","","CAP-"&amp;ROW()-1),"")</f>
        <v/>
      </c>
      <c r="B2066" s="5" t="str">
        <f>IFERROR(IF(Portafolio_Proyectos!$AP689="","",Portafolio_Proyectos!$AP689),"")</f>
        <v/>
      </c>
      <c r="C2066" s="5" t="str">
        <f>IFERROR(IF(Portafolio_Proyectos!$AP689="","","Emergente"),"")</f>
        <v/>
      </c>
      <c r="D2066" s="5" t="str">
        <f>IFERROR(IF(Portafolio_Proyectos!$AP689="","",Portafolio_Proyectos!$C689),"")</f>
        <v/>
      </c>
      <c r="E2066" s="5" t="str">
        <f>IFERROR(IF(Portafolio_Proyectos!$AP689="","",Portafolio_Proyectos!$B689),"")</f>
        <v/>
      </c>
      <c r="F2066" s="5" t="str">
        <f>IFERROR(IF(Portafolio_Proyectos!$AP689="","",Portafolio_Proyectos!$D689),"")</f>
        <v/>
      </c>
      <c r="G2066" s="5" t="str">
        <f>IFERROR(IF(Portafolio_Proyectos!$AP689="","",Portafolio_Proyectos!$A689),"")</f>
        <v/>
      </c>
      <c r="H2066" s="5" t="str">
        <f>IFERROR(IF(Portafolio_Proyectos!$AP689="","",Portafolio_Proyectos!$E689),"")</f>
        <v/>
      </c>
    </row>
    <row r="2067" spans="1:8" x14ac:dyDescent="0.35">
      <c r="A2067" s="5" t="str">
        <f>IFERROR(IF(Portafolio_Proyectos!$AQ689="","","CAP-"&amp;ROW()-1),"")</f>
        <v/>
      </c>
      <c r="B2067" s="5" t="str">
        <f>IFERROR(IF(Portafolio_Proyectos!$AQ689="","",Portafolio_Proyectos!$AQ689),"")</f>
        <v/>
      </c>
      <c r="C2067" s="5" t="str">
        <f>IFERROR(IF(Portafolio_Proyectos!$AQ689="","","Consolidada"),"")</f>
        <v/>
      </c>
      <c r="D2067" s="5" t="str">
        <f>IFERROR(IF(Portafolio_Proyectos!$AQ689="","",Portafolio_Proyectos!$C689),"")</f>
        <v/>
      </c>
      <c r="E2067" s="5" t="str">
        <f>IFERROR(IF(Portafolio_Proyectos!$AQ689="","",Portafolio_Proyectos!$B689),"")</f>
        <v/>
      </c>
      <c r="F2067" s="5" t="str">
        <f>IFERROR(IF(Portafolio_Proyectos!$AQ689="","",Portafolio_Proyectos!$D689),"")</f>
        <v/>
      </c>
      <c r="G2067" s="5" t="str">
        <f>IFERROR(IF(Portafolio_Proyectos!$AQ689="","",Portafolio_Proyectos!$A689),"")</f>
        <v/>
      </c>
      <c r="H2067" s="5" t="str">
        <f>IFERROR(IF(Portafolio_Proyectos!$AQ689="","",Portafolio_Proyectos!$E689),"")</f>
        <v/>
      </c>
    </row>
    <row r="2068" spans="1:8" x14ac:dyDescent="0.35">
      <c r="A2068" s="5" t="str">
        <f>IFERROR(IF(Portafolio_Proyectos!$AR689="","","CAP-"&amp;ROW()-1),"")</f>
        <v/>
      </c>
      <c r="B2068" s="5" t="str">
        <f>IFERROR(IF(Portafolio_Proyectos!$AR689="","",Portafolio_Proyectos!$AR689),"")</f>
        <v/>
      </c>
      <c r="C2068" s="5" t="str">
        <f>IFERROR(IF(Portafolio_Proyectos!$AR689="","","Distintiva"),"")</f>
        <v/>
      </c>
      <c r="D2068" s="5" t="str">
        <f>IFERROR(IF(Portafolio_Proyectos!$AR689="","",Portafolio_Proyectos!$C689),"")</f>
        <v/>
      </c>
      <c r="E2068" s="5" t="str">
        <f>IFERROR(IF(Portafolio_Proyectos!$AR689="","",Portafolio_Proyectos!$B689),"")</f>
        <v/>
      </c>
      <c r="F2068" s="5" t="str">
        <f>IFERROR(IF(Portafolio_Proyectos!$AR689="","",Portafolio_Proyectos!$D689),"")</f>
        <v/>
      </c>
      <c r="G2068" s="5" t="str">
        <f>IFERROR(IF(Portafolio_Proyectos!$AR689="","",Portafolio_Proyectos!$A689),"")</f>
        <v/>
      </c>
      <c r="H2068" s="5" t="str">
        <f>IFERROR(IF(Portafolio_Proyectos!$AR689="","",Portafolio_Proyectos!$E689),"")</f>
        <v/>
      </c>
    </row>
    <row r="2069" spans="1:8" x14ac:dyDescent="0.35">
      <c r="A2069" s="5" t="str">
        <f>IFERROR(IF(Portafolio_Proyectos!$AP690="","","CAP-"&amp;ROW()-1),"")</f>
        <v/>
      </c>
      <c r="B2069" s="5" t="str">
        <f>IFERROR(IF(Portafolio_Proyectos!$AP690="","",Portafolio_Proyectos!$AP690),"")</f>
        <v/>
      </c>
      <c r="C2069" s="5" t="str">
        <f>IFERROR(IF(Portafolio_Proyectos!$AP690="","","Emergente"),"")</f>
        <v/>
      </c>
      <c r="D2069" s="5" t="str">
        <f>IFERROR(IF(Portafolio_Proyectos!$AP690="","",Portafolio_Proyectos!$C690),"")</f>
        <v/>
      </c>
      <c r="E2069" s="5" t="str">
        <f>IFERROR(IF(Portafolio_Proyectos!$AP690="","",Portafolio_Proyectos!$B690),"")</f>
        <v/>
      </c>
      <c r="F2069" s="5" t="str">
        <f>IFERROR(IF(Portafolio_Proyectos!$AP690="","",Portafolio_Proyectos!$D690),"")</f>
        <v/>
      </c>
      <c r="G2069" s="5" t="str">
        <f>IFERROR(IF(Portafolio_Proyectos!$AP690="","",Portafolio_Proyectos!$A690),"")</f>
        <v/>
      </c>
      <c r="H2069" s="5" t="str">
        <f>IFERROR(IF(Portafolio_Proyectos!$AP690="","",Portafolio_Proyectos!$E690),"")</f>
        <v/>
      </c>
    </row>
    <row r="2070" spans="1:8" x14ac:dyDescent="0.35">
      <c r="A2070" s="5" t="str">
        <f>IFERROR(IF(Portafolio_Proyectos!$AQ690="","","CAP-"&amp;ROW()-1),"")</f>
        <v/>
      </c>
      <c r="B2070" s="5" t="str">
        <f>IFERROR(IF(Portafolio_Proyectos!$AQ690="","",Portafolio_Proyectos!$AQ690),"")</f>
        <v/>
      </c>
      <c r="C2070" s="5" t="str">
        <f>IFERROR(IF(Portafolio_Proyectos!$AQ690="","","Consolidada"),"")</f>
        <v/>
      </c>
      <c r="D2070" s="5" t="str">
        <f>IFERROR(IF(Portafolio_Proyectos!$AQ690="","",Portafolio_Proyectos!$C690),"")</f>
        <v/>
      </c>
      <c r="E2070" s="5" t="str">
        <f>IFERROR(IF(Portafolio_Proyectos!$AQ690="","",Portafolio_Proyectos!$B690),"")</f>
        <v/>
      </c>
      <c r="F2070" s="5" t="str">
        <f>IFERROR(IF(Portafolio_Proyectos!$AQ690="","",Portafolio_Proyectos!$D690),"")</f>
        <v/>
      </c>
      <c r="G2070" s="5" t="str">
        <f>IFERROR(IF(Portafolio_Proyectos!$AQ690="","",Portafolio_Proyectos!$A690),"")</f>
        <v/>
      </c>
      <c r="H2070" s="5" t="str">
        <f>IFERROR(IF(Portafolio_Proyectos!$AQ690="","",Portafolio_Proyectos!$E690),"")</f>
        <v/>
      </c>
    </row>
    <row r="2071" spans="1:8" x14ac:dyDescent="0.35">
      <c r="A2071" s="5" t="str">
        <f>IFERROR(IF(Portafolio_Proyectos!$AR690="","","CAP-"&amp;ROW()-1),"")</f>
        <v/>
      </c>
      <c r="B2071" s="5" t="str">
        <f>IFERROR(IF(Portafolio_Proyectos!$AR690="","",Portafolio_Proyectos!$AR690),"")</f>
        <v/>
      </c>
      <c r="C2071" s="5" t="str">
        <f>IFERROR(IF(Portafolio_Proyectos!$AR690="","","Distintiva"),"")</f>
        <v/>
      </c>
      <c r="D2071" s="5" t="str">
        <f>IFERROR(IF(Portafolio_Proyectos!$AR690="","",Portafolio_Proyectos!$C690),"")</f>
        <v/>
      </c>
      <c r="E2071" s="5" t="str">
        <f>IFERROR(IF(Portafolio_Proyectos!$AR690="","",Portafolio_Proyectos!$B690),"")</f>
        <v/>
      </c>
      <c r="F2071" s="5" t="str">
        <f>IFERROR(IF(Portafolio_Proyectos!$AR690="","",Portafolio_Proyectos!$D690),"")</f>
        <v/>
      </c>
      <c r="G2071" s="5" t="str">
        <f>IFERROR(IF(Portafolio_Proyectos!$AR690="","",Portafolio_Proyectos!$A690),"")</f>
        <v/>
      </c>
      <c r="H2071" s="5" t="str">
        <f>IFERROR(IF(Portafolio_Proyectos!$AR690="","",Portafolio_Proyectos!$E690),"")</f>
        <v/>
      </c>
    </row>
    <row r="2072" spans="1:8" x14ac:dyDescent="0.35">
      <c r="A2072" s="5" t="str">
        <f>IFERROR(IF(Portafolio_Proyectos!$AP691="","","CAP-"&amp;ROW()-1),"")</f>
        <v/>
      </c>
      <c r="B2072" s="5" t="str">
        <f>IFERROR(IF(Portafolio_Proyectos!$AP691="","",Portafolio_Proyectos!$AP691),"")</f>
        <v/>
      </c>
      <c r="C2072" s="5" t="str">
        <f>IFERROR(IF(Portafolio_Proyectos!$AP691="","","Emergente"),"")</f>
        <v/>
      </c>
      <c r="D2072" s="5" t="str">
        <f>IFERROR(IF(Portafolio_Proyectos!$AP691="","",Portafolio_Proyectos!$C691),"")</f>
        <v/>
      </c>
      <c r="E2072" s="5" t="str">
        <f>IFERROR(IF(Portafolio_Proyectos!$AP691="","",Portafolio_Proyectos!$B691),"")</f>
        <v/>
      </c>
      <c r="F2072" s="5" t="str">
        <f>IFERROR(IF(Portafolio_Proyectos!$AP691="","",Portafolio_Proyectos!$D691),"")</f>
        <v/>
      </c>
      <c r="G2072" s="5" t="str">
        <f>IFERROR(IF(Portafolio_Proyectos!$AP691="","",Portafolio_Proyectos!$A691),"")</f>
        <v/>
      </c>
      <c r="H2072" s="5" t="str">
        <f>IFERROR(IF(Portafolio_Proyectos!$AP691="","",Portafolio_Proyectos!$E691),"")</f>
        <v/>
      </c>
    </row>
    <row r="2073" spans="1:8" x14ac:dyDescent="0.35">
      <c r="A2073" s="5" t="str">
        <f>IFERROR(IF(Portafolio_Proyectos!$AQ691="","","CAP-"&amp;ROW()-1),"")</f>
        <v/>
      </c>
      <c r="B2073" s="5" t="str">
        <f>IFERROR(IF(Portafolio_Proyectos!$AQ691="","",Portafolio_Proyectos!$AQ691),"")</f>
        <v/>
      </c>
      <c r="C2073" s="5" t="str">
        <f>IFERROR(IF(Portafolio_Proyectos!$AQ691="","","Consolidada"),"")</f>
        <v/>
      </c>
      <c r="D2073" s="5" t="str">
        <f>IFERROR(IF(Portafolio_Proyectos!$AQ691="","",Portafolio_Proyectos!$C691),"")</f>
        <v/>
      </c>
      <c r="E2073" s="5" t="str">
        <f>IFERROR(IF(Portafolio_Proyectos!$AQ691="","",Portafolio_Proyectos!$B691),"")</f>
        <v/>
      </c>
      <c r="F2073" s="5" t="str">
        <f>IFERROR(IF(Portafolio_Proyectos!$AQ691="","",Portafolio_Proyectos!$D691),"")</f>
        <v/>
      </c>
      <c r="G2073" s="5" t="str">
        <f>IFERROR(IF(Portafolio_Proyectos!$AQ691="","",Portafolio_Proyectos!$A691),"")</f>
        <v/>
      </c>
      <c r="H2073" s="5" t="str">
        <f>IFERROR(IF(Portafolio_Proyectos!$AQ691="","",Portafolio_Proyectos!$E691),"")</f>
        <v/>
      </c>
    </row>
    <row r="2074" spans="1:8" x14ac:dyDescent="0.35">
      <c r="A2074" s="5" t="str">
        <f>IFERROR(IF(Portafolio_Proyectos!$AR691="","","CAP-"&amp;ROW()-1),"")</f>
        <v/>
      </c>
      <c r="B2074" s="5" t="str">
        <f>IFERROR(IF(Portafolio_Proyectos!$AR691="","",Portafolio_Proyectos!$AR691),"")</f>
        <v/>
      </c>
      <c r="C2074" s="5" t="str">
        <f>IFERROR(IF(Portafolio_Proyectos!$AR691="","","Distintiva"),"")</f>
        <v/>
      </c>
      <c r="D2074" s="5" t="str">
        <f>IFERROR(IF(Portafolio_Proyectos!$AR691="","",Portafolio_Proyectos!$C691),"")</f>
        <v/>
      </c>
      <c r="E2074" s="5" t="str">
        <f>IFERROR(IF(Portafolio_Proyectos!$AR691="","",Portafolio_Proyectos!$B691),"")</f>
        <v/>
      </c>
      <c r="F2074" s="5" t="str">
        <f>IFERROR(IF(Portafolio_Proyectos!$AR691="","",Portafolio_Proyectos!$D691),"")</f>
        <v/>
      </c>
      <c r="G2074" s="5" t="str">
        <f>IFERROR(IF(Portafolio_Proyectos!$AR691="","",Portafolio_Proyectos!$A691),"")</f>
        <v/>
      </c>
      <c r="H2074" s="5" t="str">
        <f>IFERROR(IF(Portafolio_Proyectos!$AR691="","",Portafolio_Proyectos!$E691),"")</f>
        <v/>
      </c>
    </row>
    <row r="2075" spans="1:8" x14ac:dyDescent="0.35">
      <c r="A2075" s="5" t="str">
        <f>IFERROR(IF(Portafolio_Proyectos!$AP692="","","CAP-"&amp;ROW()-1),"")</f>
        <v/>
      </c>
      <c r="B2075" s="5" t="str">
        <f>IFERROR(IF(Portafolio_Proyectos!$AP692="","",Portafolio_Proyectos!$AP692),"")</f>
        <v/>
      </c>
      <c r="C2075" s="5" t="str">
        <f>IFERROR(IF(Portafolio_Proyectos!$AP692="","","Emergente"),"")</f>
        <v/>
      </c>
      <c r="D2075" s="5" t="str">
        <f>IFERROR(IF(Portafolio_Proyectos!$AP692="","",Portafolio_Proyectos!$C692),"")</f>
        <v/>
      </c>
      <c r="E2075" s="5" t="str">
        <f>IFERROR(IF(Portafolio_Proyectos!$AP692="","",Portafolio_Proyectos!$B692),"")</f>
        <v/>
      </c>
      <c r="F2075" s="5" t="str">
        <f>IFERROR(IF(Portafolio_Proyectos!$AP692="","",Portafolio_Proyectos!$D692),"")</f>
        <v/>
      </c>
      <c r="G2075" s="5" t="str">
        <f>IFERROR(IF(Portafolio_Proyectos!$AP692="","",Portafolio_Proyectos!$A692),"")</f>
        <v/>
      </c>
      <c r="H2075" s="5" t="str">
        <f>IFERROR(IF(Portafolio_Proyectos!$AP692="","",Portafolio_Proyectos!$E692),"")</f>
        <v/>
      </c>
    </row>
    <row r="2076" spans="1:8" x14ac:dyDescent="0.35">
      <c r="A2076" s="5" t="str">
        <f>IFERROR(IF(Portafolio_Proyectos!$AQ692="","","CAP-"&amp;ROW()-1),"")</f>
        <v/>
      </c>
      <c r="B2076" s="5" t="str">
        <f>IFERROR(IF(Portafolio_Proyectos!$AQ692="","",Portafolio_Proyectos!$AQ692),"")</f>
        <v/>
      </c>
      <c r="C2076" s="5" t="str">
        <f>IFERROR(IF(Portafolio_Proyectos!$AQ692="","","Consolidada"),"")</f>
        <v/>
      </c>
      <c r="D2076" s="5" t="str">
        <f>IFERROR(IF(Portafolio_Proyectos!$AQ692="","",Portafolio_Proyectos!$C692),"")</f>
        <v/>
      </c>
      <c r="E2076" s="5" t="str">
        <f>IFERROR(IF(Portafolio_Proyectos!$AQ692="","",Portafolio_Proyectos!$B692),"")</f>
        <v/>
      </c>
      <c r="F2076" s="5" t="str">
        <f>IFERROR(IF(Portafolio_Proyectos!$AQ692="","",Portafolio_Proyectos!$D692),"")</f>
        <v/>
      </c>
      <c r="G2076" s="5" t="str">
        <f>IFERROR(IF(Portafolio_Proyectos!$AQ692="","",Portafolio_Proyectos!$A692),"")</f>
        <v/>
      </c>
      <c r="H2076" s="5" t="str">
        <f>IFERROR(IF(Portafolio_Proyectos!$AQ692="","",Portafolio_Proyectos!$E692),"")</f>
        <v/>
      </c>
    </row>
    <row r="2077" spans="1:8" x14ac:dyDescent="0.35">
      <c r="A2077" s="5" t="str">
        <f>IFERROR(IF(Portafolio_Proyectos!$AR692="","","CAP-"&amp;ROW()-1),"")</f>
        <v/>
      </c>
      <c r="B2077" s="5" t="str">
        <f>IFERROR(IF(Portafolio_Proyectos!$AR692="","",Portafolio_Proyectos!$AR692),"")</f>
        <v/>
      </c>
      <c r="C2077" s="5" t="str">
        <f>IFERROR(IF(Portafolio_Proyectos!$AR692="","","Distintiva"),"")</f>
        <v/>
      </c>
      <c r="D2077" s="5" t="str">
        <f>IFERROR(IF(Portafolio_Proyectos!$AR692="","",Portafolio_Proyectos!$C692),"")</f>
        <v/>
      </c>
      <c r="E2077" s="5" t="str">
        <f>IFERROR(IF(Portafolio_Proyectos!$AR692="","",Portafolio_Proyectos!$B692),"")</f>
        <v/>
      </c>
      <c r="F2077" s="5" t="str">
        <f>IFERROR(IF(Portafolio_Proyectos!$AR692="","",Portafolio_Proyectos!$D692),"")</f>
        <v/>
      </c>
      <c r="G2077" s="5" t="str">
        <f>IFERROR(IF(Portafolio_Proyectos!$AR692="","",Portafolio_Proyectos!$A692),"")</f>
        <v/>
      </c>
      <c r="H2077" s="5" t="str">
        <f>IFERROR(IF(Portafolio_Proyectos!$AR692="","",Portafolio_Proyectos!$E692),"")</f>
        <v/>
      </c>
    </row>
    <row r="2078" spans="1:8" x14ac:dyDescent="0.35">
      <c r="A2078" s="5" t="str">
        <f>IFERROR(IF(Portafolio_Proyectos!$AP693="","","CAP-"&amp;ROW()-1),"")</f>
        <v/>
      </c>
      <c r="B2078" s="5" t="str">
        <f>IFERROR(IF(Portafolio_Proyectos!$AP693="","",Portafolio_Proyectos!$AP693),"")</f>
        <v/>
      </c>
      <c r="C2078" s="5" t="str">
        <f>IFERROR(IF(Portafolio_Proyectos!$AP693="","","Emergente"),"")</f>
        <v/>
      </c>
      <c r="D2078" s="5" t="str">
        <f>IFERROR(IF(Portafolio_Proyectos!$AP693="","",Portafolio_Proyectos!$C693),"")</f>
        <v/>
      </c>
      <c r="E2078" s="5" t="str">
        <f>IFERROR(IF(Portafolio_Proyectos!$AP693="","",Portafolio_Proyectos!$B693),"")</f>
        <v/>
      </c>
      <c r="F2078" s="5" t="str">
        <f>IFERROR(IF(Portafolio_Proyectos!$AP693="","",Portafolio_Proyectos!$D693),"")</f>
        <v/>
      </c>
      <c r="G2078" s="5" t="str">
        <f>IFERROR(IF(Portafolio_Proyectos!$AP693="","",Portafolio_Proyectos!$A693),"")</f>
        <v/>
      </c>
      <c r="H2078" s="5" t="str">
        <f>IFERROR(IF(Portafolio_Proyectos!$AP693="","",Portafolio_Proyectos!$E693),"")</f>
        <v/>
      </c>
    </row>
    <row r="2079" spans="1:8" x14ac:dyDescent="0.35">
      <c r="A2079" s="5" t="str">
        <f>IFERROR(IF(Portafolio_Proyectos!$AQ693="","","CAP-"&amp;ROW()-1),"")</f>
        <v/>
      </c>
      <c r="B2079" s="5" t="str">
        <f>IFERROR(IF(Portafolio_Proyectos!$AQ693="","",Portafolio_Proyectos!$AQ693),"")</f>
        <v/>
      </c>
      <c r="C2079" s="5" t="str">
        <f>IFERROR(IF(Portafolio_Proyectos!$AQ693="","","Consolidada"),"")</f>
        <v/>
      </c>
      <c r="D2079" s="5" t="str">
        <f>IFERROR(IF(Portafolio_Proyectos!$AQ693="","",Portafolio_Proyectos!$C693),"")</f>
        <v/>
      </c>
      <c r="E2079" s="5" t="str">
        <f>IFERROR(IF(Portafolio_Proyectos!$AQ693="","",Portafolio_Proyectos!$B693),"")</f>
        <v/>
      </c>
      <c r="F2079" s="5" t="str">
        <f>IFERROR(IF(Portafolio_Proyectos!$AQ693="","",Portafolio_Proyectos!$D693),"")</f>
        <v/>
      </c>
      <c r="G2079" s="5" t="str">
        <f>IFERROR(IF(Portafolio_Proyectos!$AQ693="","",Portafolio_Proyectos!$A693),"")</f>
        <v/>
      </c>
      <c r="H2079" s="5" t="str">
        <f>IFERROR(IF(Portafolio_Proyectos!$AQ693="","",Portafolio_Proyectos!$E693),"")</f>
        <v/>
      </c>
    </row>
    <row r="2080" spans="1:8" x14ac:dyDescent="0.35">
      <c r="A2080" s="5" t="str">
        <f>IFERROR(IF(Portafolio_Proyectos!$AR693="","","CAP-"&amp;ROW()-1),"")</f>
        <v/>
      </c>
      <c r="B2080" s="5" t="str">
        <f>IFERROR(IF(Portafolio_Proyectos!$AR693="","",Portafolio_Proyectos!$AR693),"")</f>
        <v/>
      </c>
      <c r="C2080" s="5" t="str">
        <f>IFERROR(IF(Portafolio_Proyectos!$AR693="","","Distintiva"),"")</f>
        <v/>
      </c>
      <c r="D2080" s="5" t="str">
        <f>IFERROR(IF(Portafolio_Proyectos!$AR693="","",Portafolio_Proyectos!$C693),"")</f>
        <v/>
      </c>
      <c r="E2080" s="5" t="str">
        <f>IFERROR(IF(Portafolio_Proyectos!$AR693="","",Portafolio_Proyectos!$B693),"")</f>
        <v/>
      </c>
      <c r="F2080" s="5" t="str">
        <f>IFERROR(IF(Portafolio_Proyectos!$AR693="","",Portafolio_Proyectos!$D693),"")</f>
        <v/>
      </c>
      <c r="G2080" s="5" t="str">
        <f>IFERROR(IF(Portafolio_Proyectos!$AR693="","",Portafolio_Proyectos!$A693),"")</f>
        <v/>
      </c>
      <c r="H2080" s="5" t="str">
        <f>IFERROR(IF(Portafolio_Proyectos!$AR693="","",Portafolio_Proyectos!$E693),"")</f>
        <v/>
      </c>
    </row>
    <row r="2081" spans="1:8" x14ac:dyDescent="0.35">
      <c r="A2081" s="5" t="str">
        <f>IFERROR(IF(Portafolio_Proyectos!$AP694="","","CAP-"&amp;ROW()-1),"")</f>
        <v/>
      </c>
      <c r="B2081" s="5" t="str">
        <f>IFERROR(IF(Portafolio_Proyectos!$AP694="","",Portafolio_Proyectos!$AP694),"")</f>
        <v/>
      </c>
      <c r="C2081" s="5" t="str">
        <f>IFERROR(IF(Portafolio_Proyectos!$AP694="","","Emergente"),"")</f>
        <v/>
      </c>
      <c r="D2081" s="5" t="str">
        <f>IFERROR(IF(Portafolio_Proyectos!$AP694="","",Portafolio_Proyectos!$C694),"")</f>
        <v/>
      </c>
      <c r="E2081" s="5" t="str">
        <f>IFERROR(IF(Portafolio_Proyectos!$AP694="","",Portafolio_Proyectos!$B694),"")</f>
        <v/>
      </c>
      <c r="F2081" s="5" t="str">
        <f>IFERROR(IF(Portafolio_Proyectos!$AP694="","",Portafolio_Proyectos!$D694),"")</f>
        <v/>
      </c>
      <c r="G2081" s="5" t="str">
        <f>IFERROR(IF(Portafolio_Proyectos!$AP694="","",Portafolio_Proyectos!$A694),"")</f>
        <v/>
      </c>
      <c r="H2081" s="5" t="str">
        <f>IFERROR(IF(Portafolio_Proyectos!$AP694="","",Portafolio_Proyectos!$E694),"")</f>
        <v/>
      </c>
    </row>
    <row r="2082" spans="1:8" x14ac:dyDescent="0.35">
      <c r="A2082" s="5" t="str">
        <f>IFERROR(IF(Portafolio_Proyectos!$AQ694="","","CAP-"&amp;ROW()-1),"")</f>
        <v/>
      </c>
      <c r="B2082" s="5" t="str">
        <f>IFERROR(IF(Portafolio_Proyectos!$AQ694="","",Portafolio_Proyectos!$AQ694),"")</f>
        <v/>
      </c>
      <c r="C2082" s="5" t="str">
        <f>IFERROR(IF(Portafolio_Proyectos!$AQ694="","","Consolidada"),"")</f>
        <v/>
      </c>
      <c r="D2082" s="5" t="str">
        <f>IFERROR(IF(Portafolio_Proyectos!$AQ694="","",Portafolio_Proyectos!$C694),"")</f>
        <v/>
      </c>
      <c r="E2082" s="5" t="str">
        <f>IFERROR(IF(Portafolio_Proyectos!$AQ694="","",Portafolio_Proyectos!$B694),"")</f>
        <v/>
      </c>
      <c r="F2082" s="5" t="str">
        <f>IFERROR(IF(Portafolio_Proyectos!$AQ694="","",Portafolio_Proyectos!$D694),"")</f>
        <v/>
      </c>
      <c r="G2082" s="5" t="str">
        <f>IFERROR(IF(Portafolio_Proyectos!$AQ694="","",Portafolio_Proyectos!$A694),"")</f>
        <v/>
      </c>
      <c r="H2082" s="5" t="str">
        <f>IFERROR(IF(Portafolio_Proyectos!$AQ694="","",Portafolio_Proyectos!$E694),"")</f>
        <v/>
      </c>
    </row>
    <row r="2083" spans="1:8" x14ac:dyDescent="0.35">
      <c r="A2083" s="5" t="str">
        <f>IFERROR(IF(Portafolio_Proyectos!$AR694="","","CAP-"&amp;ROW()-1),"")</f>
        <v/>
      </c>
      <c r="B2083" s="5" t="str">
        <f>IFERROR(IF(Portafolio_Proyectos!$AR694="","",Portafolio_Proyectos!$AR694),"")</f>
        <v/>
      </c>
      <c r="C2083" s="5" t="str">
        <f>IFERROR(IF(Portafolio_Proyectos!$AR694="","","Distintiva"),"")</f>
        <v/>
      </c>
      <c r="D2083" s="5" t="str">
        <f>IFERROR(IF(Portafolio_Proyectos!$AR694="","",Portafolio_Proyectos!$C694),"")</f>
        <v/>
      </c>
      <c r="E2083" s="5" t="str">
        <f>IFERROR(IF(Portafolio_Proyectos!$AR694="","",Portafolio_Proyectos!$B694),"")</f>
        <v/>
      </c>
      <c r="F2083" s="5" t="str">
        <f>IFERROR(IF(Portafolio_Proyectos!$AR694="","",Portafolio_Proyectos!$D694),"")</f>
        <v/>
      </c>
      <c r="G2083" s="5" t="str">
        <f>IFERROR(IF(Portafolio_Proyectos!$AR694="","",Portafolio_Proyectos!$A694),"")</f>
        <v/>
      </c>
      <c r="H2083" s="5" t="str">
        <f>IFERROR(IF(Portafolio_Proyectos!$AR694="","",Portafolio_Proyectos!$E694),"")</f>
        <v/>
      </c>
    </row>
    <row r="2084" spans="1:8" x14ac:dyDescent="0.35">
      <c r="A2084" s="5" t="str">
        <f>IFERROR(IF(Portafolio_Proyectos!$AP695="","","CAP-"&amp;ROW()-1),"")</f>
        <v/>
      </c>
      <c r="B2084" s="5" t="str">
        <f>IFERROR(IF(Portafolio_Proyectos!$AP695="","",Portafolio_Proyectos!$AP695),"")</f>
        <v/>
      </c>
      <c r="C2084" s="5" t="str">
        <f>IFERROR(IF(Portafolio_Proyectos!$AP695="","","Emergente"),"")</f>
        <v/>
      </c>
      <c r="D2084" s="5" t="str">
        <f>IFERROR(IF(Portafolio_Proyectos!$AP695="","",Portafolio_Proyectos!$C695),"")</f>
        <v/>
      </c>
      <c r="E2084" s="5" t="str">
        <f>IFERROR(IF(Portafolio_Proyectos!$AP695="","",Portafolio_Proyectos!$B695),"")</f>
        <v/>
      </c>
      <c r="F2084" s="5" t="str">
        <f>IFERROR(IF(Portafolio_Proyectos!$AP695="","",Portafolio_Proyectos!$D695),"")</f>
        <v/>
      </c>
      <c r="G2084" s="5" t="str">
        <f>IFERROR(IF(Portafolio_Proyectos!$AP695="","",Portafolio_Proyectos!$A695),"")</f>
        <v/>
      </c>
      <c r="H2084" s="5" t="str">
        <f>IFERROR(IF(Portafolio_Proyectos!$AP695="","",Portafolio_Proyectos!$E695),"")</f>
        <v/>
      </c>
    </row>
    <row r="2085" spans="1:8" x14ac:dyDescent="0.35">
      <c r="A2085" s="5" t="str">
        <f>IFERROR(IF(Portafolio_Proyectos!$AQ695="","","CAP-"&amp;ROW()-1),"")</f>
        <v/>
      </c>
      <c r="B2085" s="5" t="str">
        <f>IFERROR(IF(Portafolio_Proyectos!$AQ695="","",Portafolio_Proyectos!$AQ695),"")</f>
        <v/>
      </c>
      <c r="C2085" s="5" t="str">
        <f>IFERROR(IF(Portafolio_Proyectos!$AQ695="","","Consolidada"),"")</f>
        <v/>
      </c>
      <c r="D2085" s="5" t="str">
        <f>IFERROR(IF(Portafolio_Proyectos!$AQ695="","",Portafolio_Proyectos!$C695),"")</f>
        <v/>
      </c>
      <c r="E2085" s="5" t="str">
        <f>IFERROR(IF(Portafolio_Proyectos!$AQ695="","",Portafolio_Proyectos!$B695),"")</f>
        <v/>
      </c>
      <c r="F2085" s="5" t="str">
        <f>IFERROR(IF(Portafolio_Proyectos!$AQ695="","",Portafolio_Proyectos!$D695),"")</f>
        <v/>
      </c>
      <c r="G2085" s="5" t="str">
        <f>IFERROR(IF(Portafolio_Proyectos!$AQ695="","",Portafolio_Proyectos!$A695),"")</f>
        <v/>
      </c>
      <c r="H2085" s="5" t="str">
        <f>IFERROR(IF(Portafolio_Proyectos!$AQ695="","",Portafolio_Proyectos!$E695),"")</f>
        <v/>
      </c>
    </row>
    <row r="2086" spans="1:8" x14ac:dyDescent="0.35">
      <c r="A2086" s="5" t="str">
        <f>IFERROR(IF(Portafolio_Proyectos!$AR695="","","CAP-"&amp;ROW()-1),"")</f>
        <v/>
      </c>
      <c r="B2086" s="5" t="str">
        <f>IFERROR(IF(Portafolio_Proyectos!$AR695="","",Portafolio_Proyectos!$AR695),"")</f>
        <v/>
      </c>
      <c r="C2086" s="5" t="str">
        <f>IFERROR(IF(Portafolio_Proyectos!$AR695="","","Distintiva"),"")</f>
        <v/>
      </c>
      <c r="D2086" s="5" t="str">
        <f>IFERROR(IF(Portafolio_Proyectos!$AR695="","",Portafolio_Proyectos!$C695),"")</f>
        <v/>
      </c>
      <c r="E2086" s="5" t="str">
        <f>IFERROR(IF(Portafolio_Proyectos!$AR695="","",Portafolio_Proyectos!$B695),"")</f>
        <v/>
      </c>
      <c r="F2086" s="5" t="str">
        <f>IFERROR(IF(Portafolio_Proyectos!$AR695="","",Portafolio_Proyectos!$D695),"")</f>
        <v/>
      </c>
      <c r="G2086" s="5" t="str">
        <f>IFERROR(IF(Portafolio_Proyectos!$AR695="","",Portafolio_Proyectos!$A695),"")</f>
        <v/>
      </c>
      <c r="H2086" s="5" t="str">
        <f>IFERROR(IF(Portafolio_Proyectos!$AR695="","",Portafolio_Proyectos!$E695),"")</f>
        <v/>
      </c>
    </row>
    <row r="2087" spans="1:8" x14ac:dyDescent="0.35">
      <c r="A2087" s="5" t="str">
        <f>IFERROR(IF(Portafolio_Proyectos!$AP696="","","CAP-"&amp;ROW()-1),"")</f>
        <v/>
      </c>
      <c r="B2087" s="5" t="str">
        <f>IFERROR(IF(Portafolio_Proyectos!$AP696="","",Portafolio_Proyectos!$AP696),"")</f>
        <v/>
      </c>
      <c r="C2087" s="5" t="str">
        <f>IFERROR(IF(Portafolio_Proyectos!$AP696="","","Emergente"),"")</f>
        <v/>
      </c>
      <c r="D2087" s="5" t="str">
        <f>IFERROR(IF(Portafolio_Proyectos!$AP696="","",Portafolio_Proyectos!$C696),"")</f>
        <v/>
      </c>
      <c r="E2087" s="5" t="str">
        <f>IFERROR(IF(Portafolio_Proyectos!$AP696="","",Portafolio_Proyectos!$B696),"")</f>
        <v/>
      </c>
      <c r="F2087" s="5" t="str">
        <f>IFERROR(IF(Portafolio_Proyectos!$AP696="","",Portafolio_Proyectos!$D696),"")</f>
        <v/>
      </c>
      <c r="G2087" s="5" t="str">
        <f>IFERROR(IF(Portafolio_Proyectos!$AP696="","",Portafolio_Proyectos!$A696),"")</f>
        <v/>
      </c>
      <c r="H2087" s="5" t="str">
        <f>IFERROR(IF(Portafolio_Proyectos!$AP696="","",Portafolio_Proyectos!$E696),"")</f>
        <v/>
      </c>
    </row>
    <row r="2088" spans="1:8" x14ac:dyDescent="0.35">
      <c r="A2088" s="5" t="str">
        <f>IFERROR(IF(Portafolio_Proyectos!$AQ696="","","CAP-"&amp;ROW()-1),"")</f>
        <v/>
      </c>
      <c r="B2088" s="5" t="str">
        <f>IFERROR(IF(Portafolio_Proyectos!$AQ696="","",Portafolio_Proyectos!$AQ696),"")</f>
        <v/>
      </c>
      <c r="C2088" s="5" t="str">
        <f>IFERROR(IF(Portafolio_Proyectos!$AQ696="","","Consolidada"),"")</f>
        <v/>
      </c>
      <c r="D2088" s="5" t="str">
        <f>IFERROR(IF(Portafolio_Proyectos!$AQ696="","",Portafolio_Proyectos!$C696),"")</f>
        <v/>
      </c>
      <c r="E2088" s="5" t="str">
        <f>IFERROR(IF(Portafolio_Proyectos!$AQ696="","",Portafolio_Proyectos!$B696),"")</f>
        <v/>
      </c>
      <c r="F2088" s="5" t="str">
        <f>IFERROR(IF(Portafolio_Proyectos!$AQ696="","",Portafolio_Proyectos!$D696),"")</f>
        <v/>
      </c>
      <c r="G2088" s="5" t="str">
        <f>IFERROR(IF(Portafolio_Proyectos!$AQ696="","",Portafolio_Proyectos!$A696),"")</f>
        <v/>
      </c>
      <c r="H2088" s="5" t="str">
        <f>IFERROR(IF(Portafolio_Proyectos!$AQ696="","",Portafolio_Proyectos!$E696),"")</f>
        <v/>
      </c>
    </row>
    <row r="2089" spans="1:8" x14ac:dyDescent="0.35">
      <c r="A2089" s="5" t="str">
        <f>IFERROR(IF(Portafolio_Proyectos!$AR696="","","CAP-"&amp;ROW()-1),"")</f>
        <v/>
      </c>
      <c r="B2089" s="5" t="str">
        <f>IFERROR(IF(Portafolio_Proyectos!$AR696="","",Portafolio_Proyectos!$AR696),"")</f>
        <v/>
      </c>
      <c r="C2089" s="5" t="str">
        <f>IFERROR(IF(Portafolio_Proyectos!$AR696="","","Distintiva"),"")</f>
        <v/>
      </c>
      <c r="D2089" s="5" t="str">
        <f>IFERROR(IF(Portafolio_Proyectos!$AR696="","",Portafolio_Proyectos!$C696),"")</f>
        <v/>
      </c>
      <c r="E2089" s="5" t="str">
        <f>IFERROR(IF(Portafolio_Proyectos!$AR696="","",Portafolio_Proyectos!$B696),"")</f>
        <v/>
      </c>
      <c r="F2089" s="5" t="str">
        <f>IFERROR(IF(Portafolio_Proyectos!$AR696="","",Portafolio_Proyectos!$D696),"")</f>
        <v/>
      </c>
      <c r="G2089" s="5" t="str">
        <f>IFERROR(IF(Portafolio_Proyectos!$AR696="","",Portafolio_Proyectos!$A696),"")</f>
        <v/>
      </c>
      <c r="H2089" s="5" t="str">
        <f>IFERROR(IF(Portafolio_Proyectos!$AR696="","",Portafolio_Proyectos!$E696),"")</f>
        <v/>
      </c>
    </row>
    <row r="2090" spans="1:8" x14ac:dyDescent="0.35">
      <c r="A2090" s="5" t="str">
        <f>IFERROR(IF(Portafolio_Proyectos!$AP697="","","CAP-"&amp;ROW()-1),"")</f>
        <v/>
      </c>
      <c r="B2090" s="5" t="str">
        <f>IFERROR(IF(Portafolio_Proyectos!$AP697="","",Portafolio_Proyectos!$AP697),"")</f>
        <v/>
      </c>
      <c r="C2090" s="5" t="str">
        <f>IFERROR(IF(Portafolio_Proyectos!$AP697="","","Emergente"),"")</f>
        <v/>
      </c>
      <c r="D2090" s="5" t="str">
        <f>IFERROR(IF(Portafolio_Proyectos!$AP697="","",Portafolio_Proyectos!$C697),"")</f>
        <v/>
      </c>
      <c r="E2090" s="5" t="str">
        <f>IFERROR(IF(Portafolio_Proyectos!$AP697="","",Portafolio_Proyectos!$B697),"")</f>
        <v/>
      </c>
      <c r="F2090" s="5" t="str">
        <f>IFERROR(IF(Portafolio_Proyectos!$AP697="","",Portafolio_Proyectos!$D697),"")</f>
        <v/>
      </c>
      <c r="G2090" s="5" t="str">
        <f>IFERROR(IF(Portafolio_Proyectos!$AP697="","",Portafolio_Proyectos!$A697),"")</f>
        <v/>
      </c>
      <c r="H2090" s="5" t="str">
        <f>IFERROR(IF(Portafolio_Proyectos!$AP697="","",Portafolio_Proyectos!$E697),"")</f>
        <v/>
      </c>
    </row>
    <row r="2091" spans="1:8" x14ac:dyDescent="0.35">
      <c r="A2091" s="5" t="str">
        <f>IFERROR(IF(Portafolio_Proyectos!$AQ697="","","CAP-"&amp;ROW()-1),"")</f>
        <v/>
      </c>
      <c r="B2091" s="5" t="str">
        <f>IFERROR(IF(Portafolio_Proyectos!$AQ697="","",Portafolio_Proyectos!$AQ697),"")</f>
        <v/>
      </c>
      <c r="C2091" s="5" t="str">
        <f>IFERROR(IF(Portafolio_Proyectos!$AQ697="","","Consolidada"),"")</f>
        <v/>
      </c>
      <c r="D2091" s="5" t="str">
        <f>IFERROR(IF(Portafolio_Proyectos!$AQ697="","",Portafolio_Proyectos!$C697),"")</f>
        <v/>
      </c>
      <c r="E2091" s="5" t="str">
        <f>IFERROR(IF(Portafolio_Proyectos!$AQ697="","",Portafolio_Proyectos!$B697),"")</f>
        <v/>
      </c>
      <c r="F2091" s="5" t="str">
        <f>IFERROR(IF(Portafolio_Proyectos!$AQ697="","",Portafolio_Proyectos!$D697),"")</f>
        <v/>
      </c>
      <c r="G2091" s="5" t="str">
        <f>IFERROR(IF(Portafolio_Proyectos!$AQ697="","",Portafolio_Proyectos!$A697),"")</f>
        <v/>
      </c>
      <c r="H2091" s="5" t="str">
        <f>IFERROR(IF(Portafolio_Proyectos!$AQ697="","",Portafolio_Proyectos!$E697),"")</f>
        <v/>
      </c>
    </row>
    <row r="2092" spans="1:8" x14ac:dyDescent="0.35">
      <c r="A2092" s="5" t="str">
        <f>IFERROR(IF(Portafolio_Proyectos!$AR697="","","CAP-"&amp;ROW()-1),"")</f>
        <v/>
      </c>
      <c r="B2092" s="5" t="str">
        <f>IFERROR(IF(Portafolio_Proyectos!$AR697="","",Portafolio_Proyectos!$AR697),"")</f>
        <v/>
      </c>
      <c r="C2092" s="5" t="str">
        <f>IFERROR(IF(Portafolio_Proyectos!$AR697="","","Distintiva"),"")</f>
        <v/>
      </c>
      <c r="D2092" s="5" t="str">
        <f>IFERROR(IF(Portafolio_Proyectos!$AR697="","",Portafolio_Proyectos!$C697),"")</f>
        <v/>
      </c>
      <c r="E2092" s="5" t="str">
        <f>IFERROR(IF(Portafolio_Proyectos!$AR697="","",Portafolio_Proyectos!$B697),"")</f>
        <v/>
      </c>
      <c r="F2092" s="5" t="str">
        <f>IFERROR(IF(Portafolio_Proyectos!$AR697="","",Portafolio_Proyectos!$D697),"")</f>
        <v/>
      </c>
      <c r="G2092" s="5" t="str">
        <f>IFERROR(IF(Portafolio_Proyectos!$AR697="","",Portafolio_Proyectos!$A697),"")</f>
        <v/>
      </c>
      <c r="H2092" s="5" t="str">
        <f>IFERROR(IF(Portafolio_Proyectos!$AR697="","",Portafolio_Proyectos!$E697),"")</f>
        <v/>
      </c>
    </row>
    <row r="2093" spans="1:8" x14ac:dyDescent="0.35">
      <c r="A2093" s="5" t="str">
        <f>IFERROR(IF(Portafolio_Proyectos!$AP698="","","CAP-"&amp;ROW()-1),"")</f>
        <v/>
      </c>
      <c r="B2093" s="5" t="str">
        <f>IFERROR(IF(Portafolio_Proyectos!$AP698="","",Portafolio_Proyectos!$AP698),"")</f>
        <v/>
      </c>
      <c r="C2093" s="5" t="str">
        <f>IFERROR(IF(Portafolio_Proyectos!$AP698="","","Emergente"),"")</f>
        <v/>
      </c>
      <c r="D2093" s="5" t="str">
        <f>IFERROR(IF(Portafolio_Proyectos!$AP698="","",Portafolio_Proyectos!$C698),"")</f>
        <v/>
      </c>
      <c r="E2093" s="5" t="str">
        <f>IFERROR(IF(Portafolio_Proyectos!$AP698="","",Portafolio_Proyectos!$B698),"")</f>
        <v/>
      </c>
      <c r="F2093" s="5" t="str">
        <f>IFERROR(IF(Portafolio_Proyectos!$AP698="","",Portafolio_Proyectos!$D698),"")</f>
        <v/>
      </c>
      <c r="G2093" s="5" t="str">
        <f>IFERROR(IF(Portafolio_Proyectos!$AP698="","",Portafolio_Proyectos!$A698),"")</f>
        <v/>
      </c>
      <c r="H2093" s="5" t="str">
        <f>IFERROR(IF(Portafolio_Proyectos!$AP698="","",Portafolio_Proyectos!$E698),"")</f>
        <v/>
      </c>
    </row>
    <row r="2094" spans="1:8" x14ac:dyDescent="0.35">
      <c r="A2094" s="5" t="str">
        <f>IFERROR(IF(Portafolio_Proyectos!$AQ698="","","CAP-"&amp;ROW()-1),"")</f>
        <v/>
      </c>
      <c r="B2094" s="5" t="str">
        <f>IFERROR(IF(Portafolio_Proyectos!$AQ698="","",Portafolio_Proyectos!$AQ698),"")</f>
        <v/>
      </c>
      <c r="C2094" s="5" t="str">
        <f>IFERROR(IF(Portafolio_Proyectos!$AQ698="","","Consolidada"),"")</f>
        <v/>
      </c>
      <c r="D2094" s="5" t="str">
        <f>IFERROR(IF(Portafolio_Proyectos!$AQ698="","",Portafolio_Proyectos!$C698),"")</f>
        <v/>
      </c>
      <c r="E2094" s="5" t="str">
        <f>IFERROR(IF(Portafolio_Proyectos!$AQ698="","",Portafolio_Proyectos!$B698),"")</f>
        <v/>
      </c>
      <c r="F2094" s="5" t="str">
        <f>IFERROR(IF(Portafolio_Proyectos!$AQ698="","",Portafolio_Proyectos!$D698),"")</f>
        <v/>
      </c>
      <c r="G2094" s="5" t="str">
        <f>IFERROR(IF(Portafolio_Proyectos!$AQ698="","",Portafolio_Proyectos!$A698),"")</f>
        <v/>
      </c>
      <c r="H2094" s="5" t="str">
        <f>IFERROR(IF(Portafolio_Proyectos!$AQ698="","",Portafolio_Proyectos!$E698),"")</f>
        <v/>
      </c>
    </row>
    <row r="2095" spans="1:8" x14ac:dyDescent="0.35">
      <c r="A2095" s="5" t="str">
        <f>IFERROR(IF(Portafolio_Proyectos!$AR698="","","CAP-"&amp;ROW()-1),"")</f>
        <v/>
      </c>
      <c r="B2095" s="5" t="str">
        <f>IFERROR(IF(Portafolio_Proyectos!$AR698="","",Portafolio_Proyectos!$AR698),"")</f>
        <v/>
      </c>
      <c r="C2095" s="5" t="str">
        <f>IFERROR(IF(Portafolio_Proyectos!$AR698="","","Distintiva"),"")</f>
        <v/>
      </c>
      <c r="D2095" s="5" t="str">
        <f>IFERROR(IF(Portafolio_Proyectos!$AR698="","",Portafolio_Proyectos!$C698),"")</f>
        <v/>
      </c>
      <c r="E2095" s="5" t="str">
        <f>IFERROR(IF(Portafolio_Proyectos!$AR698="","",Portafolio_Proyectos!$B698),"")</f>
        <v/>
      </c>
      <c r="F2095" s="5" t="str">
        <f>IFERROR(IF(Portafolio_Proyectos!$AR698="","",Portafolio_Proyectos!$D698),"")</f>
        <v/>
      </c>
      <c r="G2095" s="5" t="str">
        <f>IFERROR(IF(Portafolio_Proyectos!$AR698="","",Portafolio_Proyectos!$A698),"")</f>
        <v/>
      </c>
      <c r="H2095" s="5" t="str">
        <f>IFERROR(IF(Portafolio_Proyectos!$AR698="","",Portafolio_Proyectos!$E698),"")</f>
        <v/>
      </c>
    </row>
    <row r="2096" spans="1:8" x14ac:dyDescent="0.35">
      <c r="A2096" s="5" t="str">
        <f>IFERROR(IF(Portafolio_Proyectos!$AP699="","","CAP-"&amp;ROW()-1),"")</f>
        <v/>
      </c>
      <c r="B2096" s="5" t="str">
        <f>IFERROR(IF(Portafolio_Proyectos!$AP699="","",Portafolio_Proyectos!$AP699),"")</f>
        <v/>
      </c>
      <c r="C2096" s="5" t="str">
        <f>IFERROR(IF(Portafolio_Proyectos!$AP699="","","Emergente"),"")</f>
        <v/>
      </c>
      <c r="D2096" s="5" t="str">
        <f>IFERROR(IF(Portafolio_Proyectos!$AP699="","",Portafolio_Proyectos!$C699),"")</f>
        <v/>
      </c>
      <c r="E2096" s="5" t="str">
        <f>IFERROR(IF(Portafolio_Proyectos!$AP699="","",Portafolio_Proyectos!$B699),"")</f>
        <v/>
      </c>
      <c r="F2096" s="5" t="str">
        <f>IFERROR(IF(Portafolio_Proyectos!$AP699="","",Portafolio_Proyectos!$D699),"")</f>
        <v/>
      </c>
      <c r="G2096" s="5" t="str">
        <f>IFERROR(IF(Portafolio_Proyectos!$AP699="","",Portafolio_Proyectos!$A699),"")</f>
        <v/>
      </c>
      <c r="H2096" s="5" t="str">
        <f>IFERROR(IF(Portafolio_Proyectos!$AP699="","",Portafolio_Proyectos!$E699),"")</f>
        <v/>
      </c>
    </row>
    <row r="2097" spans="1:8" x14ac:dyDescent="0.35">
      <c r="A2097" s="5" t="str">
        <f>IFERROR(IF(Portafolio_Proyectos!$AQ699="","","CAP-"&amp;ROW()-1),"")</f>
        <v/>
      </c>
      <c r="B2097" s="5" t="str">
        <f>IFERROR(IF(Portafolio_Proyectos!$AQ699="","",Portafolio_Proyectos!$AQ699),"")</f>
        <v/>
      </c>
      <c r="C2097" s="5" t="str">
        <f>IFERROR(IF(Portafolio_Proyectos!$AQ699="","","Consolidada"),"")</f>
        <v/>
      </c>
      <c r="D2097" s="5" t="str">
        <f>IFERROR(IF(Portafolio_Proyectos!$AQ699="","",Portafolio_Proyectos!$C699),"")</f>
        <v/>
      </c>
      <c r="E2097" s="5" t="str">
        <f>IFERROR(IF(Portafolio_Proyectos!$AQ699="","",Portafolio_Proyectos!$B699),"")</f>
        <v/>
      </c>
      <c r="F2097" s="5" t="str">
        <f>IFERROR(IF(Portafolio_Proyectos!$AQ699="","",Portafolio_Proyectos!$D699),"")</f>
        <v/>
      </c>
      <c r="G2097" s="5" t="str">
        <f>IFERROR(IF(Portafolio_Proyectos!$AQ699="","",Portafolio_Proyectos!$A699),"")</f>
        <v/>
      </c>
      <c r="H2097" s="5" t="str">
        <f>IFERROR(IF(Portafolio_Proyectos!$AQ699="","",Portafolio_Proyectos!$E699),"")</f>
        <v/>
      </c>
    </row>
    <row r="2098" spans="1:8" x14ac:dyDescent="0.35">
      <c r="A2098" s="5" t="str">
        <f>IFERROR(IF(Portafolio_Proyectos!$AR699="","","CAP-"&amp;ROW()-1),"")</f>
        <v/>
      </c>
      <c r="B2098" s="5" t="str">
        <f>IFERROR(IF(Portafolio_Proyectos!$AR699="","",Portafolio_Proyectos!$AR699),"")</f>
        <v/>
      </c>
      <c r="C2098" s="5" t="str">
        <f>IFERROR(IF(Portafolio_Proyectos!$AR699="","","Distintiva"),"")</f>
        <v/>
      </c>
      <c r="D2098" s="5" t="str">
        <f>IFERROR(IF(Portafolio_Proyectos!$AR699="","",Portafolio_Proyectos!$C699),"")</f>
        <v/>
      </c>
      <c r="E2098" s="5" t="str">
        <f>IFERROR(IF(Portafolio_Proyectos!$AR699="","",Portafolio_Proyectos!$B699),"")</f>
        <v/>
      </c>
      <c r="F2098" s="5" t="str">
        <f>IFERROR(IF(Portafolio_Proyectos!$AR699="","",Portafolio_Proyectos!$D699),"")</f>
        <v/>
      </c>
      <c r="G2098" s="5" t="str">
        <f>IFERROR(IF(Portafolio_Proyectos!$AR699="","",Portafolio_Proyectos!$A699),"")</f>
        <v/>
      </c>
      <c r="H2098" s="5" t="str">
        <f>IFERROR(IF(Portafolio_Proyectos!$AR699="","",Portafolio_Proyectos!$E699),"")</f>
        <v/>
      </c>
    </row>
    <row r="2099" spans="1:8" x14ac:dyDescent="0.35">
      <c r="A2099" s="5" t="str">
        <f>IFERROR(IF(Portafolio_Proyectos!$AP700="","","CAP-"&amp;ROW()-1),"")</f>
        <v/>
      </c>
      <c r="B2099" s="5" t="str">
        <f>IFERROR(IF(Portafolio_Proyectos!$AP700="","",Portafolio_Proyectos!$AP700),"")</f>
        <v/>
      </c>
      <c r="C2099" s="5" t="str">
        <f>IFERROR(IF(Portafolio_Proyectos!$AP700="","","Emergente"),"")</f>
        <v/>
      </c>
      <c r="D2099" s="5" t="str">
        <f>IFERROR(IF(Portafolio_Proyectos!$AP700="","",Portafolio_Proyectos!$C700),"")</f>
        <v/>
      </c>
      <c r="E2099" s="5" t="str">
        <f>IFERROR(IF(Portafolio_Proyectos!$AP700="","",Portafolio_Proyectos!$B700),"")</f>
        <v/>
      </c>
      <c r="F2099" s="5" t="str">
        <f>IFERROR(IF(Portafolio_Proyectos!$AP700="","",Portafolio_Proyectos!$D700),"")</f>
        <v/>
      </c>
      <c r="G2099" s="5" t="str">
        <f>IFERROR(IF(Portafolio_Proyectos!$AP700="","",Portafolio_Proyectos!$A700),"")</f>
        <v/>
      </c>
      <c r="H2099" s="5" t="str">
        <f>IFERROR(IF(Portafolio_Proyectos!$AP700="","",Portafolio_Proyectos!$E700),"")</f>
        <v/>
      </c>
    </row>
    <row r="2100" spans="1:8" x14ac:dyDescent="0.35">
      <c r="A2100" s="5" t="str">
        <f>IFERROR(IF(Portafolio_Proyectos!$AQ700="","","CAP-"&amp;ROW()-1),"")</f>
        <v/>
      </c>
      <c r="B2100" s="5" t="str">
        <f>IFERROR(IF(Portafolio_Proyectos!$AQ700="","",Portafolio_Proyectos!$AQ700),"")</f>
        <v/>
      </c>
      <c r="C2100" s="5" t="str">
        <f>IFERROR(IF(Portafolio_Proyectos!$AQ700="","","Consolidada"),"")</f>
        <v/>
      </c>
      <c r="D2100" s="5" t="str">
        <f>IFERROR(IF(Portafolio_Proyectos!$AQ700="","",Portafolio_Proyectos!$C700),"")</f>
        <v/>
      </c>
      <c r="E2100" s="5" t="str">
        <f>IFERROR(IF(Portafolio_Proyectos!$AQ700="","",Portafolio_Proyectos!$B700),"")</f>
        <v/>
      </c>
      <c r="F2100" s="5" t="str">
        <f>IFERROR(IF(Portafolio_Proyectos!$AQ700="","",Portafolio_Proyectos!$D700),"")</f>
        <v/>
      </c>
      <c r="G2100" s="5" t="str">
        <f>IFERROR(IF(Portafolio_Proyectos!$AQ700="","",Portafolio_Proyectos!$A700),"")</f>
        <v/>
      </c>
      <c r="H2100" s="5" t="str">
        <f>IFERROR(IF(Portafolio_Proyectos!$AQ700="","",Portafolio_Proyectos!$E700),"")</f>
        <v/>
      </c>
    </row>
    <row r="2101" spans="1:8" x14ac:dyDescent="0.35">
      <c r="A2101" s="5" t="str">
        <f>IFERROR(IF(Portafolio_Proyectos!$AR700="","","CAP-"&amp;ROW()-1),"")</f>
        <v/>
      </c>
      <c r="B2101" s="5" t="str">
        <f>IFERROR(IF(Portafolio_Proyectos!$AR700="","",Portafolio_Proyectos!$AR700),"")</f>
        <v/>
      </c>
      <c r="C2101" s="5" t="str">
        <f>IFERROR(IF(Portafolio_Proyectos!$AR700="","","Distintiva"),"")</f>
        <v/>
      </c>
      <c r="D2101" s="5" t="str">
        <f>IFERROR(IF(Portafolio_Proyectos!$AR700="","",Portafolio_Proyectos!$C700),"")</f>
        <v/>
      </c>
      <c r="E2101" s="5" t="str">
        <f>IFERROR(IF(Portafolio_Proyectos!$AR700="","",Portafolio_Proyectos!$B700),"")</f>
        <v/>
      </c>
      <c r="F2101" s="5" t="str">
        <f>IFERROR(IF(Portafolio_Proyectos!$AR700="","",Portafolio_Proyectos!$D700),"")</f>
        <v/>
      </c>
      <c r="G2101" s="5" t="str">
        <f>IFERROR(IF(Portafolio_Proyectos!$AR700="","",Portafolio_Proyectos!$A700),"")</f>
        <v/>
      </c>
      <c r="H2101" s="5" t="str">
        <f>IFERROR(IF(Portafolio_Proyectos!$AR700="","",Portafolio_Proyectos!$E700),"")</f>
        <v/>
      </c>
    </row>
    <row r="2102" spans="1:8" x14ac:dyDescent="0.35">
      <c r="A2102" s="5" t="str">
        <f>IFERROR(IF(Portafolio_Proyectos!$AP701="","","CAP-"&amp;ROW()-1),"")</f>
        <v/>
      </c>
      <c r="B2102" s="5" t="str">
        <f>IFERROR(IF(Portafolio_Proyectos!$AP701="","",Portafolio_Proyectos!$AP701),"")</f>
        <v/>
      </c>
      <c r="C2102" s="5" t="str">
        <f>IFERROR(IF(Portafolio_Proyectos!$AP701="","","Emergente"),"")</f>
        <v/>
      </c>
      <c r="D2102" s="5" t="str">
        <f>IFERROR(IF(Portafolio_Proyectos!$AP701="","",Portafolio_Proyectos!$C701),"")</f>
        <v/>
      </c>
      <c r="E2102" s="5" t="str">
        <f>IFERROR(IF(Portafolio_Proyectos!$AP701="","",Portafolio_Proyectos!$B701),"")</f>
        <v/>
      </c>
      <c r="F2102" s="5" t="str">
        <f>IFERROR(IF(Portafolio_Proyectos!$AP701="","",Portafolio_Proyectos!$D701),"")</f>
        <v/>
      </c>
      <c r="G2102" s="5" t="str">
        <f>IFERROR(IF(Portafolio_Proyectos!$AP701="","",Portafolio_Proyectos!$A701),"")</f>
        <v/>
      </c>
      <c r="H2102" s="5" t="str">
        <f>IFERROR(IF(Portafolio_Proyectos!$AP701="","",Portafolio_Proyectos!$E701),"")</f>
        <v/>
      </c>
    </row>
    <row r="2103" spans="1:8" x14ac:dyDescent="0.35">
      <c r="A2103" s="5" t="str">
        <f>IFERROR(IF(Portafolio_Proyectos!$AQ701="","","CAP-"&amp;ROW()-1),"")</f>
        <v/>
      </c>
      <c r="B2103" s="5" t="str">
        <f>IFERROR(IF(Portafolio_Proyectos!$AQ701="","",Portafolio_Proyectos!$AQ701),"")</f>
        <v/>
      </c>
      <c r="C2103" s="5" t="str">
        <f>IFERROR(IF(Portafolio_Proyectos!$AQ701="","","Consolidada"),"")</f>
        <v/>
      </c>
      <c r="D2103" s="5" t="str">
        <f>IFERROR(IF(Portafolio_Proyectos!$AQ701="","",Portafolio_Proyectos!$C701),"")</f>
        <v/>
      </c>
      <c r="E2103" s="5" t="str">
        <f>IFERROR(IF(Portafolio_Proyectos!$AQ701="","",Portafolio_Proyectos!$B701),"")</f>
        <v/>
      </c>
      <c r="F2103" s="5" t="str">
        <f>IFERROR(IF(Portafolio_Proyectos!$AQ701="","",Portafolio_Proyectos!$D701),"")</f>
        <v/>
      </c>
      <c r="G2103" s="5" t="str">
        <f>IFERROR(IF(Portafolio_Proyectos!$AQ701="","",Portafolio_Proyectos!$A701),"")</f>
        <v/>
      </c>
      <c r="H2103" s="5" t="str">
        <f>IFERROR(IF(Portafolio_Proyectos!$AQ701="","",Portafolio_Proyectos!$E701),"")</f>
        <v/>
      </c>
    </row>
    <row r="2104" spans="1:8" x14ac:dyDescent="0.35">
      <c r="A2104" s="5" t="str">
        <f>IFERROR(IF(Portafolio_Proyectos!$AR701="","","CAP-"&amp;ROW()-1),"")</f>
        <v/>
      </c>
      <c r="B2104" s="5" t="str">
        <f>IFERROR(IF(Portafolio_Proyectos!$AR701="","",Portafolio_Proyectos!$AR701),"")</f>
        <v/>
      </c>
      <c r="C2104" s="5" t="str">
        <f>IFERROR(IF(Portafolio_Proyectos!$AR701="","","Distintiva"),"")</f>
        <v/>
      </c>
      <c r="D2104" s="5" t="str">
        <f>IFERROR(IF(Portafolio_Proyectos!$AR701="","",Portafolio_Proyectos!$C701),"")</f>
        <v/>
      </c>
      <c r="E2104" s="5" t="str">
        <f>IFERROR(IF(Portafolio_Proyectos!$AR701="","",Portafolio_Proyectos!$B701),"")</f>
        <v/>
      </c>
      <c r="F2104" s="5" t="str">
        <f>IFERROR(IF(Portafolio_Proyectos!$AR701="","",Portafolio_Proyectos!$D701),"")</f>
        <v/>
      </c>
      <c r="G2104" s="5" t="str">
        <f>IFERROR(IF(Portafolio_Proyectos!$AR701="","",Portafolio_Proyectos!$A701),"")</f>
        <v/>
      </c>
      <c r="H2104" s="5" t="str">
        <f>IFERROR(IF(Portafolio_Proyectos!$AR701="","",Portafolio_Proyectos!$E701),"")</f>
        <v/>
      </c>
    </row>
    <row r="2105" spans="1:8" x14ac:dyDescent="0.35">
      <c r="A2105" s="5" t="str">
        <f>IFERROR(IF(Portafolio_Proyectos!$AP702="","","CAP-"&amp;ROW()-1),"")</f>
        <v/>
      </c>
      <c r="B2105" s="5" t="str">
        <f>IFERROR(IF(Portafolio_Proyectos!$AP702="","",Portafolio_Proyectos!$AP702),"")</f>
        <v/>
      </c>
      <c r="C2105" s="5" t="str">
        <f>IFERROR(IF(Portafolio_Proyectos!$AP702="","","Emergente"),"")</f>
        <v/>
      </c>
      <c r="D2105" s="5" t="str">
        <f>IFERROR(IF(Portafolio_Proyectos!$AP702="","",Portafolio_Proyectos!$C702),"")</f>
        <v/>
      </c>
      <c r="E2105" s="5" t="str">
        <f>IFERROR(IF(Portafolio_Proyectos!$AP702="","",Portafolio_Proyectos!$B702),"")</f>
        <v/>
      </c>
      <c r="F2105" s="5" t="str">
        <f>IFERROR(IF(Portafolio_Proyectos!$AP702="","",Portafolio_Proyectos!$D702),"")</f>
        <v/>
      </c>
      <c r="G2105" s="5" t="str">
        <f>IFERROR(IF(Portafolio_Proyectos!$AP702="","",Portafolio_Proyectos!$A702),"")</f>
        <v/>
      </c>
      <c r="H2105" s="5" t="str">
        <f>IFERROR(IF(Portafolio_Proyectos!$AP702="","",Portafolio_Proyectos!$E702),"")</f>
        <v/>
      </c>
    </row>
    <row r="2106" spans="1:8" x14ac:dyDescent="0.35">
      <c r="A2106" s="5" t="str">
        <f>IFERROR(IF(Portafolio_Proyectos!$AQ702="","","CAP-"&amp;ROW()-1),"")</f>
        <v/>
      </c>
      <c r="B2106" s="5" t="str">
        <f>IFERROR(IF(Portafolio_Proyectos!$AQ702="","",Portafolio_Proyectos!$AQ702),"")</f>
        <v/>
      </c>
      <c r="C2106" s="5" t="str">
        <f>IFERROR(IF(Portafolio_Proyectos!$AQ702="","","Consolidada"),"")</f>
        <v/>
      </c>
      <c r="D2106" s="5" t="str">
        <f>IFERROR(IF(Portafolio_Proyectos!$AQ702="","",Portafolio_Proyectos!$C702),"")</f>
        <v/>
      </c>
      <c r="E2106" s="5" t="str">
        <f>IFERROR(IF(Portafolio_Proyectos!$AQ702="","",Portafolio_Proyectos!$B702),"")</f>
        <v/>
      </c>
      <c r="F2106" s="5" t="str">
        <f>IFERROR(IF(Portafolio_Proyectos!$AQ702="","",Portafolio_Proyectos!$D702),"")</f>
        <v/>
      </c>
      <c r="G2106" s="5" t="str">
        <f>IFERROR(IF(Portafolio_Proyectos!$AQ702="","",Portafolio_Proyectos!$A702),"")</f>
        <v/>
      </c>
      <c r="H2106" s="5" t="str">
        <f>IFERROR(IF(Portafolio_Proyectos!$AQ702="","",Portafolio_Proyectos!$E702),"")</f>
        <v/>
      </c>
    </row>
    <row r="2107" spans="1:8" x14ac:dyDescent="0.35">
      <c r="A2107" s="5" t="str">
        <f>IFERROR(IF(Portafolio_Proyectos!$AR702="","","CAP-"&amp;ROW()-1),"")</f>
        <v/>
      </c>
      <c r="B2107" s="5" t="str">
        <f>IFERROR(IF(Portafolio_Proyectos!$AR702="","",Portafolio_Proyectos!$AR702),"")</f>
        <v/>
      </c>
      <c r="C2107" s="5" t="str">
        <f>IFERROR(IF(Portafolio_Proyectos!$AR702="","","Distintiva"),"")</f>
        <v/>
      </c>
      <c r="D2107" s="5" t="str">
        <f>IFERROR(IF(Portafolio_Proyectos!$AR702="","",Portafolio_Proyectos!$C702),"")</f>
        <v/>
      </c>
      <c r="E2107" s="5" t="str">
        <f>IFERROR(IF(Portafolio_Proyectos!$AR702="","",Portafolio_Proyectos!$B702),"")</f>
        <v/>
      </c>
      <c r="F2107" s="5" t="str">
        <f>IFERROR(IF(Portafolio_Proyectos!$AR702="","",Portafolio_Proyectos!$D702),"")</f>
        <v/>
      </c>
      <c r="G2107" s="5" t="str">
        <f>IFERROR(IF(Portafolio_Proyectos!$AR702="","",Portafolio_Proyectos!$A702),"")</f>
        <v/>
      </c>
      <c r="H2107" s="5" t="str">
        <f>IFERROR(IF(Portafolio_Proyectos!$AR702="","",Portafolio_Proyectos!$E702),"")</f>
        <v/>
      </c>
    </row>
    <row r="2108" spans="1:8" x14ac:dyDescent="0.35">
      <c r="A2108" s="5" t="str">
        <f>IFERROR(IF(Portafolio_Proyectos!$AP703="","","CAP-"&amp;ROW()-1),"")</f>
        <v/>
      </c>
      <c r="B2108" s="5" t="str">
        <f>IFERROR(IF(Portafolio_Proyectos!$AP703="","",Portafolio_Proyectos!$AP703),"")</f>
        <v/>
      </c>
      <c r="C2108" s="5" t="str">
        <f>IFERROR(IF(Portafolio_Proyectos!$AP703="","","Emergente"),"")</f>
        <v/>
      </c>
      <c r="D2108" s="5" t="str">
        <f>IFERROR(IF(Portafolio_Proyectos!$AP703="","",Portafolio_Proyectos!$C703),"")</f>
        <v/>
      </c>
      <c r="E2108" s="5" t="str">
        <f>IFERROR(IF(Portafolio_Proyectos!$AP703="","",Portafolio_Proyectos!$B703),"")</f>
        <v/>
      </c>
      <c r="F2108" s="5" t="str">
        <f>IFERROR(IF(Portafolio_Proyectos!$AP703="","",Portafolio_Proyectos!$D703),"")</f>
        <v/>
      </c>
      <c r="G2108" s="5" t="str">
        <f>IFERROR(IF(Portafolio_Proyectos!$AP703="","",Portafolio_Proyectos!$A703),"")</f>
        <v/>
      </c>
      <c r="H2108" s="5" t="str">
        <f>IFERROR(IF(Portafolio_Proyectos!$AP703="","",Portafolio_Proyectos!$E703),"")</f>
        <v/>
      </c>
    </row>
    <row r="2109" spans="1:8" x14ac:dyDescent="0.35">
      <c r="A2109" s="5" t="str">
        <f>IFERROR(IF(Portafolio_Proyectos!$AQ703="","","CAP-"&amp;ROW()-1),"")</f>
        <v/>
      </c>
      <c r="B2109" s="5" t="str">
        <f>IFERROR(IF(Portafolio_Proyectos!$AQ703="","",Portafolio_Proyectos!$AQ703),"")</f>
        <v/>
      </c>
      <c r="C2109" s="5" t="str">
        <f>IFERROR(IF(Portafolio_Proyectos!$AQ703="","","Consolidada"),"")</f>
        <v/>
      </c>
      <c r="D2109" s="5" t="str">
        <f>IFERROR(IF(Portafolio_Proyectos!$AQ703="","",Portafolio_Proyectos!$C703),"")</f>
        <v/>
      </c>
      <c r="E2109" s="5" t="str">
        <f>IFERROR(IF(Portafolio_Proyectos!$AQ703="","",Portafolio_Proyectos!$B703),"")</f>
        <v/>
      </c>
      <c r="F2109" s="5" t="str">
        <f>IFERROR(IF(Portafolio_Proyectos!$AQ703="","",Portafolio_Proyectos!$D703),"")</f>
        <v/>
      </c>
      <c r="G2109" s="5" t="str">
        <f>IFERROR(IF(Portafolio_Proyectos!$AQ703="","",Portafolio_Proyectos!$A703),"")</f>
        <v/>
      </c>
      <c r="H2109" s="5" t="str">
        <f>IFERROR(IF(Portafolio_Proyectos!$AQ703="","",Portafolio_Proyectos!$E703),"")</f>
        <v/>
      </c>
    </row>
    <row r="2110" spans="1:8" x14ac:dyDescent="0.35">
      <c r="A2110" s="5" t="str">
        <f>IFERROR(IF(Portafolio_Proyectos!$AR703="","","CAP-"&amp;ROW()-1),"")</f>
        <v/>
      </c>
      <c r="B2110" s="5" t="str">
        <f>IFERROR(IF(Portafolio_Proyectos!$AR703="","",Portafolio_Proyectos!$AR703),"")</f>
        <v/>
      </c>
      <c r="C2110" s="5" t="str">
        <f>IFERROR(IF(Portafolio_Proyectos!$AR703="","","Distintiva"),"")</f>
        <v/>
      </c>
      <c r="D2110" s="5" t="str">
        <f>IFERROR(IF(Portafolio_Proyectos!$AR703="","",Portafolio_Proyectos!$C703),"")</f>
        <v/>
      </c>
      <c r="E2110" s="5" t="str">
        <f>IFERROR(IF(Portafolio_Proyectos!$AR703="","",Portafolio_Proyectos!$B703),"")</f>
        <v/>
      </c>
      <c r="F2110" s="5" t="str">
        <f>IFERROR(IF(Portafolio_Proyectos!$AR703="","",Portafolio_Proyectos!$D703),"")</f>
        <v/>
      </c>
      <c r="G2110" s="5" t="str">
        <f>IFERROR(IF(Portafolio_Proyectos!$AR703="","",Portafolio_Proyectos!$A703),"")</f>
        <v/>
      </c>
      <c r="H2110" s="5" t="str">
        <f>IFERROR(IF(Portafolio_Proyectos!$AR703="","",Portafolio_Proyectos!$E703),"")</f>
        <v/>
      </c>
    </row>
    <row r="2111" spans="1:8" x14ac:dyDescent="0.35">
      <c r="A2111" s="5" t="str">
        <f>IFERROR(IF(Portafolio_Proyectos!$AP704="","","CAP-"&amp;ROW()-1),"")</f>
        <v/>
      </c>
      <c r="B2111" s="5" t="str">
        <f>IFERROR(IF(Portafolio_Proyectos!$AP704="","",Portafolio_Proyectos!$AP704),"")</f>
        <v/>
      </c>
      <c r="C2111" s="5" t="str">
        <f>IFERROR(IF(Portafolio_Proyectos!$AP704="","","Emergente"),"")</f>
        <v/>
      </c>
      <c r="D2111" s="5" t="str">
        <f>IFERROR(IF(Portafolio_Proyectos!$AP704="","",Portafolio_Proyectos!$C704),"")</f>
        <v/>
      </c>
      <c r="E2111" s="5" t="str">
        <f>IFERROR(IF(Portafolio_Proyectos!$AP704="","",Portafolio_Proyectos!$B704),"")</f>
        <v/>
      </c>
      <c r="F2111" s="5" t="str">
        <f>IFERROR(IF(Portafolio_Proyectos!$AP704="","",Portafolio_Proyectos!$D704),"")</f>
        <v/>
      </c>
      <c r="G2111" s="5" t="str">
        <f>IFERROR(IF(Portafolio_Proyectos!$AP704="","",Portafolio_Proyectos!$A704),"")</f>
        <v/>
      </c>
      <c r="H2111" s="5" t="str">
        <f>IFERROR(IF(Portafolio_Proyectos!$AP704="","",Portafolio_Proyectos!$E704),"")</f>
        <v/>
      </c>
    </row>
    <row r="2112" spans="1:8" x14ac:dyDescent="0.35">
      <c r="A2112" s="5" t="str">
        <f>IFERROR(IF(Portafolio_Proyectos!$AQ704="","","CAP-"&amp;ROW()-1),"")</f>
        <v/>
      </c>
      <c r="B2112" s="5" t="str">
        <f>IFERROR(IF(Portafolio_Proyectos!$AQ704="","",Portafolio_Proyectos!$AQ704),"")</f>
        <v/>
      </c>
      <c r="C2112" s="5" t="str">
        <f>IFERROR(IF(Portafolio_Proyectos!$AQ704="","","Consolidada"),"")</f>
        <v/>
      </c>
      <c r="D2112" s="5" t="str">
        <f>IFERROR(IF(Portafolio_Proyectos!$AQ704="","",Portafolio_Proyectos!$C704),"")</f>
        <v/>
      </c>
      <c r="E2112" s="5" t="str">
        <f>IFERROR(IF(Portafolio_Proyectos!$AQ704="","",Portafolio_Proyectos!$B704),"")</f>
        <v/>
      </c>
      <c r="F2112" s="5" t="str">
        <f>IFERROR(IF(Portafolio_Proyectos!$AQ704="","",Portafolio_Proyectos!$D704),"")</f>
        <v/>
      </c>
      <c r="G2112" s="5" t="str">
        <f>IFERROR(IF(Portafolio_Proyectos!$AQ704="","",Portafolio_Proyectos!$A704),"")</f>
        <v/>
      </c>
      <c r="H2112" s="5" t="str">
        <f>IFERROR(IF(Portafolio_Proyectos!$AQ704="","",Portafolio_Proyectos!$E704),"")</f>
        <v/>
      </c>
    </row>
    <row r="2113" spans="1:8" x14ac:dyDescent="0.35">
      <c r="A2113" s="5" t="str">
        <f>IFERROR(IF(Portafolio_Proyectos!$AR704="","","CAP-"&amp;ROW()-1),"")</f>
        <v/>
      </c>
      <c r="B2113" s="5" t="str">
        <f>IFERROR(IF(Portafolio_Proyectos!$AR704="","",Portafolio_Proyectos!$AR704),"")</f>
        <v/>
      </c>
      <c r="C2113" s="5" t="str">
        <f>IFERROR(IF(Portafolio_Proyectos!$AR704="","","Distintiva"),"")</f>
        <v/>
      </c>
      <c r="D2113" s="5" t="str">
        <f>IFERROR(IF(Portafolio_Proyectos!$AR704="","",Portafolio_Proyectos!$C704),"")</f>
        <v/>
      </c>
      <c r="E2113" s="5" t="str">
        <f>IFERROR(IF(Portafolio_Proyectos!$AR704="","",Portafolio_Proyectos!$B704),"")</f>
        <v/>
      </c>
      <c r="F2113" s="5" t="str">
        <f>IFERROR(IF(Portafolio_Proyectos!$AR704="","",Portafolio_Proyectos!$D704),"")</f>
        <v/>
      </c>
      <c r="G2113" s="5" t="str">
        <f>IFERROR(IF(Portafolio_Proyectos!$AR704="","",Portafolio_Proyectos!$A704),"")</f>
        <v/>
      </c>
      <c r="H2113" s="5" t="str">
        <f>IFERROR(IF(Portafolio_Proyectos!$AR704="","",Portafolio_Proyectos!$E704),"")</f>
        <v/>
      </c>
    </row>
    <row r="2114" spans="1:8" x14ac:dyDescent="0.35">
      <c r="A2114" s="5" t="str">
        <f>IFERROR(IF(Portafolio_Proyectos!$AP705="","","CAP-"&amp;ROW()-1),"")</f>
        <v/>
      </c>
      <c r="B2114" s="5" t="str">
        <f>IFERROR(IF(Portafolio_Proyectos!$AP705="","",Portafolio_Proyectos!$AP705),"")</f>
        <v/>
      </c>
      <c r="C2114" s="5" t="str">
        <f>IFERROR(IF(Portafolio_Proyectos!$AP705="","","Emergente"),"")</f>
        <v/>
      </c>
      <c r="D2114" s="5" t="str">
        <f>IFERROR(IF(Portafolio_Proyectos!$AP705="","",Portafolio_Proyectos!$C705),"")</f>
        <v/>
      </c>
      <c r="E2114" s="5" t="str">
        <f>IFERROR(IF(Portafolio_Proyectos!$AP705="","",Portafolio_Proyectos!$B705),"")</f>
        <v/>
      </c>
      <c r="F2114" s="5" t="str">
        <f>IFERROR(IF(Portafolio_Proyectos!$AP705="","",Portafolio_Proyectos!$D705),"")</f>
        <v/>
      </c>
      <c r="G2114" s="5" t="str">
        <f>IFERROR(IF(Portafolio_Proyectos!$AP705="","",Portafolio_Proyectos!$A705),"")</f>
        <v/>
      </c>
      <c r="H2114" s="5" t="str">
        <f>IFERROR(IF(Portafolio_Proyectos!$AP705="","",Portafolio_Proyectos!$E705),"")</f>
        <v/>
      </c>
    </row>
    <row r="2115" spans="1:8" x14ac:dyDescent="0.35">
      <c r="A2115" s="5" t="str">
        <f>IFERROR(IF(Portafolio_Proyectos!$AQ705="","","CAP-"&amp;ROW()-1),"")</f>
        <v/>
      </c>
      <c r="B2115" s="5" t="str">
        <f>IFERROR(IF(Portafolio_Proyectos!$AQ705="","",Portafolio_Proyectos!$AQ705),"")</f>
        <v/>
      </c>
      <c r="C2115" s="5" t="str">
        <f>IFERROR(IF(Portafolio_Proyectos!$AQ705="","","Consolidada"),"")</f>
        <v/>
      </c>
      <c r="D2115" s="5" t="str">
        <f>IFERROR(IF(Portafolio_Proyectos!$AQ705="","",Portafolio_Proyectos!$C705),"")</f>
        <v/>
      </c>
      <c r="E2115" s="5" t="str">
        <f>IFERROR(IF(Portafolio_Proyectos!$AQ705="","",Portafolio_Proyectos!$B705),"")</f>
        <v/>
      </c>
      <c r="F2115" s="5" t="str">
        <f>IFERROR(IF(Portafolio_Proyectos!$AQ705="","",Portafolio_Proyectos!$D705),"")</f>
        <v/>
      </c>
      <c r="G2115" s="5" t="str">
        <f>IFERROR(IF(Portafolio_Proyectos!$AQ705="","",Portafolio_Proyectos!$A705),"")</f>
        <v/>
      </c>
      <c r="H2115" s="5" t="str">
        <f>IFERROR(IF(Portafolio_Proyectos!$AQ705="","",Portafolio_Proyectos!$E705),"")</f>
        <v/>
      </c>
    </row>
    <row r="2116" spans="1:8" x14ac:dyDescent="0.35">
      <c r="A2116" s="5" t="str">
        <f>IFERROR(IF(Portafolio_Proyectos!$AR705="","","CAP-"&amp;ROW()-1),"")</f>
        <v/>
      </c>
      <c r="B2116" s="5" t="str">
        <f>IFERROR(IF(Portafolio_Proyectos!$AR705="","",Portafolio_Proyectos!$AR705),"")</f>
        <v/>
      </c>
      <c r="C2116" s="5" t="str">
        <f>IFERROR(IF(Portafolio_Proyectos!$AR705="","","Distintiva"),"")</f>
        <v/>
      </c>
      <c r="D2116" s="5" t="str">
        <f>IFERROR(IF(Portafolio_Proyectos!$AR705="","",Portafolio_Proyectos!$C705),"")</f>
        <v/>
      </c>
      <c r="E2116" s="5" t="str">
        <f>IFERROR(IF(Portafolio_Proyectos!$AR705="","",Portafolio_Proyectos!$B705),"")</f>
        <v/>
      </c>
      <c r="F2116" s="5" t="str">
        <f>IFERROR(IF(Portafolio_Proyectos!$AR705="","",Portafolio_Proyectos!$D705),"")</f>
        <v/>
      </c>
      <c r="G2116" s="5" t="str">
        <f>IFERROR(IF(Portafolio_Proyectos!$AR705="","",Portafolio_Proyectos!$A705),"")</f>
        <v/>
      </c>
      <c r="H2116" s="5" t="str">
        <f>IFERROR(IF(Portafolio_Proyectos!$AR705="","",Portafolio_Proyectos!$E705),"")</f>
        <v/>
      </c>
    </row>
    <row r="2117" spans="1:8" x14ac:dyDescent="0.35">
      <c r="A2117" s="5" t="str">
        <f>IFERROR(IF(Portafolio_Proyectos!$AP706="","","CAP-"&amp;ROW()-1),"")</f>
        <v/>
      </c>
      <c r="B2117" s="5" t="str">
        <f>IFERROR(IF(Portafolio_Proyectos!$AP706="","",Portafolio_Proyectos!$AP706),"")</f>
        <v/>
      </c>
      <c r="C2117" s="5" t="str">
        <f>IFERROR(IF(Portafolio_Proyectos!$AP706="","","Emergente"),"")</f>
        <v/>
      </c>
      <c r="D2117" s="5" t="str">
        <f>IFERROR(IF(Portafolio_Proyectos!$AP706="","",Portafolio_Proyectos!$C706),"")</f>
        <v/>
      </c>
      <c r="E2117" s="5" t="str">
        <f>IFERROR(IF(Portafolio_Proyectos!$AP706="","",Portafolio_Proyectos!$B706),"")</f>
        <v/>
      </c>
      <c r="F2117" s="5" t="str">
        <f>IFERROR(IF(Portafolio_Proyectos!$AP706="","",Portafolio_Proyectos!$D706),"")</f>
        <v/>
      </c>
      <c r="G2117" s="5" t="str">
        <f>IFERROR(IF(Portafolio_Proyectos!$AP706="","",Portafolio_Proyectos!$A706),"")</f>
        <v/>
      </c>
      <c r="H2117" s="5" t="str">
        <f>IFERROR(IF(Portafolio_Proyectos!$AP706="","",Portafolio_Proyectos!$E706),"")</f>
        <v/>
      </c>
    </row>
    <row r="2118" spans="1:8" x14ac:dyDescent="0.35">
      <c r="A2118" s="5" t="str">
        <f>IFERROR(IF(Portafolio_Proyectos!$AQ706="","","CAP-"&amp;ROW()-1),"")</f>
        <v/>
      </c>
      <c r="B2118" s="5" t="str">
        <f>IFERROR(IF(Portafolio_Proyectos!$AQ706="","",Portafolio_Proyectos!$AQ706),"")</f>
        <v/>
      </c>
      <c r="C2118" s="5" t="str">
        <f>IFERROR(IF(Portafolio_Proyectos!$AQ706="","","Consolidada"),"")</f>
        <v/>
      </c>
      <c r="D2118" s="5" t="str">
        <f>IFERROR(IF(Portafolio_Proyectos!$AQ706="","",Portafolio_Proyectos!$C706),"")</f>
        <v/>
      </c>
      <c r="E2118" s="5" t="str">
        <f>IFERROR(IF(Portafolio_Proyectos!$AQ706="","",Portafolio_Proyectos!$B706),"")</f>
        <v/>
      </c>
      <c r="F2118" s="5" t="str">
        <f>IFERROR(IF(Portafolio_Proyectos!$AQ706="","",Portafolio_Proyectos!$D706),"")</f>
        <v/>
      </c>
      <c r="G2118" s="5" t="str">
        <f>IFERROR(IF(Portafolio_Proyectos!$AQ706="","",Portafolio_Proyectos!$A706),"")</f>
        <v/>
      </c>
      <c r="H2118" s="5" t="str">
        <f>IFERROR(IF(Portafolio_Proyectos!$AQ706="","",Portafolio_Proyectos!$E706),"")</f>
        <v/>
      </c>
    </row>
    <row r="2119" spans="1:8" x14ac:dyDescent="0.35">
      <c r="A2119" s="5" t="str">
        <f>IFERROR(IF(Portafolio_Proyectos!$AR706="","","CAP-"&amp;ROW()-1),"")</f>
        <v/>
      </c>
      <c r="B2119" s="5" t="str">
        <f>IFERROR(IF(Portafolio_Proyectos!$AR706="","",Portafolio_Proyectos!$AR706),"")</f>
        <v/>
      </c>
      <c r="C2119" s="5" t="str">
        <f>IFERROR(IF(Portafolio_Proyectos!$AR706="","","Distintiva"),"")</f>
        <v/>
      </c>
      <c r="D2119" s="5" t="str">
        <f>IFERROR(IF(Portafolio_Proyectos!$AR706="","",Portafolio_Proyectos!$C706),"")</f>
        <v/>
      </c>
      <c r="E2119" s="5" t="str">
        <f>IFERROR(IF(Portafolio_Proyectos!$AR706="","",Portafolio_Proyectos!$B706),"")</f>
        <v/>
      </c>
      <c r="F2119" s="5" t="str">
        <f>IFERROR(IF(Portafolio_Proyectos!$AR706="","",Portafolio_Proyectos!$D706),"")</f>
        <v/>
      </c>
      <c r="G2119" s="5" t="str">
        <f>IFERROR(IF(Portafolio_Proyectos!$AR706="","",Portafolio_Proyectos!$A706),"")</f>
        <v/>
      </c>
      <c r="H2119" s="5" t="str">
        <f>IFERROR(IF(Portafolio_Proyectos!$AR706="","",Portafolio_Proyectos!$E706),"")</f>
        <v/>
      </c>
    </row>
    <row r="2120" spans="1:8" x14ac:dyDescent="0.35">
      <c r="A2120" s="5" t="str">
        <f>IFERROR(IF(Portafolio_Proyectos!$AP707="","","CAP-"&amp;ROW()-1),"")</f>
        <v/>
      </c>
      <c r="B2120" s="5" t="str">
        <f>IFERROR(IF(Portafolio_Proyectos!$AP707="","",Portafolio_Proyectos!$AP707),"")</f>
        <v/>
      </c>
      <c r="C2120" s="5" t="str">
        <f>IFERROR(IF(Portafolio_Proyectos!$AP707="","","Emergente"),"")</f>
        <v/>
      </c>
      <c r="D2120" s="5" t="str">
        <f>IFERROR(IF(Portafolio_Proyectos!$AP707="","",Portafolio_Proyectos!$C707),"")</f>
        <v/>
      </c>
      <c r="E2120" s="5" t="str">
        <f>IFERROR(IF(Portafolio_Proyectos!$AP707="","",Portafolio_Proyectos!$B707),"")</f>
        <v/>
      </c>
      <c r="F2120" s="5" t="str">
        <f>IFERROR(IF(Portafolio_Proyectos!$AP707="","",Portafolio_Proyectos!$D707),"")</f>
        <v/>
      </c>
      <c r="G2120" s="5" t="str">
        <f>IFERROR(IF(Portafolio_Proyectos!$AP707="","",Portafolio_Proyectos!$A707),"")</f>
        <v/>
      </c>
      <c r="H2120" s="5" t="str">
        <f>IFERROR(IF(Portafolio_Proyectos!$AP707="","",Portafolio_Proyectos!$E707),"")</f>
        <v/>
      </c>
    </row>
    <row r="2121" spans="1:8" x14ac:dyDescent="0.35">
      <c r="A2121" s="5" t="str">
        <f>IFERROR(IF(Portafolio_Proyectos!$AQ707="","","CAP-"&amp;ROW()-1),"")</f>
        <v/>
      </c>
      <c r="B2121" s="5" t="str">
        <f>IFERROR(IF(Portafolio_Proyectos!$AQ707="","",Portafolio_Proyectos!$AQ707),"")</f>
        <v/>
      </c>
      <c r="C2121" s="5" t="str">
        <f>IFERROR(IF(Portafolio_Proyectos!$AQ707="","","Consolidada"),"")</f>
        <v/>
      </c>
      <c r="D2121" s="5" t="str">
        <f>IFERROR(IF(Portafolio_Proyectos!$AQ707="","",Portafolio_Proyectos!$C707),"")</f>
        <v/>
      </c>
      <c r="E2121" s="5" t="str">
        <f>IFERROR(IF(Portafolio_Proyectos!$AQ707="","",Portafolio_Proyectos!$B707),"")</f>
        <v/>
      </c>
      <c r="F2121" s="5" t="str">
        <f>IFERROR(IF(Portafolio_Proyectos!$AQ707="","",Portafolio_Proyectos!$D707),"")</f>
        <v/>
      </c>
      <c r="G2121" s="5" t="str">
        <f>IFERROR(IF(Portafolio_Proyectos!$AQ707="","",Portafolio_Proyectos!$A707),"")</f>
        <v/>
      </c>
      <c r="H2121" s="5" t="str">
        <f>IFERROR(IF(Portafolio_Proyectos!$AQ707="","",Portafolio_Proyectos!$E707),"")</f>
        <v/>
      </c>
    </row>
    <row r="2122" spans="1:8" x14ac:dyDescent="0.35">
      <c r="A2122" s="5" t="str">
        <f>IFERROR(IF(Portafolio_Proyectos!$AR707="","","CAP-"&amp;ROW()-1),"")</f>
        <v/>
      </c>
      <c r="B2122" s="5" t="str">
        <f>IFERROR(IF(Portafolio_Proyectos!$AR707="","",Portafolio_Proyectos!$AR707),"")</f>
        <v/>
      </c>
      <c r="C2122" s="5" t="str">
        <f>IFERROR(IF(Portafolio_Proyectos!$AR707="","","Distintiva"),"")</f>
        <v/>
      </c>
      <c r="D2122" s="5" t="str">
        <f>IFERROR(IF(Portafolio_Proyectos!$AR707="","",Portafolio_Proyectos!$C707),"")</f>
        <v/>
      </c>
      <c r="E2122" s="5" t="str">
        <f>IFERROR(IF(Portafolio_Proyectos!$AR707="","",Portafolio_Proyectos!$B707),"")</f>
        <v/>
      </c>
      <c r="F2122" s="5" t="str">
        <f>IFERROR(IF(Portafolio_Proyectos!$AR707="","",Portafolio_Proyectos!$D707),"")</f>
        <v/>
      </c>
      <c r="G2122" s="5" t="str">
        <f>IFERROR(IF(Portafolio_Proyectos!$AR707="","",Portafolio_Proyectos!$A707),"")</f>
        <v/>
      </c>
      <c r="H2122" s="5" t="str">
        <f>IFERROR(IF(Portafolio_Proyectos!$AR707="","",Portafolio_Proyectos!$E707),"")</f>
        <v/>
      </c>
    </row>
    <row r="2123" spans="1:8" x14ac:dyDescent="0.35">
      <c r="A2123" s="5" t="str">
        <f>IFERROR(IF(Portafolio_Proyectos!$AP708="","","CAP-"&amp;ROW()-1),"")</f>
        <v/>
      </c>
      <c r="B2123" s="5" t="str">
        <f>IFERROR(IF(Portafolio_Proyectos!$AP708="","",Portafolio_Proyectos!$AP708),"")</f>
        <v/>
      </c>
      <c r="C2123" s="5" t="str">
        <f>IFERROR(IF(Portafolio_Proyectos!$AP708="","","Emergente"),"")</f>
        <v/>
      </c>
      <c r="D2123" s="5" t="str">
        <f>IFERROR(IF(Portafolio_Proyectos!$AP708="","",Portafolio_Proyectos!$C708),"")</f>
        <v/>
      </c>
      <c r="E2123" s="5" t="str">
        <f>IFERROR(IF(Portafolio_Proyectos!$AP708="","",Portafolio_Proyectos!$B708),"")</f>
        <v/>
      </c>
      <c r="F2123" s="5" t="str">
        <f>IFERROR(IF(Portafolio_Proyectos!$AP708="","",Portafolio_Proyectos!$D708),"")</f>
        <v/>
      </c>
      <c r="G2123" s="5" t="str">
        <f>IFERROR(IF(Portafolio_Proyectos!$AP708="","",Portafolio_Proyectos!$A708),"")</f>
        <v/>
      </c>
      <c r="H2123" s="5" t="str">
        <f>IFERROR(IF(Portafolio_Proyectos!$AP708="","",Portafolio_Proyectos!$E708),"")</f>
        <v/>
      </c>
    </row>
    <row r="2124" spans="1:8" x14ac:dyDescent="0.35">
      <c r="A2124" s="5" t="str">
        <f>IFERROR(IF(Portafolio_Proyectos!$AQ708="","","CAP-"&amp;ROW()-1),"")</f>
        <v/>
      </c>
      <c r="B2124" s="5" t="str">
        <f>IFERROR(IF(Portafolio_Proyectos!$AQ708="","",Portafolio_Proyectos!$AQ708),"")</f>
        <v/>
      </c>
      <c r="C2124" s="5" t="str">
        <f>IFERROR(IF(Portafolio_Proyectos!$AQ708="","","Consolidada"),"")</f>
        <v/>
      </c>
      <c r="D2124" s="5" t="str">
        <f>IFERROR(IF(Portafolio_Proyectos!$AQ708="","",Portafolio_Proyectos!$C708),"")</f>
        <v/>
      </c>
      <c r="E2124" s="5" t="str">
        <f>IFERROR(IF(Portafolio_Proyectos!$AQ708="","",Portafolio_Proyectos!$B708),"")</f>
        <v/>
      </c>
      <c r="F2124" s="5" t="str">
        <f>IFERROR(IF(Portafolio_Proyectos!$AQ708="","",Portafolio_Proyectos!$D708),"")</f>
        <v/>
      </c>
      <c r="G2124" s="5" t="str">
        <f>IFERROR(IF(Portafolio_Proyectos!$AQ708="","",Portafolio_Proyectos!$A708),"")</f>
        <v/>
      </c>
      <c r="H2124" s="5" t="str">
        <f>IFERROR(IF(Portafolio_Proyectos!$AQ708="","",Portafolio_Proyectos!$E708),"")</f>
        <v/>
      </c>
    </row>
    <row r="2125" spans="1:8" x14ac:dyDescent="0.35">
      <c r="A2125" s="5" t="str">
        <f>IFERROR(IF(Portafolio_Proyectos!$AR708="","","CAP-"&amp;ROW()-1),"")</f>
        <v/>
      </c>
      <c r="B2125" s="5" t="str">
        <f>IFERROR(IF(Portafolio_Proyectos!$AR708="","",Portafolio_Proyectos!$AR708),"")</f>
        <v/>
      </c>
      <c r="C2125" s="5" t="str">
        <f>IFERROR(IF(Portafolio_Proyectos!$AR708="","","Distintiva"),"")</f>
        <v/>
      </c>
      <c r="D2125" s="5" t="str">
        <f>IFERROR(IF(Portafolio_Proyectos!$AR708="","",Portafolio_Proyectos!$C708),"")</f>
        <v/>
      </c>
      <c r="E2125" s="5" t="str">
        <f>IFERROR(IF(Portafolio_Proyectos!$AR708="","",Portafolio_Proyectos!$B708),"")</f>
        <v/>
      </c>
      <c r="F2125" s="5" t="str">
        <f>IFERROR(IF(Portafolio_Proyectos!$AR708="","",Portafolio_Proyectos!$D708),"")</f>
        <v/>
      </c>
      <c r="G2125" s="5" t="str">
        <f>IFERROR(IF(Portafolio_Proyectos!$AR708="","",Portafolio_Proyectos!$A708),"")</f>
        <v/>
      </c>
      <c r="H2125" s="5" t="str">
        <f>IFERROR(IF(Portafolio_Proyectos!$AR708="","",Portafolio_Proyectos!$E708),"")</f>
        <v/>
      </c>
    </row>
    <row r="2126" spans="1:8" x14ac:dyDescent="0.35">
      <c r="A2126" s="5" t="str">
        <f>IFERROR(IF(Portafolio_Proyectos!$AP709="","","CAP-"&amp;ROW()-1),"")</f>
        <v/>
      </c>
      <c r="B2126" s="5" t="str">
        <f>IFERROR(IF(Portafolio_Proyectos!$AP709="","",Portafolio_Proyectos!$AP709),"")</f>
        <v/>
      </c>
      <c r="C2126" s="5" t="str">
        <f>IFERROR(IF(Portafolio_Proyectos!$AP709="","","Emergente"),"")</f>
        <v/>
      </c>
      <c r="D2126" s="5" t="str">
        <f>IFERROR(IF(Portafolio_Proyectos!$AP709="","",Portafolio_Proyectos!$C709),"")</f>
        <v/>
      </c>
      <c r="E2126" s="5" t="str">
        <f>IFERROR(IF(Portafolio_Proyectos!$AP709="","",Portafolio_Proyectos!$B709),"")</f>
        <v/>
      </c>
      <c r="F2126" s="5" t="str">
        <f>IFERROR(IF(Portafolio_Proyectos!$AP709="","",Portafolio_Proyectos!$D709),"")</f>
        <v/>
      </c>
      <c r="G2126" s="5" t="str">
        <f>IFERROR(IF(Portafolio_Proyectos!$AP709="","",Portafolio_Proyectos!$A709),"")</f>
        <v/>
      </c>
      <c r="H2126" s="5" t="str">
        <f>IFERROR(IF(Portafolio_Proyectos!$AP709="","",Portafolio_Proyectos!$E709),"")</f>
        <v/>
      </c>
    </row>
    <row r="2127" spans="1:8" x14ac:dyDescent="0.35">
      <c r="A2127" s="5" t="str">
        <f>IFERROR(IF(Portafolio_Proyectos!$AQ709="","","CAP-"&amp;ROW()-1),"")</f>
        <v/>
      </c>
      <c r="B2127" s="5" t="str">
        <f>IFERROR(IF(Portafolio_Proyectos!$AQ709="","",Portafolio_Proyectos!$AQ709),"")</f>
        <v/>
      </c>
      <c r="C2127" s="5" t="str">
        <f>IFERROR(IF(Portafolio_Proyectos!$AQ709="","","Consolidada"),"")</f>
        <v/>
      </c>
      <c r="D2127" s="5" t="str">
        <f>IFERROR(IF(Portafolio_Proyectos!$AQ709="","",Portafolio_Proyectos!$C709),"")</f>
        <v/>
      </c>
      <c r="E2127" s="5" t="str">
        <f>IFERROR(IF(Portafolio_Proyectos!$AQ709="","",Portafolio_Proyectos!$B709),"")</f>
        <v/>
      </c>
      <c r="F2127" s="5" t="str">
        <f>IFERROR(IF(Portafolio_Proyectos!$AQ709="","",Portafolio_Proyectos!$D709),"")</f>
        <v/>
      </c>
      <c r="G2127" s="5" t="str">
        <f>IFERROR(IF(Portafolio_Proyectos!$AQ709="","",Portafolio_Proyectos!$A709),"")</f>
        <v/>
      </c>
      <c r="H2127" s="5" t="str">
        <f>IFERROR(IF(Portafolio_Proyectos!$AQ709="","",Portafolio_Proyectos!$E709),"")</f>
        <v/>
      </c>
    </row>
    <row r="2128" spans="1:8" x14ac:dyDescent="0.35">
      <c r="A2128" s="5" t="str">
        <f>IFERROR(IF(Portafolio_Proyectos!$AR709="","","CAP-"&amp;ROW()-1),"")</f>
        <v/>
      </c>
      <c r="B2128" s="5" t="str">
        <f>IFERROR(IF(Portafolio_Proyectos!$AR709="","",Portafolio_Proyectos!$AR709),"")</f>
        <v/>
      </c>
      <c r="C2128" s="5" t="str">
        <f>IFERROR(IF(Portafolio_Proyectos!$AR709="","","Distintiva"),"")</f>
        <v/>
      </c>
      <c r="D2128" s="5" t="str">
        <f>IFERROR(IF(Portafolio_Proyectos!$AR709="","",Portafolio_Proyectos!$C709),"")</f>
        <v/>
      </c>
      <c r="E2128" s="5" t="str">
        <f>IFERROR(IF(Portafolio_Proyectos!$AR709="","",Portafolio_Proyectos!$B709),"")</f>
        <v/>
      </c>
      <c r="F2128" s="5" t="str">
        <f>IFERROR(IF(Portafolio_Proyectos!$AR709="","",Portafolio_Proyectos!$D709),"")</f>
        <v/>
      </c>
      <c r="G2128" s="5" t="str">
        <f>IFERROR(IF(Portafolio_Proyectos!$AR709="","",Portafolio_Proyectos!$A709),"")</f>
        <v/>
      </c>
      <c r="H2128" s="5" t="str">
        <f>IFERROR(IF(Portafolio_Proyectos!$AR709="","",Portafolio_Proyectos!$E709),"")</f>
        <v/>
      </c>
    </row>
    <row r="2129" spans="1:8" x14ac:dyDescent="0.35">
      <c r="A2129" s="5" t="str">
        <f>IFERROR(IF(Portafolio_Proyectos!$AP710="","","CAP-"&amp;ROW()-1),"")</f>
        <v/>
      </c>
      <c r="B2129" s="5" t="str">
        <f>IFERROR(IF(Portafolio_Proyectos!$AP710="","",Portafolio_Proyectos!$AP710),"")</f>
        <v/>
      </c>
      <c r="C2129" s="5" t="str">
        <f>IFERROR(IF(Portafolio_Proyectos!$AP710="","","Emergente"),"")</f>
        <v/>
      </c>
      <c r="D2129" s="5" t="str">
        <f>IFERROR(IF(Portafolio_Proyectos!$AP710="","",Portafolio_Proyectos!$C710),"")</f>
        <v/>
      </c>
      <c r="E2129" s="5" t="str">
        <f>IFERROR(IF(Portafolio_Proyectos!$AP710="","",Portafolio_Proyectos!$B710),"")</f>
        <v/>
      </c>
      <c r="F2129" s="5" t="str">
        <f>IFERROR(IF(Portafolio_Proyectos!$AP710="","",Portafolio_Proyectos!$D710),"")</f>
        <v/>
      </c>
      <c r="G2129" s="5" t="str">
        <f>IFERROR(IF(Portafolio_Proyectos!$AP710="","",Portafolio_Proyectos!$A710),"")</f>
        <v/>
      </c>
      <c r="H2129" s="5" t="str">
        <f>IFERROR(IF(Portafolio_Proyectos!$AP710="","",Portafolio_Proyectos!$E710),"")</f>
        <v/>
      </c>
    </row>
    <row r="2130" spans="1:8" x14ac:dyDescent="0.35">
      <c r="A2130" s="5" t="str">
        <f>IFERROR(IF(Portafolio_Proyectos!$AQ710="","","CAP-"&amp;ROW()-1),"")</f>
        <v/>
      </c>
      <c r="B2130" s="5" t="str">
        <f>IFERROR(IF(Portafolio_Proyectos!$AQ710="","",Portafolio_Proyectos!$AQ710),"")</f>
        <v/>
      </c>
      <c r="C2130" s="5" t="str">
        <f>IFERROR(IF(Portafolio_Proyectos!$AQ710="","","Consolidada"),"")</f>
        <v/>
      </c>
      <c r="D2130" s="5" t="str">
        <f>IFERROR(IF(Portafolio_Proyectos!$AQ710="","",Portafolio_Proyectos!$C710),"")</f>
        <v/>
      </c>
      <c r="E2130" s="5" t="str">
        <f>IFERROR(IF(Portafolio_Proyectos!$AQ710="","",Portafolio_Proyectos!$B710),"")</f>
        <v/>
      </c>
      <c r="F2130" s="5" t="str">
        <f>IFERROR(IF(Portafolio_Proyectos!$AQ710="","",Portafolio_Proyectos!$D710),"")</f>
        <v/>
      </c>
      <c r="G2130" s="5" t="str">
        <f>IFERROR(IF(Portafolio_Proyectos!$AQ710="","",Portafolio_Proyectos!$A710),"")</f>
        <v/>
      </c>
      <c r="H2130" s="5" t="str">
        <f>IFERROR(IF(Portafolio_Proyectos!$AQ710="","",Portafolio_Proyectos!$E710),"")</f>
        <v/>
      </c>
    </row>
    <row r="2131" spans="1:8" x14ac:dyDescent="0.35">
      <c r="A2131" s="5" t="str">
        <f>IFERROR(IF(Portafolio_Proyectos!$AR710="","","CAP-"&amp;ROW()-1),"")</f>
        <v/>
      </c>
      <c r="B2131" s="5" t="str">
        <f>IFERROR(IF(Portafolio_Proyectos!$AR710="","",Portafolio_Proyectos!$AR710),"")</f>
        <v/>
      </c>
      <c r="C2131" s="5" t="str">
        <f>IFERROR(IF(Portafolio_Proyectos!$AR710="","","Distintiva"),"")</f>
        <v/>
      </c>
      <c r="D2131" s="5" t="str">
        <f>IFERROR(IF(Portafolio_Proyectos!$AR710="","",Portafolio_Proyectos!$C710),"")</f>
        <v/>
      </c>
      <c r="E2131" s="5" t="str">
        <f>IFERROR(IF(Portafolio_Proyectos!$AR710="","",Portafolio_Proyectos!$B710),"")</f>
        <v/>
      </c>
      <c r="F2131" s="5" t="str">
        <f>IFERROR(IF(Portafolio_Proyectos!$AR710="","",Portafolio_Proyectos!$D710),"")</f>
        <v/>
      </c>
      <c r="G2131" s="5" t="str">
        <f>IFERROR(IF(Portafolio_Proyectos!$AR710="","",Portafolio_Proyectos!$A710),"")</f>
        <v/>
      </c>
      <c r="H2131" s="5" t="str">
        <f>IFERROR(IF(Portafolio_Proyectos!$AR710="","",Portafolio_Proyectos!$E710),"")</f>
        <v/>
      </c>
    </row>
    <row r="2132" spans="1:8" x14ac:dyDescent="0.35">
      <c r="A2132" s="5" t="str">
        <f>IFERROR(IF(Portafolio_Proyectos!$AP711="","","CAP-"&amp;ROW()-1),"")</f>
        <v/>
      </c>
      <c r="B2132" s="5" t="str">
        <f>IFERROR(IF(Portafolio_Proyectos!$AP711="","",Portafolio_Proyectos!$AP711),"")</f>
        <v/>
      </c>
      <c r="C2132" s="5" t="str">
        <f>IFERROR(IF(Portafolio_Proyectos!$AP711="","","Emergente"),"")</f>
        <v/>
      </c>
      <c r="D2132" s="5" t="str">
        <f>IFERROR(IF(Portafolio_Proyectos!$AP711="","",Portafolio_Proyectos!$C711),"")</f>
        <v/>
      </c>
      <c r="E2132" s="5" t="str">
        <f>IFERROR(IF(Portafolio_Proyectos!$AP711="","",Portafolio_Proyectos!$B711),"")</f>
        <v/>
      </c>
      <c r="F2132" s="5" t="str">
        <f>IFERROR(IF(Portafolio_Proyectos!$AP711="","",Portafolio_Proyectos!$D711),"")</f>
        <v/>
      </c>
      <c r="G2132" s="5" t="str">
        <f>IFERROR(IF(Portafolio_Proyectos!$AP711="","",Portafolio_Proyectos!$A711),"")</f>
        <v/>
      </c>
      <c r="H2132" s="5" t="str">
        <f>IFERROR(IF(Portafolio_Proyectos!$AP711="","",Portafolio_Proyectos!$E711),"")</f>
        <v/>
      </c>
    </row>
    <row r="2133" spans="1:8" x14ac:dyDescent="0.35">
      <c r="A2133" s="5" t="str">
        <f>IFERROR(IF(Portafolio_Proyectos!$AQ711="","","CAP-"&amp;ROW()-1),"")</f>
        <v/>
      </c>
      <c r="B2133" s="5" t="str">
        <f>IFERROR(IF(Portafolio_Proyectos!$AQ711="","",Portafolio_Proyectos!$AQ711),"")</f>
        <v/>
      </c>
      <c r="C2133" s="5" t="str">
        <f>IFERROR(IF(Portafolio_Proyectos!$AQ711="","","Consolidada"),"")</f>
        <v/>
      </c>
      <c r="D2133" s="5" t="str">
        <f>IFERROR(IF(Portafolio_Proyectos!$AQ711="","",Portafolio_Proyectos!$C711),"")</f>
        <v/>
      </c>
      <c r="E2133" s="5" t="str">
        <f>IFERROR(IF(Portafolio_Proyectos!$AQ711="","",Portafolio_Proyectos!$B711),"")</f>
        <v/>
      </c>
      <c r="F2133" s="5" t="str">
        <f>IFERROR(IF(Portafolio_Proyectos!$AQ711="","",Portafolio_Proyectos!$D711),"")</f>
        <v/>
      </c>
      <c r="G2133" s="5" t="str">
        <f>IFERROR(IF(Portafolio_Proyectos!$AQ711="","",Portafolio_Proyectos!$A711),"")</f>
        <v/>
      </c>
      <c r="H2133" s="5" t="str">
        <f>IFERROR(IF(Portafolio_Proyectos!$AQ711="","",Portafolio_Proyectos!$E711),"")</f>
        <v/>
      </c>
    </row>
    <row r="2134" spans="1:8" x14ac:dyDescent="0.35">
      <c r="A2134" s="5" t="str">
        <f>IFERROR(IF(Portafolio_Proyectos!$AR711="","","CAP-"&amp;ROW()-1),"")</f>
        <v/>
      </c>
      <c r="B2134" s="5" t="str">
        <f>IFERROR(IF(Portafolio_Proyectos!$AR711="","",Portafolio_Proyectos!$AR711),"")</f>
        <v/>
      </c>
      <c r="C2134" s="5" t="str">
        <f>IFERROR(IF(Portafolio_Proyectos!$AR711="","","Distintiva"),"")</f>
        <v/>
      </c>
      <c r="D2134" s="5" t="str">
        <f>IFERROR(IF(Portafolio_Proyectos!$AR711="","",Portafolio_Proyectos!$C711),"")</f>
        <v/>
      </c>
      <c r="E2134" s="5" t="str">
        <f>IFERROR(IF(Portafolio_Proyectos!$AR711="","",Portafolio_Proyectos!$B711),"")</f>
        <v/>
      </c>
      <c r="F2134" s="5" t="str">
        <f>IFERROR(IF(Portafolio_Proyectos!$AR711="","",Portafolio_Proyectos!$D711),"")</f>
        <v/>
      </c>
      <c r="G2134" s="5" t="str">
        <f>IFERROR(IF(Portafolio_Proyectos!$AR711="","",Portafolio_Proyectos!$A711),"")</f>
        <v/>
      </c>
      <c r="H2134" s="5" t="str">
        <f>IFERROR(IF(Portafolio_Proyectos!$AR711="","",Portafolio_Proyectos!$E711),"")</f>
        <v/>
      </c>
    </row>
    <row r="2135" spans="1:8" x14ac:dyDescent="0.35">
      <c r="A2135" s="5" t="str">
        <f>IFERROR(IF(Portafolio_Proyectos!$AP712="","","CAP-"&amp;ROW()-1),"")</f>
        <v/>
      </c>
      <c r="B2135" s="5" t="str">
        <f>IFERROR(IF(Portafolio_Proyectos!$AP712="","",Portafolio_Proyectos!$AP712),"")</f>
        <v/>
      </c>
      <c r="C2135" s="5" t="str">
        <f>IFERROR(IF(Portafolio_Proyectos!$AP712="","","Emergente"),"")</f>
        <v/>
      </c>
      <c r="D2135" s="5" t="str">
        <f>IFERROR(IF(Portafolio_Proyectos!$AP712="","",Portafolio_Proyectos!$C712),"")</f>
        <v/>
      </c>
      <c r="E2135" s="5" t="str">
        <f>IFERROR(IF(Portafolio_Proyectos!$AP712="","",Portafolio_Proyectos!$B712),"")</f>
        <v/>
      </c>
      <c r="F2135" s="5" t="str">
        <f>IFERROR(IF(Portafolio_Proyectos!$AP712="","",Portafolio_Proyectos!$D712),"")</f>
        <v/>
      </c>
      <c r="G2135" s="5" t="str">
        <f>IFERROR(IF(Portafolio_Proyectos!$AP712="","",Portafolio_Proyectos!$A712),"")</f>
        <v/>
      </c>
      <c r="H2135" s="5" t="str">
        <f>IFERROR(IF(Portafolio_Proyectos!$AP712="","",Portafolio_Proyectos!$E712),"")</f>
        <v/>
      </c>
    </row>
    <row r="2136" spans="1:8" x14ac:dyDescent="0.35">
      <c r="A2136" s="5" t="str">
        <f>IFERROR(IF(Portafolio_Proyectos!$AQ712="","","CAP-"&amp;ROW()-1),"")</f>
        <v/>
      </c>
      <c r="B2136" s="5" t="str">
        <f>IFERROR(IF(Portafolio_Proyectos!$AQ712="","",Portafolio_Proyectos!$AQ712),"")</f>
        <v/>
      </c>
      <c r="C2136" s="5" t="str">
        <f>IFERROR(IF(Portafolio_Proyectos!$AQ712="","","Consolidada"),"")</f>
        <v/>
      </c>
      <c r="D2136" s="5" t="str">
        <f>IFERROR(IF(Portafolio_Proyectos!$AQ712="","",Portafolio_Proyectos!$C712),"")</f>
        <v/>
      </c>
      <c r="E2136" s="5" t="str">
        <f>IFERROR(IF(Portafolio_Proyectos!$AQ712="","",Portafolio_Proyectos!$B712),"")</f>
        <v/>
      </c>
      <c r="F2136" s="5" t="str">
        <f>IFERROR(IF(Portafolio_Proyectos!$AQ712="","",Portafolio_Proyectos!$D712),"")</f>
        <v/>
      </c>
      <c r="G2136" s="5" t="str">
        <f>IFERROR(IF(Portafolio_Proyectos!$AQ712="","",Portafolio_Proyectos!$A712),"")</f>
        <v/>
      </c>
      <c r="H2136" s="5" t="str">
        <f>IFERROR(IF(Portafolio_Proyectos!$AQ712="","",Portafolio_Proyectos!$E712),"")</f>
        <v/>
      </c>
    </row>
    <row r="2137" spans="1:8" x14ac:dyDescent="0.35">
      <c r="A2137" s="5" t="str">
        <f>IFERROR(IF(Portafolio_Proyectos!$AR712="","","CAP-"&amp;ROW()-1),"")</f>
        <v/>
      </c>
      <c r="B2137" s="5" t="str">
        <f>IFERROR(IF(Portafolio_Proyectos!$AR712="","",Portafolio_Proyectos!$AR712),"")</f>
        <v/>
      </c>
      <c r="C2137" s="5" t="str">
        <f>IFERROR(IF(Portafolio_Proyectos!$AR712="","","Distintiva"),"")</f>
        <v/>
      </c>
      <c r="D2137" s="5" t="str">
        <f>IFERROR(IF(Portafolio_Proyectos!$AR712="","",Portafolio_Proyectos!$C712),"")</f>
        <v/>
      </c>
      <c r="E2137" s="5" t="str">
        <f>IFERROR(IF(Portafolio_Proyectos!$AR712="","",Portafolio_Proyectos!$B712),"")</f>
        <v/>
      </c>
      <c r="F2137" s="5" t="str">
        <f>IFERROR(IF(Portafolio_Proyectos!$AR712="","",Portafolio_Proyectos!$D712),"")</f>
        <v/>
      </c>
      <c r="G2137" s="5" t="str">
        <f>IFERROR(IF(Portafolio_Proyectos!$AR712="","",Portafolio_Proyectos!$A712),"")</f>
        <v/>
      </c>
      <c r="H2137" s="5" t="str">
        <f>IFERROR(IF(Portafolio_Proyectos!$AR712="","",Portafolio_Proyectos!$E712),"")</f>
        <v/>
      </c>
    </row>
    <row r="2138" spans="1:8" x14ac:dyDescent="0.35">
      <c r="A2138" s="5" t="str">
        <f>IFERROR(IF(Portafolio_Proyectos!$AP713="","","CAP-"&amp;ROW()-1),"")</f>
        <v/>
      </c>
      <c r="B2138" s="5" t="str">
        <f>IFERROR(IF(Portafolio_Proyectos!$AP713="","",Portafolio_Proyectos!$AP713),"")</f>
        <v/>
      </c>
      <c r="C2138" s="5" t="str">
        <f>IFERROR(IF(Portafolio_Proyectos!$AP713="","","Emergente"),"")</f>
        <v/>
      </c>
      <c r="D2138" s="5" t="str">
        <f>IFERROR(IF(Portafolio_Proyectos!$AP713="","",Portafolio_Proyectos!$C713),"")</f>
        <v/>
      </c>
      <c r="E2138" s="5" t="str">
        <f>IFERROR(IF(Portafolio_Proyectos!$AP713="","",Portafolio_Proyectos!$B713),"")</f>
        <v/>
      </c>
      <c r="F2138" s="5" t="str">
        <f>IFERROR(IF(Portafolio_Proyectos!$AP713="","",Portafolio_Proyectos!$D713),"")</f>
        <v/>
      </c>
      <c r="G2138" s="5" t="str">
        <f>IFERROR(IF(Portafolio_Proyectos!$AP713="","",Portafolio_Proyectos!$A713),"")</f>
        <v/>
      </c>
      <c r="H2138" s="5" t="str">
        <f>IFERROR(IF(Portafolio_Proyectos!$AP713="","",Portafolio_Proyectos!$E713),"")</f>
        <v/>
      </c>
    </row>
    <row r="2139" spans="1:8" x14ac:dyDescent="0.35">
      <c r="A2139" s="5" t="str">
        <f>IFERROR(IF(Portafolio_Proyectos!$AQ713="","","CAP-"&amp;ROW()-1),"")</f>
        <v/>
      </c>
      <c r="B2139" s="5" t="str">
        <f>IFERROR(IF(Portafolio_Proyectos!$AQ713="","",Portafolio_Proyectos!$AQ713),"")</f>
        <v/>
      </c>
      <c r="C2139" s="5" t="str">
        <f>IFERROR(IF(Portafolio_Proyectos!$AQ713="","","Consolidada"),"")</f>
        <v/>
      </c>
      <c r="D2139" s="5" t="str">
        <f>IFERROR(IF(Portafolio_Proyectos!$AQ713="","",Portafolio_Proyectos!$C713),"")</f>
        <v/>
      </c>
      <c r="E2139" s="5" t="str">
        <f>IFERROR(IF(Portafolio_Proyectos!$AQ713="","",Portafolio_Proyectos!$B713),"")</f>
        <v/>
      </c>
      <c r="F2139" s="5" t="str">
        <f>IFERROR(IF(Portafolio_Proyectos!$AQ713="","",Portafolio_Proyectos!$D713),"")</f>
        <v/>
      </c>
      <c r="G2139" s="5" t="str">
        <f>IFERROR(IF(Portafolio_Proyectos!$AQ713="","",Portafolio_Proyectos!$A713),"")</f>
        <v/>
      </c>
      <c r="H2139" s="5" t="str">
        <f>IFERROR(IF(Portafolio_Proyectos!$AQ713="","",Portafolio_Proyectos!$E713),"")</f>
        <v/>
      </c>
    </row>
    <row r="2140" spans="1:8" x14ac:dyDescent="0.35">
      <c r="A2140" s="5" t="str">
        <f>IFERROR(IF(Portafolio_Proyectos!$AR713="","","CAP-"&amp;ROW()-1),"")</f>
        <v/>
      </c>
      <c r="B2140" s="5" t="str">
        <f>IFERROR(IF(Portafolio_Proyectos!$AR713="","",Portafolio_Proyectos!$AR713),"")</f>
        <v/>
      </c>
      <c r="C2140" s="5" t="str">
        <f>IFERROR(IF(Portafolio_Proyectos!$AR713="","","Distintiva"),"")</f>
        <v/>
      </c>
      <c r="D2140" s="5" t="str">
        <f>IFERROR(IF(Portafolio_Proyectos!$AR713="","",Portafolio_Proyectos!$C713),"")</f>
        <v/>
      </c>
      <c r="E2140" s="5" t="str">
        <f>IFERROR(IF(Portafolio_Proyectos!$AR713="","",Portafolio_Proyectos!$B713),"")</f>
        <v/>
      </c>
      <c r="F2140" s="5" t="str">
        <f>IFERROR(IF(Portafolio_Proyectos!$AR713="","",Portafolio_Proyectos!$D713),"")</f>
        <v/>
      </c>
      <c r="G2140" s="5" t="str">
        <f>IFERROR(IF(Portafolio_Proyectos!$AR713="","",Portafolio_Proyectos!$A713),"")</f>
        <v/>
      </c>
      <c r="H2140" s="5" t="str">
        <f>IFERROR(IF(Portafolio_Proyectos!$AR713="","",Portafolio_Proyectos!$E713),"")</f>
        <v/>
      </c>
    </row>
    <row r="2141" spans="1:8" x14ac:dyDescent="0.35">
      <c r="A2141" s="5" t="str">
        <f>IFERROR(IF(Portafolio_Proyectos!$AP714="","","CAP-"&amp;ROW()-1),"")</f>
        <v/>
      </c>
      <c r="B2141" s="5" t="str">
        <f>IFERROR(IF(Portafolio_Proyectos!$AP714="","",Portafolio_Proyectos!$AP714),"")</f>
        <v/>
      </c>
      <c r="C2141" s="5" t="str">
        <f>IFERROR(IF(Portafolio_Proyectos!$AP714="","","Emergente"),"")</f>
        <v/>
      </c>
      <c r="D2141" s="5" t="str">
        <f>IFERROR(IF(Portafolio_Proyectos!$AP714="","",Portafolio_Proyectos!$C714),"")</f>
        <v/>
      </c>
      <c r="E2141" s="5" t="str">
        <f>IFERROR(IF(Portafolio_Proyectos!$AP714="","",Portafolio_Proyectos!$B714),"")</f>
        <v/>
      </c>
      <c r="F2141" s="5" t="str">
        <f>IFERROR(IF(Portafolio_Proyectos!$AP714="","",Portafolio_Proyectos!$D714),"")</f>
        <v/>
      </c>
      <c r="G2141" s="5" t="str">
        <f>IFERROR(IF(Portafolio_Proyectos!$AP714="","",Portafolio_Proyectos!$A714),"")</f>
        <v/>
      </c>
      <c r="H2141" s="5" t="str">
        <f>IFERROR(IF(Portafolio_Proyectos!$AP714="","",Portafolio_Proyectos!$E714),"")</f>
        <v/>
      </c>
    </row>
    <row r="2142" spans="1:8" x14ac:dyDescent="0.35">
      <c r="A2142" s="5" t="str">
        <f>IFERROR(IF(Portafolio_Proyectos!$AQ714="","","CAP-"&amp;ROW()-1),"")</f>
        <v/>
      </c>
      <c r="B2142" s="5" t="str">
        <f>IFERROR(IF(Portafolio_Proyectos!$AQ714="","",Portafolio_Proyectos!$AQ714),"")</f>
        <v/>
      </c>
      <c r="C2142" s="5" t="str">
        <f>IFERROR(IF(Portafolio_Proyectos!$AQ714="","","Consolidada"),"")</f>
        <v/>
      </c>
      <c r="D2142" s="5" t="str">
        <f>IFERROR(IF(Portafolio_Proyectos!$AQ714="","",Portafolio_Proyectos!$C714),"")</f>
        <v/>
      </c>
      <c r="E2142" s="5" t="str">
        <f>IFERROR(IF(Portafolio_Proyectos!$AQ714="","",Portafolio_Proyectos!$B714),"")</f>
        <v/>
      </c>
      <c r="F2142" s="5" t="str">
        <f>IFERROR(IF(Portafolio_Proyectos!$AQ714="","",Portafolio_Proyectos!$D714),"")</f>
        <v/>
      </c>
      <c r="G2142" s="5" t="str">
        <f>IFERROR(IF(Portafolio_Proyectos!$AQ714="","",Portafolio_Proyectos!$A714),"")</f>
        <v/>
      </c>
      <c r="H2142" s="5" t="str">
        <f>IFERROR(IF(Portafolio_Proyectos!$AQ714="","",Portafolio_Proyectos!$E714),"")</f>
        <v/>
      </c>
    </row>
    <row r="2143" spans="1:8" x14ac:dyDescent="0.35">
      <c r="A2143" s="5" t="str">
        <f>IFERROR(IF(Portafolio_Proyectos!$AR714="","","CAP-"&amp;ROW()-1),"")</f>
        <v/>
      </c>
      <c r="B2143" s="5" t="str">
        <f>IFERROR(IF(Portafolio_Proyectos!$AR714="","",Portafolio_Proyectos!$AR714),"")</f>
        <v/>
      </c>
      <c r="C2143" s="5" t="str">
        <f>IFERROR(IF(Portafolio_Proyectos!$AR714="","","Distintiva"),"")</f>
        <v/>
      </c>
      <c r="D2143" s="5" t="str">
        <f>IFERROR(IF(Portafolio_Proyectos!$AR714="","",Portafolio_Proyectos!$C714),"")</f>
        <v/>
      </c>
      <c r="E2143" s="5" t="str">
        <f>IFERROR(IF(Portafolio_Proyectos!$AR714="","",Portafolio_Proyectos!$B714),"")</f>
        <v/>
      </c>
      <c r="F2143" s="5" t="str">
        <f>IFERROR(IF(Portafolio_Proyectos!$AR714="","",Portafolio_Proyectos!$D714),"")</f>
        <v/>
      </c>
      <c r="G2143" s="5" t="str">
        <f>IFERROR(IF(Portafolio_Proyectos!$AR714="","",Portafolio_Proyectos!$A714),"")</f>
        <v/>
      </c>
      <c r="H2143" s="5" t="str">
        <f>IFERROR(IF(Portafolio_Proyectos!$AR714="","",Portafolio_Proyectos!$E714),"")</f>
        <v/>
      </c>
    </row>
    <row r="2144" spans="1:8" x14ac:dyDescent="0.35">
      <c r="A2144" s="5" t="str">
        <f>IFERROR(IF(Portafolio_Proyectos!$AP715="","","CAP-"&amp;ROW()-1),"")</f>
        <v/>
      </c>
      <c r="B2144" s="5" t="str">
        <f>IFERROR(IF(Portafolio_Proyectos!$AP715="","",Portafolio_Proyectos!$AP715),"")</f>
        <v/>
      </c>
      <c r="C2144" s="5" t="str">
        <f>IFERROR(IF(Portafolio_Proyectos!$AP715="","","Emergente"),"")</f>
        <v/>
      </c>
      <c r="D2144" s="5" t="str">
        <f>IFERROR(IF(Portafolio_Proyectos!$AP715="","",Portafolio_Proyectos!$C715),"")</f>
        <v/>
      </c>
      <c r="E2144" s="5" t="str">
        <f>IFERROR(IF(Portafolio_Proyectos!$AP715="","",Portafolio_Proyectos!$B715),"")</f>
        <v/>
      </c>
      <c r="F2144" s="5" t="str">
        <f>IFERROR(IF(Portafolio_Proyectos!$AP715="","",Portafolio_Proyectos!$D715),"")</f>
        <v/>
      </c>
      <c r="G2144" s="5" t="str">
        <f>IFERROR(IF(Portafolio_Proyectos!$AP715="","",Portafolio_Proyectos!$A715),"")</f>
        <v/>
      </c>
      <c r="H2144" s="5" t="str">
        <f>IFERROR(IF(Portafolio_Proyectos!$AP715="","",Portafolio_Proyectos!$E715),"")</f>
        <v/>
      </c>
    </row>
    <row r="2145" spans="1:8" x14ac:dyDescent="0.35">
      <c r="A2145" s="5" t="str">
        <f>IFERROR(IF(Portafolio_Proyectos!$AQ715="","","CAP-"&amp;ROW()-1),"")</f>
        <v/>
      </c>
      <c r="B2145" s="5" t="str">
        <f>IFERROR(IF(Portafolio_Proyectos!$AQ715="","",Portafolio_Proyectos!$AQ715),"")</f>
        <v/>
      </c>
      <c r="C2145" s="5" t="str">
        <f>IFERROR(IF(Portafolio_Proyectos!$AQ715="","","Consolidada"),"")</f>
        <v/>
      </c>
      <c r="D2145" s="5" t="str">
        <f>IFERROR(IF(Portafolio_Proyectos!$AQ715="","",Portafolio_Proyectos!$C715),"")</f>
        <v/>
      </c>
      <c r="E2145" s="5" t="str">
        <f>IFERROR(IF(Portafolio_Proyectos!$AQ715="","",Portafolio_Proyectos!$B715),"")</f>
        <v/>
      </c>
      <c r="F2145" s="5" t="str">
        <f>IFERROR(IF(Portafolio_Proyectos!$AQ715="","",Portafolio_Proyectos!$D715),"")</f>
        <v/>
      </c>
      <c r="G2145" s="5" t="str">
        <f>IFERROR(IF(Portafolio_Proyectos!$AQ715="","",Portafolio_Proyectos!$A715),"")</f>
        <v/>
      </c>
      <c r="H2145" s="5" t="str">
        <f>IFERROR(IF(Portafolio_Proyectos!$AQ715="","",Portafolio_Proyectos!$E715),"")</f>
        <v/>
      </c>
    </row>
    <row r="2146" spans="1:8" x14ac:dyDescent="0.35">
      <c r="A2146" s="5" t="str">
        <f>IFERROR(IF(Portafolio_Proyectos!$AR715="","","CAP-"&amp;ROW()-1),"")</f>
        <v/>
      </c>
      <c r="B2146" s="5" t="str">
        <f>IFERROR(IF(Portafolio_Proyectos!$AR715="","",Portafolio_Proyectos!$AR715),"")</f>
        <v/>
      </c>
      <c r="C2146" s="5" t="str">
        <f>IFERROR(IF(Portafolio_Proyectos!$AR715="","","Distintiva"),"")</f>
        <v/>
      </c>
      <c r="D2146" s="5" t="str">
        <f>IFERROR(IF(Portafolio_Proyectos!$AR715="","",Portafolio_Proyectos!$C715),"")</f>
        <v/>
      </c>
      <c r="E2146" s="5" t="str">
        <f>IFERROR(IF(Portafolio_Proyectos!$AR715="","",Portafolio_Proyectos!$B715),"")</f>
        <v/>
      </c>
      <c r="F2146" s="5" t="str">
        <f>IFERROR(IF(Portafolio_Proyectos!$AR715="","",Portafolio_Proyectos!$D715),"")</f>
        <v/>
      </c>
      <c r="G2146" s="5" t="str">
        <f>IFERROR(IF(Portafolio_Proyectos!$AR715="","",Portafolio_Proyectos!$A715),"")</f>
        <v/>
      </c>
      <c r="H2146" s="5" t="str">
        <f>IFERROR(IF(Portafolio_Proyectos!$AR715="","",Portafolio_Proyectos!$E715),"")</f>
        <v/>
      </c>
    </row>
    <row r="2147" spans="1:8" x14ac:dyDescent="0.35">
      <c r="A2147" s="5" t="str">
        <f>IFERROR(IF(Portafolio_Proyectos!$AP716="","","CAP-"&amp;ROW()-1),"")</f>
        <v/>
      </c>
      <c r="B2147" s="5" t="str">
        <f>IFERROR(IF(Portafolio_Proyectos!$AP716="","",Portafolio_Proyectos!$AP716),"")</f>
        <v/>
      </c>
      <c r="C2147" s="5" t="str">
        <f>IFERROR(IF(Portafolio_Proyectos!$AP716="","","Emergente"),"")</f>
        <v/>
      </c>
      <c r="D2147" s="5" t="str">
        <f>IFERROR(IF(Portafolio_Proyectos!$AP716="","",Portafolio_Proyectos!$C716),"")</f>
        <v/>
      </c>
      <c r="E2147" s="5" t="str">
        <f>IFERROR(IF(Portafolio_Proyectos!$AP716="","",Portafolio_Proyectos!$B716),"")</f>
        <v/>
      </c>
      <c r="F2147" s="5" t="str">
        <f>IFERROR(IF(Portafolio_Proyectos!$AP716="","",Portafolio_Proyectos!$D716),"")</f>
        <v/>
      </c>
      <c r="G2147" s="5" t="str">
        <f>IFERROR(IF(Portafolio_Proyectos!$AP716="","",Portafolio_Proyectos!$A716),"")</f>
        <v/>
      </c>
      <c r="H2147" s="5" t="str">
        <f>IFERROR(IF(Portafolio_Proyectos!$AP716="","",Portafolio_Proyectos!$E716),"")</f>
        <v/>
      </c>
    </row>
    <row r="2148" spans="1:8" x14ac:dyDescent="0.35">
      <c r="A2148" s="5" t="str">
        <f>IFERROR(IF(Portafolio_Proyectos!$AQ716="","","CAP-"&amp;ROW()-1),"")</f>
        <v/>
      </c>
      <c r="B2148" s="5" t="str">
        <f>IFERROR(IF(Portafolio_Proyectos!$AQ716="","",Portafolio_Proyectos!$AQ716),"")</f>
        <v/>
      </c>
      <c r="C2148" s="5" t="str">
        <f>IFERROR(IF(Portafolio_Proyectos!$AQ716="","","Consolidada"),"")</f>
        <v/>
      </c>
      <c r="D2148" s="5" t="str">
        <f>IFERROR(IF(Portafolio_Proyectos!$AQ716="","",Portafolio_Proyectos!$C716),"")</f>
        <v/>
      </c>
      <c r="E2148" s="5" t="str">
        <f>IFERROR(IF(Portafolio_Proyectos!$AQ716="","",Portafolio_Proyectos!$B716),"")</f>
        <v/>
      </c>
      <c r="F2148" s="5" t="str">
        <f>IFERROR(IF(Portafolio_Proyectos!$AQ716="","",Portafolio_Proyectos!$D716),"")</f>
        <v/>
      </c>
      <c r="G2148" s="5" t="str">
        <f>IFERROR(IF(Portafolio_Proyectos!$AQ716="","",Portafolio_Proyectos!$A716),"")</f>
        <v/>
      </c>
      <c r="H2148" s="5" t="str">
        <f>IFERROR(IF(Portafolio_Proyectos!$AQ716="","",Portafolio_Proyectos!$E716),"")</f>
        <v/>
      </c>
    </row>
    <row r="2149" spans="1:8" x14ac:dyDescent="0.35">
      <c r="A2149" s="5" t="str">
        <f>IFERROR(IF(Portafolio_Proyectos!$AR716="","","CAP-"&amp;ROW()-1),"")</f>
        <v/>
      </c>
      <c r="B2149" s="5" t="str">
        <f>IFERROR(IF(Portafolio_Proyectos!$AR716="","",Portafolio_Proyectos!$AR716),"")</f>
        <v/>
      </c>
      <c r="C2149" s="5" t="str">
        <f>IFERROR(IF(Portafolio_Proyectos!$AR716="","","Distintiva"),"")</f>
        <v/>
      </c>
      <c r="D2149" s="5" t="str">
        <f>IFERROR(IF(Portafolio_Proyectos!$AR716="","",Portafolio_Proyectos!$C716),"")</f>
        <v/>
      </c>
      <c r="E2149" s="5" t="str">
        <f>IFERROR(IF(Portafolio_Proyectos!$AR716="","",Portafolio_Proyectos!$B716),"")</f>
        <v/>
      </c>
      <c r="F2149" s="5" t="str">
        <f>IFERROR(IF(Portafolio_Proyectos!$AR716="","",Portafolio_Proyectos!$D716),"")</f>
        <v/>
      </c>
      <c r="G2149" s="5" t="str">
        <f>IFERROR(IF(Portafolio_Proyectos!$AR716="","",Portafolio_Proyectos!$A716),"")</f>
        <v/>
      </c>
      <c r="H2149" s="5" t="str">
        <f>IFERROR(IF(Portafolio_Proyectos!$AR716="","",Portafolio_Proyectos!$E716),"")</f>
        <v/>
      </c>
    </row>
    <row r="2150" spans="1:8" x14ac:dyDescent="0.35">
      <c r="A2150" s="5" t="str">
        <f>IFERROR(IF(Portafolio_Proyectos!$AP717="","","CAP-"&amp;ROW()-1),"")</f>
        <v/>
      </c>
      <c r="B2150" s="5" t="str">
        <f>IFERROR(IF(Portafolio_Proyectos!$AP717="","",Portafolio_Proyectos!$AP717),"")</f>
        <v/>
      </c>
      <c r="C2150" s="5" t="str">
        <f>IFERROR(IF(Portafolio_Proyectos!$AP717="","","Emergente"),"")</f>
        <v/>
      </c>
      <c r="D2150" s="5" t="str">
        <f>IFERROR(IF(Portafolio_Proyectos!$AP717="","",Portafolio_Proyectos!$C717),"")</f>
        <v/>
      </c>
      <c r="E2150" s="5" t="str">
        <f>IFERROR(IF(Portafolio_Proyectos!$AP717="","",Portafolio_Proyectos!$B717),"")</f>
        <v/>
      </c>
      <c r="F2150" s="5" t="str">
        <f>IFERROR(IF(Portafolio_Proyectos!$AP717="","",Portafolio_Proyectos!$D717),"")</f>
        <v/>
      </c>
      <c r="G2150" s="5" t="str">
        <f>IFERROR(IF(Portafolio_Proyectos!$AP717="","",Portafolio_Proyectos!$A717),"")</f>
        <v/>
      </c>
      <c r="H2150" s="5" t="str">
        <f>IFERROR(IF(Portafolio_Proyectos!$AP717="","",Portafolio_Proyectos!$E717),"")</f>
        <v/>
      </c>
    </row>
    <row r="2151" spans="1:8" x14ac:dyDescent="0.35">
      <c r="A2151" s="5" t="str">
        <f>IFERROR(IF(Portafolio_Proyectos!$AQ717="","","CAP-"&amp;ROW()-1),"")</f>
        <v/>
      </c>
      <c r="B2151" s="5" t="str">
        <f>IFERROR(IF(Portafolio_Proyectos!$AQ717="","",Portafolio_Proyectos!$AQ717),"")</f>
        <v/>
      </c>
      <c r="C2151" s="5" t="str">
        <f>IFERROR(IF(Portafolio_Proyectos!$AQ717="","","Consolidada"),"")</f>
        <v/>
      </c>
      <c r="D2151" s="5" t="str">
        <f>IFERROR(IF(Portafolio_Proyectos!$AQ717="","",Portafolio_Proyectos!$C717),"")</f>
        <v/>
      </c>
      <c r="E2151" s="5" t="str">
        <f>IFERROR(IF(Portafolio_Proyectos!$AQ717="","",Portafolio_Proyectos!$B717),"")</f>
        <v/>
      </c>
      <c r="F2151" s="5" t="str">
        <f>IFERROR(IF(Portafolio_Proyectos!$AQ717="","",Portafolio_Proyectos!$D717),"")</f>
        <v/>
      </c>
      <c r="G2151" s="5" t="str">
        <f>IFERROR(IF(Portafolio_Proyectos!$AQ717="","",Portafolio_Proyectos!$A717),"")</f>
        <v/>
      </c>
      <c r="H2151" s="5" t="str">
        <f>IFERROR(IF(Portafolio_Proyectos!$AQ717="","",Portafolio_Proyectos!$E717),"")</f>
        <v/>
      </c>
    </row>
    <row r="2152" spans="1:8" x14ac:dyDescent="0.35">
      <c r="A2152" s="5" t="str">
        <f>IFERROR(IF(Portafolio_Proyectos!$AR717="","","CAP-"&amp;ROW()-1),"")</f>
        <v/>
      </c>
      <c r="B2152" s="5" t="str">
        <f>IFERROR(IF(Portafolio_Proyectos!$AR717="","",Portafolio_Proyectos!$AR717),"")</f>
        <v/>
      </c>
      <c r="C2152" s="5" t="str">
        <f>IFERROR(IF(Portafolio_Proyectos!$AR717="","","Distintiva"),"")</f>
        <v/>
      </c>
      <c r="D2152" s="5" t="str">
        <f>IFERROR(IF(Portafolio_Proyectos!$AR717="","",Portafolio_Proyectos!$C717),"")</f>
        <v/>
      </c>
      <c r="E2152" s="5" t="str">
        <f>IFERROR(IF(Portafolio_Proyectos!$AR717="","",Portafolio_Proyectos!$B717),"")</f>
        <v/>
      </c>
      <c r="F2152" s="5" t="str">
        <f>IFERROR(IF(Portafolio_Proyectos!$AR717="","",Portafolio_Proyectos!$D717),"")</f>
        <v/>
      </c>
      <c r="G2152" s="5" t="str">
        <f>IFERROR(IF(Portafolio_Proyectos!$AR717="","",Portafolio_Proyectos!$A717),"")</f>
        <v/>
      </c>
      <c r="H2152" s="5" t="str">
        <f>IFERROR(IF(Portafolio_Proyectos!$AR717="","",Portafolio_Proyectos!$E717),"")</f>
        <v/>
      </c>
    </row>
    <row r="2153" spans="1:8" x14ac:dyDescent="0.35">
      <c r="A2153" s="5" t="str">
        <f>IFERROR(IF(Portafolio_Proyectos!$AP718="","","CAP-"&amp;ROW()-1),"")</f>
        <v/>
      </c>
      <c r="B2153" s="5" t="str">
        <f>IFERROR(IF(Portafolio_Proyectos!$AP718="","",Portafolio_Proyectos!$AP718),"")</f>
        <v/>
      </c>
      <c r="C2153" s="5" t="str">
        <f>IFERROR(IF(Portafolio_Proyectos!$AP718="","","Emergente"),"")</f>
        <v/>
      </c>
      <c r="D2153" s="5" t="str">
        <f>IFERROR(IF(Portafolio_Proyectos!$AP718="","",Portafolio_Proyectos!$C718),"")</f>
        <v/>
      </c>
      <c r="E2153" s="5" t="str">
        <f>IFERROR(IF(Portafolio_Proyectos!$AP718="","",Portafolio_Proyectos!$B718),"")</f>
        <v/>
      </c>
      <c r="F2153" s="5" t="str">
        <f>IFERROR(IF(Portafolio_Proyectos!$AP718="","",Portafolio_Proyectos!$D718),"")</f>
        <v/>
      </c>
      <c r="G2153" s="5" t="str">
        <f>IFERROR(IF(Portafolio_Proyectos!$AP718="","",Portafolio_Proyectos!$A718),"")</f>
        <v/>
      </c>
      <c r="H2153" s="5" t="str">
        <f>IFERROR(IF(Portafolio_Proyectos!$AP718="","",Portafolio_Proyectos!$E718),"")</f>
        <v/>
      </c>
    </row>
    <row r="2154" spans="1:8" x14ac:dyDescent="0.35">
      <c r="A2154" s="5" t="str">
        <f>IFERROR(IF(Portafolio_Proyectos!$AQ718="","","CAP-"&amp;ROW()-1),"")</f>
        <v/>
      </c>
      <c r="B2154" s="5" t="str">
        <f>IFERROR(IF(Portafolio_Proyectos!$AQ718="","",Portafolio_Proyectos!$AQ718),"")</f>
        <v/>
      </c>
      <c r="C2154" s="5" t="str">
        <f>IFERROR(IF(Portafolio_Proyectos!$AQ718="","","Consolidada"),"")</f>
        <v/>
      </c>
      <c r="D2154" s="5" t="str">
        <f>IFERROR(IF(Portafolio_Proyectos!$AQ718="","",Portafolio_Proyectos!$C718),"")</f>
        <v/>
      </c>
      <c r="E2154" s="5" t="str">
        <f>IFERROR(IF(Portafolio_Proyectos!$AQ718="","",Portafolio_Proyectos!$B718),"")</f>
        <v/>
      </c>
      <c r="F2154" s="5" t="str">
        <f>IFERROR(IF(Portafolio_Proyectos!$AQ718="","",Portafolio_Proyectos!$D718),"")</f>
        <v/>
      </c>
      <c r="G2154" s="5" t="str">
        <f>IFERROR(IF(Portafolio_Proyectos!$AQ718="","",Portafolio_Proyectos!$A718),"")</f>
        <v/>
      </c>
      <c r="H2154" s="5" t="str">
        <f>IFERROR(IF(Portafolio_Proyectos!$AQ718="","",Portafolio_Proyectos!$E718),"")</f>
        <v/>
      </c>
    </row>
    <row r="2155" spans="1:8" x14ac:dyDescent="0.35">
      <c r="A2155" s="5" t="str">
        <f>IFERROR(IF(Portafolio_Proyectos!$AR718="","","CAP-"&amp;ROW()-1),"")</f>
        <v/>
      </c>
      <c r="B2155" s="5" t="str">
        <f>IFERROR(IF(Portafolio_Proyectos!$AR718="","",Portafolio_Proyectos!$AR718),"")</f>
        <v/>
      </c>
      <c r="C2155" s="5" t="str">
        <f>IFERROR(IF(Portafolio_Proyectos!$AR718="","","Distintiva"),"")</f>
        <v/>
      </c>
      <c r="D2155" s="5" t="str">
        <f>IFERROR(IF(Portafolio_Proyectos!$AR718="","",Portafolio_Proyectos!$C718),"")</f>
        <v/>
      </c>
      <c r="E2155" s="5" t="str">
        <f>IFERROR(IF(Portafolio_Proyectos!$AR718="","",Portafolio_Proyectos!$B718),"")</f>
        <v/>
      </c>
      <c r="F2155" s="5" t="str">
        <f>IFERROR(IF(Portafolio_Proyectos!$AR718="","",Portafolio_Proyectos!$D718),"")</f>
        <v/>
      </c>
      <c r="G2155" s="5" t="str">
        <f>IFERROR(IF(Portafolio_Proyectos!$AR718="","",Portafolio_Proyectos!$A718),"")</f>
        <v/>
      </c>
      <c r="H2155" s="5" t="str">
        <f>IFERROR(IF(Portafolio_Proyectos!$AR718="","",Portafolio_Proyectos!$E718),"")</f>
        <v/>
      </c>
    </row>
    <row r="2156" spans="1:8" x14ac:dyDescent="0.35">
      <c r="A2156" s="5" t="str">
        <f>IFERROR(IF(Portafolio_Proyectos!$AP719="","","CAP-"&amp;ROW()-1),"")</f>
        <v/>
      </c>
      <c r="B2156" s="5" t="str">
        <f>IFERROR(IF(Portafolio_Proyectos!$AP719="","",Portafolio_Proyectos!$AP719),"")</f>
        <v/>
      </c>
      <c r="C2156" s="5" t="str">
        <f>IFERROR(IF(Portafolio_Proyectos!$AP719="","","Emergente"),"")</f>
        <v/>
      </c>
      <c r="D2156" s="5" t="str">
        <f>IFERROR(IF(Portafolio_Proyectos!$AP719="","",Portafolio_Proyectos!$C719),"")</f>
        <v/>
      </c>
      <c r="E2156" s="5" t="str">
        <f>IFERROR(IF(Portafolio_Proyectos!$AP719="","",Portafolio_Proyectos!$B719),"")</f>
        <v/>
      </c>
      <c r="F2156" s="5" t="str">
        <f>IFERROR(IF(Portafolio_Proyectos!$AP719="","",Portafolio_Proyectos!$D719),"")</f>
        <v/>
      </c>
      <c r="G2156" s="5" t="str">
        <f>IFERROR(IF(Portafolio_Proyectos!$AP719="","",Portafolio_Proyectos!$A719),"")</f>
        <v/>
      </c>
      <c r="H2156" s="5" t="str">
        <f>IFERROR(IF(Portafolio_Proyectos!$AP719="","",Portafolio_Proyectos!$E719),"")</f>
        <v/>
      </c>
    </row>
    <row r="2157" spans="1:8" x14ac:dyDescent="0.35">
      <c r="A2157" s="5" t="str">
        <f>IFERROR(IF(Portafolio_Proyectos!$AQ719="","","CAP-"&amp;ROW()-1),"")</f>
        <v/>
      </c>
      <c r="B2157" s="5" t="str">
        <f>IFERROR(IF(Portafolio_Proyectos!$AQ719="","",Portafolio_Proyectos!$AQ719),"")</f>
        <v/>
      </c>
      <c r="C2157" s="5" t="str">
        <f>IFERROR(IF(Portafolio_Proyectos!$AQ719="","","Consolidada"),"")</f>
        <v/>
      </c>
      <c r="D2157" s="5" t="str">
        <f>IFERROR(IF(Portafolio_Proyectos!$AQ719="","",Portafolio_Proyectos!$C719),"")</f>
        <v/>
      </c>
      <c r="E2157" s="5" t="str">
        <f>IFERROR(IF(Portafolio_Proyectos!$AQ719="","",Portafolio_Proyectos!$B719),"")</f>
        <v/>
      </c>
      <c r="F2157" s="5" t="str">
        <f>IFERROR(IF(Portafolio_Proyectos!$AQ719="","",Portafolio_Proyectos!$D719),"")</f>
        <v/>
      </c>
      <c r="G2157" s="5" t="str">
        <f>IFERROR(IF(Portafolio_Proyectos!$AQ719="","",Portafolio_Proyectos!$A719),"")</f>
        <v/>
      </c>
      <c r="H2157" s="5" t="str">
        <f>IFERROR(IF(Portafolio_Proyectos!$AQ719="","",Portafolio_Proyectos!$E719),"")</f>
        <v/>
      </c>
    </row>
    <row r="2158" spans="1:8" x14ac:dyDescent="0.35">
      <c r="A2158" s="5" t="str">
        <f>IFERROR(IF(Portafolio_Proyectos!$AR719="","","CAP-"&amp;ROW()-1),"")</f>
        <v/>
      </c>
      <c r="B2158" s="5" t="str">
        <f>IFERROR(IF(Portafolio_Proyectos!$AR719="","",Portafolio_Proyectos!$AR719),"")</f>
        <v/>
      </c>
      <c r="C2158" s="5" t="str">
        <f>IFERROR(IF(Portafolio_Proyectos!$AR719="","","Distintiva"),"")</f>
        <v/>
      </c>
      <c r="D2158" s="5" t="str">
        <f>IFERROR(IF(Portafolio_Proyectos!$AR719="","",Portafolio_Proyectos!$C719),"")</f>
        <v/>
      </c>
      <c r="E2158" s="5" t="str">
        <f>IFERROR(IF(Portafolio_Proyectos!$AR719="","",Portafolio_Proyectos!$B719),"")</f>
        <v/>
      </c>
      <c r="F2158" s="5" t="str">
        <f>IFERROR(IF(Portafolio_Proyectos!$AR719="","",Portafolio_Proyectos!$D719),"")</f>
        <v/>
      </c>
      <c r="G2158" s="5" t="str">
        <f>IFERROR(IF(Portafolio_Proyectos!$AR719="","",Portafolio_Proyectos!$A719),"")</f>
        <v/>
      </c>
      <c r="H2158" s="5" t="str">
        <f>IFERROR(IF(Portafolio_Proyectos!$AR719="","",Portafolio_Proyectos!$E719),"")</f>
        <v/>
      </c>
    </row>
    <row r="2159" spans="1:8" x14ac:dyDescent="0.35">
      <c r="A2159" s="5" t="str">
        <f>IFERROR(IF(Portafolio_Proyectos!$AP720="","","CAP-"&amp;ROW()-1),"")</f>
        <v/>
      </c>
      <c r="B2159" s="5" t="str">
        <f>IFERROR(IF(Portafolio_Proyectos!$AP720="","",Portafolio_Proyectos!$AP720),"")</f>
        <v/>
      </c>
      <c r="C2159" s="5" t="str">
        <f>IFERROR(IF(Portafolio_Proyectos!$AP720="","","Emergente"),"")</f>
        <v/>
      </c>
      <c r="D2159" s="5" t="str">
        <f>IFERROR(IF(Portafolio_Proyectos!$AP720="","",Portafolio_Proyectos!$C720),"")</f>
        <v/>
      </c>
      <c r="E2159" s="5" t="str">
        <f>IFERROR(IF(Portafolio_Proyectos!$AP720="","",Portafolio_Proyectos!$B720),"")</f>
        <v/>
      </c>
      <c r="F2159" s="5" t="str">
        <f>IFERROR(IF(Portafolio_Proyectos!$AP720="","",Portafolio_Proyectos!$D720),"")</f>
        <v/>
      </c>
      <c r="G2159" s="5" t="str">
        <f>IFERROR(IF(Portafolio_Proyectos!$AP720="","",Portafolio_Proyectos!$A720),"")</f>
        <v/>
      </c>
      <c r="H2159" s="5" t="str">
        <f>IFERROR(IF(Portafolio_Proyectos!$AP720="","",Portafolio_Proyectos!$E720),"")</f>
        <v/>
      </c>
    </row>
    <row r="2160" spans="1:8" x14ac:dyDescent="0.35">
      <c r="A2160" s="5" t="str">
        <f>IFERROR(IF(Portafolio_Proyectos!$AQ720="","","CAP-"&amp;ROW()-1),"")</f>
        <v/>
      </c>
      <c r="B2160" s="5" t="str">
        <f>IFERROR(IF(Portafolio_Proyectos!$AQ720="","",Portafolio_Proyectos!$AQ720),"")</f>
        <v/>
      </c>
      <c r="C2160" s="5" t="str">
        <f>IFERROR(IF(Portafolio_Proyectos!$AQ720="","","Consolidada"),"")</f>
        <v/>
      </c>
      <c r="D2160" s="5" t="str">
        <f>IFERROR(IF(Portafolio_Proyectos!$AQ720="","",Portafolio_Proyectos!$C720),"")</f>
        <v/>
      </c>
      <c r="E2160" s="5" t="str">
        <f>IFERROR(IF(Portafolio_Proyectos!$AQ720="","",Portafolio_Proyectos!$B720),"")</f>
        <v/>
      </c>
      <c r="F2160" s="5" t="str">
        <f>IFERROR(IF(Portafolio_Proyectos!$AQ720="","",Portafolio_Proyectos!$D720),"")</f>
        <v/>
      </c>
      <c r="G2160" s="5" t="str">
        <f>IFERROR(IF(Portafolio_Proyectos!$AQ720="","",Portafolio_Proyectos!$A720),"")</f>
        <v/>
      </c>
      <c r="H2160" s="5" t="str">
        <f>IFERROR(IF(Portafolio_Proyectos!$AQ720="","",Portafolio_Proyectos!$E720),"")</f>
        <v/>
      </c>
    </row>
    <row r="2161" spans="1:8" x14ac:dyDescent="0.35">
      <c r="A2161" s="5" t="str">
        <f>IFERROR(IF(Portafolio_Proyectos!$AR720="","","CAP-"&amp;ROW()-1),"")</f>
        <v/>
      </c>
      <c r="B2161" s="5" t="str">
        <f>IFERROR(IF(Portafolio_Proyectos!$AR720="","",Portafolio_Proyectos!$AR720),"")</f>
        <v/>
      </c>
      <c r="C2161" s="5" t="str">
        <f>IFERROR(IF(Portafolio_Proyectos!$AR720="","","Distintiva"),"")</f>
        <v/>
      </c>
      <c r="D2161" s="5" t="str">
        <f>IFERROR(IF(Portafolio_Proyectos!$AR720="","",Portafolio_Proyectos!$C720),"")</f>
        <v/>
      </c>
      <c r="E2161" s="5" t="str">
        <f>IFERROR(IF(Portafolio_Proyectos!$AR720="","",Portafolio_Proyectos!$B720),"")</f>
        <v/>
      </c>
      <c r="F2161" s="5" t="str">
        <f>IFERROR(IF(Portafolio_Proyectos!$AR720="","",Portafolio_Proyectos!$D720),"")</f>
        <v/>
      </c>
      <c r="G2161" s="5" t="str">
        <f>IFERROR(IF(Portafolio_Proyectos!$AR720="","",Portafolio_Proyectos!$A720),"")</f>
        <v/>
      </c>
      <c r="H2161" s="5" t="str">
        <f>IFERROR(IF(Portafolio_Proyectos!$AR720="","",Portafolio_Proyectos!$E720),"")</f>
        <v/>
      </c>
    </row>
    <row r="2162" spans="1:8" x14ac:dyDescent="0.35">
      <c r="A2162" s="5" t="str">
        <f>IFERROR(IF(Portafolio_Proyectos!$AP721="","","CAP-"&amp;ROW()-1),"")</f>
        <v/>
      </c>
      <c r="B2162" s="5" t="str">
        <f>IFERROR(IF(Portafolio_Proyectos!$AP721="","",Portafolio_Proyectos!$AP721),"")</f>
        <v/>
      </c>
      <c r="C2162" s="5" t="str">
        <f>IFERROR(IF(Portafolio_Proyectos!$AP721="","","Emergente"),"")</f>
        <v/>
      </c>
      <c r="D2162" s="5" t="str">
        <f>IFERROR(IF(Portafolio_Proyectos!$AP721="","",Portafolio_Proyectos!$C721),"")</f>
        <v/>
      </c>
      <c r="E2162" s="5" t="str">
        <f>IFERROR(IF(Portafolio_Proyectos!$AP721="","",Portafolio_Proyectos!$B721),"")</f>
        <v/>
      </c>
      <c r="F2162" s="5" t="str">
        <f>IFERROR(IF(Portafolio_Proyectos!$AP721="","",Portafolio_Proyectos!$D721),"")</f>
        <v/>
      </c>
      <c r="G2162" s="5" t="str">
        <f>IFERROR(IF(Portafolio_Proyectos!$AP721="","",Portafolio_Proyectos!$A721),"")</f>
        <v/>
      </c>
      <c r="H2162" s="5" t="str">
        <f>IFERROR(IF(Portafolio_Proyectos!$AP721="","",Portafolio_Proyectos!$E721),"")</f>
        <v/>
      </c>
    </row>
    <row r="2163" spans="1:8" x14ac:dyDescent="0.35">
      <c r="A2163" s="5" t="str">
        <f>IFERROR(IF(Portafolio_Proyectos!$AQ721="","","CAP-"&amp;ROW()-1),"")</f>
        <v/>
      </c>
      <c r="B2163" s="5" t="str">
        <f>IFERROR(IF(Portafolio_Proyectos!$AQ721="","",Portafolio_Proyectos!$AQ721),"")</f>
        <v/>
      </c>
      <c r="C2163" s="5" t="str">
        <f>IFERROR(IF(Portafolio_Proyectos!$AQ721="","","Consolidada"),"")</f>
        <v/>
      </c>
      <c r="D2163" s="5" t="str">
        <f>IFERROR(IF(Portafolio_Proyectos!$AQ721="","",Portafolio_Proyectos!$C721),"")</f>
        <v/>
      </c>
      <c r="E2163" s="5" t="str">
        <f>IFERROR(IF(Portafolio_Proyectos!$AQ721="","",Portafolio_Proyectos!$B721),"")</f>
        <v/>
      </c>
      <c r="F2163" s="5" t="str">
        <f>IFERROR(IF(Portafolio_Proyectos!$AQ721="","",Portafolio_Proyectos!$D721),"")</f>
        <v/>
      </c>
      <c r="G2163" s="5" t="str">
        <f>IFERROR(IF(Portafolio_Proyectos!$AQ721="","",Portafolio_Proyectos!$A721),"")</f>
        <v/>
      </c>
      <c r="H2163" s="5" t="str">
        <f>IFERROR(IF(Portafolio_Proyectos!$AQ721="","",Portafolio_Proyectos!$E721),"")</f>
        <v/>
      </c>
    </row>
    <row r="2164" spans="1:8" x14ac:dyDescent="0.35">
      <c r="A2164" s="5" t="str">
        <f>IFERROR(IF(Portafolio_Proyectos!$AR721="","","CAP-"&amp;ROW()-1),"")</f>
        <v/>
      </c>
      <c r="B2164" s="5" t="str">
        <f>IFERROR(IF(Portafolio_Proyectos!$AR721="","",Portafolio_Proyectos!$AR721),"")</f>
        <v/>
      </c>
      <c r="C2164" s="5" t="str">
        <f>IFERROR(IF(Portafolio_Proyectos!$AR721="","","Distintiva"),"")</f>
        <v/>
      </c>
      <c r="D2164" s="5" t="str">
        <f>IFERROR(IF(Portafolio_Proyectos!$AR721="","",Portafolio_Proyectos!$C721),"")</f>
        <v/>
      </c>
      <c r="E2164" s="5" t="str">
        <f>IFERROR(IF(Portafolio_Proyectos!$AR721="","",Portafolio_Proyectos!$B721),"")</f>
        <v/>
      </c>
      <c r="F2164" s="5" t="str">
        <f>IFERROR(IF(Portafolio_Proyectos!$AR721="","",Portafolio_Proyectos!$D721),"")</f>
        <v/>
      </c>
      <c r="G2164" s="5" t="str">
        <f>IFERROR(IF(Portafolio_Proyectos!$AR721="","",Portafolio_Proyectos!$A721),"")</f>
        <v/>
      </c>
      <c r="H2164" s="5" t="str">
        <f>IFERROR(IF(Portafolio_Proyectos!$AR721="","",Portafolio_Proyectos!$E721),"")</f>
        <v/>
      </c>
    </row>
    <row r="2165" spans="1:8" x14ac:dyDescent="0.35">
      <c r="A2165" s="5" t="str">
        <f>IFERROR(IF(Portafolio_Proyectos!$AP722="","","CAP-"&amp;ROW()-1),"")</f>
        <v/>
      </c>
      <c r="B2165" s="5" t="str">
        <f>IFERROR(IF(Portafolio_Proyectos!$AP722="","",Portafolio_Proyectos!$AP722),"")</f>
        <v/>
      </c>
      <c r="C2165" s="5" t="str">
        <f>IFERROR(IF(Portafolio_Proyectos!$AP722="","","Emergente"),"")</f>
        <v/>
      </c>
      <c r="D2165" s="5" t="str">
        <f>IFERROR(IF(Portafolio_Proyectos!$AP722="","",Portafolio_Proyectos!$C722),"")</f>
        <v/>
      </c>
      <c r="E2165" s="5" t="str">
        <f>IFERROR(IF(Portafolio_Proyectos!$AP722="","",Portafolio_Proyectos!$B722),"")</f>
        <v/>
      </c>
      <c r="F2165" s="5" t="str">
        <f>IFERROR(IF(Portafolio_Proyectos!$AP722="","",Portafolio_Proyectos!$D722),"")</f>
        <v/>
      </c>
      <c r="G2165" s="5" t="str">
        <f>IFERROR(IF(Portafolio_Proyectos!$AP722="","",Portafolio_Proyectos!$A722),"")</f>
        <v/>
      </c>
      <c r="H2165" s="5" t="str">
        <f>IFERROR(IF(Portafolio_Proyectos!$AP722="","",Portafolio_Proyectos!$E722),"")</f>
        <v/>
      </c>
    </row>
    <row r="2166" spans="1:8" x14ac:dyDescent="0.35">
      <c r="A2166" s="5" t="str">
        <f>IFERROR(IF(Portafolio_Proyectos!$AQ722="","","CAP-"&amp;ROW()-1),"")</f>
        <v/>
      </c>
      <c r="B2166" s="5" t="str">
        <f>IFERROR(IF(Portafolio_Proyectos!$AQ722="","",Portafolio_Proyectos!$AQ722),"")</f>
        <v/>
      </c>
      <c r="C2166" s="5" t="str">
        <f>IFERROR(IF(Portafolio_Proyectos!$AQ722="","","Consolidada"),"")</f>
        <v/>
      </c>
      <c r="D2166" s="5" t="str">
        <f>IFERROR(IF(Portafolio_Proyectos!$AQ722="","",Portafolio_Proyectos!$C722),"")</f>
        <v/>
      </c>
      <c r="E2166" s="5" t="str">
        <f>IFERROR(IF(Portafolio_Proyectos!$AQ722="","",Portafolio_Proyectos!$B722),"")</f>
        <v/>
      </c>
      <c r="F2166" s="5" t="str">
        <f>IFERROR(IF(Portafolio_Proyectos!$AQ722="","",Portafolio_Proyectos!$D722),"")</f>
        <v/>
      </c>
      <c r="G2166" s="5" t="str">
        <f>IFERROR(IF(Portafolio_Proyectos!$AQ722="","",Portafolio_Proyectos!$A722),"")</f>
        <v/>
      </c>
      <c r="H2166" s="5" t="str">
        <f>IFERROR(IF(Portafolio_Proyectos!$AQ722="","",Portafolio_Proyectos!$E722),"")</f>
        <v/>
      </c>
    </row>
    <row r="2167" spans="1:8" x14ac:dyDescent="0.35">
      <c r="A2167" s="5" t="str">
        <f>IFERROR(IF(Portafolio_Proyectos!$AR722="","","CAP-"&amp;ROW()-1),"")</f>
        <v/>
      </c>
      <c r="B2167" s="5" t="str">
        <f>IFERROR(IF(Portafolio_Proyectos!$AR722="","",Portafolio_Proyectos!$AR722),"")</f>
        <v/>
      </c>
      <c r="C2167" s="5" t="str">
        <f>IFERROR(IF(Portafolio_Proyectos!$AR722="","","Distintiva"),"")</f>
        <v/>
      </c>
      <c r="D2167" s="5" t="str">
        <f>IFERROR(IF(Portafolio_Proyectos!$AR722="","",Portafolio_Proyectos!$C722),"")</f>
        <v/>
      </c>
      <c r="E2167" s="5" t="str">
        <f>IFERROR(IF(Portafolio_Proyectos!$AR722="","",Portafolio_Proyectos!$B722),"")</f>
        <v/>
      </c>
      <c r="F2167" s="5" t="str">
        <f>IFERROR(IF(Portafolio_Proyectos!$AR722="","",Portafolio_Proyectos!$D722),"")</f>
        <v/>
      </c>
      <c r="G2167" s="5" t="str">
        <f>IFERROR(IF(Portafolio_Proyectos!$AR722="","",Portafolio_Proyectos!$A722),"")</f>
        <v/>
      </c>
      <c r="H2167" s="5" t="str">
        <f>IFERROR(IF(Portafolio_Proyectos!$AR722="","",Portafolio_Proyectos!$E722),"")</f>
        <v/>
      </c>
    </row>
    <row r="2168" spans="1:8" x14ac:dyDescent="0.35">
      <c r="A2168" s="5" t="str">
        <f>IFERROR(IF(Portafolio_Proyectos!$AP723="","","CAP-"&amp;ROW()-1),"")</f>
        <v/>
      </c>
      <c r="B2168" s="5" t="str">
        <f>IFERROR(IF(Portafolio_Proyectos!$AP723="","",Portafolio_Proyectos!$AP723),"")</f>
        <v/>
      </c>
      <c r="C2168" s="5" t="str">
        <f>IFERROR(IF(Portafolio_Proyectos!$AP723="","","Emergente"),"")</f>
        <v/>
      </c>
      <c r="D2168" s="5" t="str">
        <f>IFERROR(IF(Portafolio_Proyectos!$AP723="","",Portafolio_Proyectos!$C723),"")</f>
        <v/>
      </c>
      <c r="E2168" s="5" t="str">
        <f>IFERROR(IF(Portafolio_Proyectos!$AP723="","",Portafolio_Proyectos!$B723),"")</f>
        <v/>
      </c>
      <c r="F2168" s="5" t="str">
        <f>IFERROR(IF(Portafolio_Proyectos!$AP723="","",Portafolio_Proyectos!$D723),"")</f>
        <v/>
      </c>
      <c r="G2168" s="5" t="str">
        <f>IFERROR(IF(Portafolio_Proyectos!$AP723="","",Portafolio_Proyectos!$A723),"")</f>
        <v/>
      </c>
      <c r="H2168" s="5" t="str">
        <f>IFERROR(IF(Portafolio_Proyectos!$AP723="","",Portafolio_Proyectos!$E723),"")</f>
        <v/>
      </c>
    </row>
    <row r="2169" spans="1:8" x14ac:dyDescent="0.35">
      <c r="A2169" s="5" t="str">
        <f>IFERROR(IF(Portafolio_Proyectos!$AQ723="","","CAP-"&amp;ROW()-1),"")</f>
        <v/>
      </c>
      <c r="B2169" s="5" t="str">
        <f>IFERROR(IF(Portafolio_Proyectos!$AQ723="","",Portafolio_Proyectos!$AQ723),"")</f>
        <v/>
      </c>
      <c r="C2169" s="5" t="str">
        <f>IFERROR(IF(Portafolio_Proyectos!$AQ723="","","Consolidada"),"")</f>
        <v/>
      </c>
      <c r="D2169" s="5" t="str">
        <f>IFERROR(IF(Portafolio_Proyectos!$AQ723="","",Portafolio_Proyectos!$C723),"")</f>
        <v/>
      </c>
      <c r="E2169" s="5" t="str">
        <f>IFERROR(IF(Portafolio_Proyectos!$AQ723="","",Portafolio_Proyectos!$B723),"")</f>
        <v/>
      </c>
      <c r="F2169" s="5" t="str">
        <f>IFERROR(IF(Portafolio_Proyectos!$AQ723="","",Portafolio_Proyectos!$D723),"")</f>
        <v/>
      </c>
      <c r="G2169" s="5" t="str">
        <f>IFERROR(IF(Portafolio_Proyectos!$AQ723="","",Portafolio_Proyectos!$A723),"")</f>
        <v/>
      </c>
      <c r="H2169" s="5" t="str">
        <f>IFERROR(IF(Portafolio_Proyectos!$AQ723="","",Portafolio_Proyectos!$E723),"")</f>
        <v/>
      </c>
    </row>
    <row r="2170" spans="1:8" x14ac:dyDescent="0.35">
      <c r="A2170" s="5" t="str">
        <f>IFERROR(IF(Portafolio_Proyectos!$AR723="","","CAP-"&amp;ROW()-1),"")</f>
        <v/>
      </c>
      <c r="B2170" s="5" t="str">
        <f>IFERROR(IF(Portafolio_Proyectos!$AR723="","",Portafolio_Proyectos!$AR723),"")</f>
        <v/>
      </c>
      <c r="C2170" s="5" t="str">
        <f>IFERROR(IF(Portafolio_Proyectos!$AR723="","","Distintiva"),"")</f>
        <v/>
      </c>
      <c r="D2170" s="5" t="str">
        <f>IFERROR(IF(Portafolio_Proyectos!$AR723="","",Portafolio_Proyectos!$C723),"")</f>
        <v/>
      </c>
      <c r="E2170" s="5" t="str">
        <f>IFERROR(IF(Portafolio_Proyectos!$AR723="","",Portafolio_Proyectos!$B723),"")</f>
        <v/>
      </c>
      <c r="F2170" s="5" t="str">
        <f>IFERROR(IF(Portafolio_Proyectos!$AR723="","",Portafolio_Proyectos!$D723),"")</f>
        <v/>
      </c>
      <c r="G2170" s="5" t="str">
        <f>IFERROR(IF(Portafolio_Proyectos!$AR723="","",Portafolio_Proyectos!$A723),"")</f>
        <v/>
      </c>
      <c r="H2170" s="5" t="str">
        <f>IFERROR(IF(Portafolio_Proyectos!$AR723="","",Portafolio_Proyectos!$E723),"")</f>
        <v/>
      </c>
    </row>
    <row r="2171" spans="1:8" x14ac:dyDescent="0.35">
      <c r="A2171" s="5" t="str">
        <f>IFERROR(IF(Portafolio_Proyectos!$AP724="","","CAP-"&amp;ROW()-1),"")</f>
        <v/>
      </c>
      <c r="B2171" s="5" t="str">
        <f>IFERROR(IF(Portafolio_Proyectos!$AP724="","",Portafolio_Proyectos!$AP724),"")</f>
        <v/>
      </c>
      <c r="C2171" s="5" t="str">
        <f>IFERROR(IF(Portafolio_Proyectos!$AP724="","","Emergente"),"")</f>
        <v/>
      </c>
      <c r="D2171" s="5" t="str">
        <f>IFERROR(IF(Portafolio_Proyectos!$AP724="","",Portafolio_Proyectos!$C724),"")</f>
        <v/>
      </c>
      <c r="E2171" s="5" t="str">
        <f>IFERROR(IF(Portafolio_Proyectos!$AP724="","",Portafolio_Proyectos!$B724),"")</f>
        <v/>
      </c>
      <c r="F2171" s="5" t="str">
        <f>IFERROR(IF(Portafolio_Proyectos!$AP724="","",Portafolio_Proyectos!$D724),"")</f>
        <v/>
      </c>
      <c r="G2171" s="5" t="str">
        <f>IFERROR(IF(Portafolio_Proyectos!$AP724="","",Portafolio_Proyectos!$A724),"")</f>
        <v/>
      </c>
      <c r="H2171" s="5" t="str">
        <f>IFERROR(IF(Portafolio_Proyectos!$AP724="","",Portafolio_Proyectos!$E724),"")</f>
        <v/>
      </c>
    </row>
    <row r="2172" spans="1:8" x14ac:dyDescent="0.35">
      <c r="A2172" s="5" t="str">
        <f>IFERROR(IF(Portafolio_Proyectos!$AQ724="","","CAP-"&amp;ROW()-1),"")</f>
        <v/>
      </c>
      <c r="B2172" s="5" t="str">
        <f>IFERROR(IF(Portafolio_Proyectos!$AQ724="","",Portafolio_Proyectos!$AQ724),"")</f>
        <v/>
      </c>
      <c r="C2172" s="5" t="str">
        <f>IFERROR(IF(Portafolio_Proyectos!$AQ724="","","Consolidada"),"")</f>
        <v/>
      </c>
      <c r="D2172" s="5" t="str">
        <f>IFERROR(IF(Portafolio_Proyectos!$AQ724="","",Portafolio_Proyectos!$C724),"")</f>
        <v/>
      </c>
      <c r="E2172" s="5" t="str">
        <f>IFERROR(IF(Portafolio_Proyectos!$AQ724="","",Portafolio_Proyectos!$B724),"")</f>
        <v/>
      </c>
      <c r="F2172" s="5" t="str">
        <f>IFERROR(IF(Portafolio_Proyectos!$AQ724="","",Portafolio_Proyectos!$D724),"")</f>
        <v/>
      </c>
      <c r="G2172" s="5" t="str">
        <f>IFERROR(IF(Portafolio_Proyectos!$AQ724="","",Portafolio_Proyectos!$A724),"")</f>
        <v/>
      </c>
      <c r="H2172" s="5" t="str">
        <f>IFERROR(IF(Portafolio_Proyectos!$AQ724="","",Portafolio_Proyectos!$E724),"")</f>
        <v/>
      </c>
    </row>
    <row r="2173" spans="1:8" x14ac:dyDescent="0.35">
      <c r="A2173" s="5" t="str">
        <f>IFERROR(IF(Portafolio_Proyectos!$AR724="","","CAP-"&amp;ROW()-1),"")</f>
        <v/>
      </c>
      <c r="B2173" s="5" t="str">
        <f>IFERROR(IF(Portafolio_Proyectos!$AR724="","",Portafolio_Proyectos!$AR724),"")</f>
        <v/>
      </c>
      <c r="C2173" s="5" t="str">
        <f>IFERROR(IF(Portafolio_Proyectos!$AR724="","","Distintiva"),"")</f>
        <v/>
      </c>
      <c r="D2173" s="5" t="str">
        <f>IFERROR(IF(Portafolio_Proyectos!$AR724="","",Portafolio_Proyectos!$C724),"")</f>
        <v/>
      </c>
      <c r="E2173" s="5" t="str">
        <f>IFERROR(IF(Portafolio_Proyectos!$AR724="","",Portafolio_Proyectos!$B724),"")</f>
        <v/>
      </c>
      <c r="F2173" s="5" t="str">
        <f>IFERROR(IF(Portafolio_Proyectos!$AR724="","",Portafolio_Proyectos!$D724),"")</f>
        <v/>
      </c>
      <c r="G2173" s="5" t="str">
        <f>IFERROR(IF(Portafolio_Proyectos!$AR724="","",Portafolio_Proyectos!$A724),"")</f>
        <v/>
      </c>
      <c r="H2173" s="5" t="str">
        <f>IFERROR(IF(Portafolio_Proyectos!$AR724="","",Portafolio_Proyectos!$E724),"")</f>
        <v/>
      </c>
    </row>
    <row r="2174" spans="1:8" x14ac:dyDescent="0.35">
      <c r="A2174" s="5" t="str">
        <f>IFERROR(IF(Portafolio_Proyectos!$AP725="","","CAP-"&amp;ROW()-1),"")</f>
        <v/>
      </c>
      <c r="B2174" s="5" t="str">
        <f>IFERROR(IF(Portafolio_Proyectos!$AP725="","",Portafolio_Proyectos!$AP725),"")</f>
        <v/>
      </c>
      <c r="C2174" s="5" t="str">
        <f>IFERROR(IF(Portafolio_Proyectos!$AP725="","","Emergente"),"")</f>
        <v/>
      </c>
      <c r="D2174" s="5" t="str">
        <f>IFERROR(IF(Portafolio_Proyectos!$AP725="","",Portafolio_Proyectos!$C725),"")</f>
        <v/>
      </c>
      <c r="E2174" s="5" t="str">
        <f>IFERROR(IF(Portafolio_Proyectos!$AP725="","",Portafolio_Proyectos!$B725),"")</f>
        <v/>
      </c>
      <c r="F2174" s="5" t="str">
        <f>IFERROR(IF(Portafolio_Proyectos!$AP725="","",Portafolio_Proyectos!$D725),"")</f>
        <v/>
      </c>
      <c r="G2174" s="5" t="str">
        <f>IFERROR(IF(Portafolio_Proyectos!$AP725="","",Portafolio_Proyectos!$A725),"")</f>
        <v/>
      </c>
      <c r="H2174" s="5" t="str">
        <f>IFERROR(IF(Portafolio_Proyectos!$AP725="","",Portafolio_Proyectos!$E725),"")</f>
        <v/>
      </c>
    </row>
    <row r="2175" spans="1:8" x14ac:dyDescent="0.35">
      <c r="A2175" s="5" t="str">
        <f>IFERROR(IF(Portafolio_Proyectos!$AQ725="","","CAP-"&amp;ROW()-1),"")</f>
        <v/>
      </c>
      <c r="B2175" s="5" t="str">
        <f>IFERROR(IF(Portafolio_Proyectos!$AQ725="","",Portafolio_Proyectos!$AQ725),"")</f>
        <v/>
      </c>
      <c r="C2175" s="5" t="str">
        <f>IFERROR(IF(Portafolio_Proyectos!$AQ725="","","Consolidada"),"")</f>
        <v/>
      </c>
      <c r="D2175" s="5" t="str">
        <f>IFERROR(IF(Portafolio_Proyectos!$AQ725="","",Portafolio_Proyectos!$C725),"")</f>
        <v/>
      </c>
      <c r="E2175" s="5" t="str">
        <f>IFERROR(IF(Portafolio_Proyectos!$AQ725="","",Portafolio_Proyectos!$B725),"")</f>
        <v/>
      </c>
      <c r="F2175" s="5" t="str">
        <f>IFERROR(IF(Portafolio_Proyectos!$AQ725="","",Portafolio_Proyectos!$D725),"")</f>
        <v/>
      </c>
      <c r="G2175" s="5" t="str">
        <f>IFERROR(IF(Portafolio_Proyectos!$AQ725="","",Portafolio_Proyectos!$A725),"")</f>
        <v/>
      </c>
      <c r="H2175" s="5" t="str">
        <f>IFERROR(IF(Portafolio_Proyectos!$AQ725="","",Portafolio_Proyectos!$E725),"")</f>
        <v/>
      </c>
    </row>
    <row r="2176" spans="1:8" x14ac:dyDescent="0.35">
      <c r="A2176" s="5" t="str">
        <f>IFERROR(IF(Portafolio_Proyectos!$AR725="","","CAP-"&amp;ROW()-1),"")</f>
        <v/>
      </c>
      <c r="B2176" s="5" t="str">
        <f>IFERROR(IF(Portafolio_Proyectos!$AR725="","",Portafolio_Proyectos!$AR725),"")</f>
        <v/>
      </c>
      <c r="C2176" s="5" t="str">
        <f>IFERROR(IF(Portafolio_Proyectos!$AR725="","","Distintiva"),"")</f>
        <v/>
      </c>
      <c r="D2176" s="5" t="str">
        <f>IFERROR(IF(Portafolio_Proyectos!$AR725="","",Portafolio_Proyectos!$C725),"")</f>
        <v/>
      </c>
      <c r="E2176" s="5" t="str">
        <f>IFERROR(IF(Portafolio_Proyectos!$AR725="","",Portafolio_Proyectos!$B725),"")</f>
        <v/>
      </c>
      <c r="F2176" s="5" t="str">
        <f>IFERROR(IF(Portafolio_Proyectos!$AR725="","",Portafolio_Proyectos!$D725),"")</f>
        <v/>
      </c>
      <c r="G2176" s="5" t="str">
        <f>IFERROR(IF(Portafolio_Proyectos!$AR725="","",Portafolio_Proyectos!$A725),"")</f>
        <v/>
      </c>
      <c r="H2176" s="5" t="str">
        <f>IFERROR(IF(Portafolio_Proyectos!$AR725="","",Portafolio_Proyectos!$E725),"")</f>
        <v/>
      </c>
    </row>
    <row r="2177" spans="1:8" x14ac:dyDescent="0.35">
      <c r="A2177" s="5" t="str">
        <f>IFERROR(IF(Portafolio_Proyectos!$AP726="","","CAP-"&amp;ROW()-1),"")</f>
        <v/>
      </c>
      <c r="B2177" s="5" t="str">
        <f>IFERROR(IF(Portafolio_Proyectos!$AP726="","",Portafolio_Proyectos!$AP726),"")</f>
        <v/>
      </c>
      <c r="C2177" s="5" t="str">
        <f>IFERROR(IF(Portafolio_Proyectos!$AP726="","","Emergente"),"")</f>
        <v/>
      </c>
      <c r="D2177" s="5" t="str">
        <f>IFERROR(IF(Portafolio_Proyectos!$AP726="","",Portafolio_Proyectos!$C726),"")</f>
        <v/>
      </c>
      <c r="E2177" s="5" t="str">
        <f>IFERROR(IF(Portafolio_Proyectos!$AP726="","",Portafolio_Proyectos!$B726),"")</f>
        <v/>
      </c>
      <c r="F2177" s="5" t="str">
        <f>IFERROR(IF(Portafolio_Proyectos!$AP726="","",Portafolio_Proyectos!$D726),"")</f>
        <v/>
      </c>
      <c r="G2177" s="5" t="str">
        <f>IFERROR(IF(Portafolio_Proyectos!$AP726="","",Portafolio_Proyectos!$A726),"")</f>
        <v/>
      </c>
      <c r="H2177" s="5" t="str">
        <f>IFERROR(IF(Portafolio_Proyectos!$AP726="","",Portafolio_Proyectos!$E726),"")</f>
        <v/>
      </c>
    </row>
    <row r="2178" spans="1:8" x14ac:dyDescent="0.35">
      <c r="A2178" s="5" t="str">
        <f>IFERROR(IF(Portafolio_Proyectos!$AQ726="","","CAP-"&amp;ROW()-1),"")</f>
        <v/>
      </c>
      <c r="B2178" s="5" t="str">
        <f>IFERROR(IF(Portafolio_Proyectos!$AQ726="","",Portafolio_Proyectos!$AQ726),"")</f>
        <v/>
      </c>
      <c r="C2178" s="5" t="str">
        <f>IFERROR(IF(Portafolio_Proyectos!$AQ726="","","Consolidada"),"")</f>
        <v/>
      </c>
      <c r="D2178" s="5" t="str">
        <f>IFERROR(IF(Portafolio_Proyectos!$AQ726="","",Portafolio_Proyectos!$C726),"")</f>
        <v/>
      </c>
      <c r="E2178" s="5" t="str">
        <f>IFERROR(IF(Portafolio_Proyectos!$AQ726="","",Portafolio_Proyectos!$B726),"")</f>
        <v/>
      </c>
      <c r="F2178" s="5" t="str">
        <f>IFERROR(IF(Portafolio_Proyectos!$AQ726="","",Portafolio_Proyectos!$D726),"")</f>
        <v/>
      </c>
      <c r="G2178" s="5" t="str">
        <f>IFERROR(IF(Portafolio_Proyectos!$AQ726="","",Portafolio_Proyectos!$A726),"")</f>
        <v/>
      </c>
      <c r="H2178" s="5" t="str">
        <f>IFERROR(IF(Portafolio_Proyectos!$AQ726="","",Portafolio_Proyectos!$E726),"")</f>
        <v/>
      </c>
    </row>
    <row r="2179" spans="1:8" x14ac:dyDescent="0.35">
      <c r="A2179" s="5" t="str">
        <f>IFERROR(IF(Portafolio_Proyectos!$AR726="","","CAP-"&amp;ROW()-1),"")</f>
        <v/>
      </c>
      <c r="B2179" s="5" t="str">
        <f>IFERROR(IF(Portafolio_Proyectos!$AR726="","",Portafolio_Proyectos!$AR726),"")</f>
        <v/>
      </c>
      <c r="C2179" s="5" t="str">
        <f>IFERROR(IF(Portafolio_Proyectos!$AR726="","","Distintiva"),"")</f>
        <v/>
      </c>
      <c r="D2179" s="5" t="str">
        <f>IFERROR(IF(Portafolio_Proyectos!$AR726="","",Portafolio_Proyectos!$C726),"")</f>
        <v/>
      </c>
      <c r="E2179" s="5" t="str">
        <f>IFERROR(IF(Portafolio_Proyectos!$AR726="","",Portafolio_Proyectos!$B726),"")</f>
        <v/>
      </c>
      <c r="F2179" s="5" t="str">
        <f>IFERROR(IF(Portafolio_Proyectos!$AR726="","",Portafolio_Proyectos!$D726),"")</f>
        <v/>
      </c>
      <c r="G2179" s="5" t="str">
        <f>IFERROR(IF(Portafolio_Proyectos!$AR726="","",Portafolio_Proyectos!$A726),"")</f>
        <v/>
      </c>
      <c r="H2179" s="5" t="str">
        <f>IFERROR(IF(Portafolio_Proyectos!$AR726="","",Portafolio_Proyectos!$E726),"")</f>
        <v/>
      </c>
    </row>
    <row r="2180" spans="1:8" x14ac:dyDescent="0.35">
      <c r="A2180" s="5" t="str">
        <f>IFERROR(IF(Portafolio_Proyectos!$AP727="","","CAP-"&amp;ROW()-1),"")</f>
        <v/>
      </c>
      <c r="B2180" s="5" t="str">
        <f>IFERROR(IF(Portafolio_Proyectos!$AP727="","",Portafolio_Proyectos!$AP727),"")</f>
        <v/>
      </c>
      <c r="C2180" s="5" t="str">
        <f>IFERROR(IF(Portafolio_Proyectos!$AP727="","","Emergente"),"")</f>
        <v/>
      </c>
      <c r="D2180" s="5" t="str">
        <f>IFERROR(IF(Portafolio_Proyectos!$AP727="","",Portafolio_Proyectos!$C727),"")</f>
        <v/>
      </c>
      <c r="E2180" s="5" t="str">
        <f>IFERROR(IF(Portafolio_Proyectos!$AP727="","",Portafolio_Proyectos!$B727),"")</f>
        <v/>
      </c>
      <c r="F2180" s="5" t="str">
        <f>IFERROR(IF(Portafolio_Proyectos!$AP727="","",Portafolio_Proyectos!$D727),"")</f>
        <v/>
      </c>
      <c r="G2180" s="5" t="str">
        <f>IFERROR(IF(Portafolio_Proyectos!$AP727="","",Portafolio_Proyectos!$A727),"")</f>
        <v/>
      </c>
      <c r="H2180" s="5" t="str">
        <f>IFERROR(IF(Portafolio_Proyectos!$AP727="","",Portafolio_Proyectos!$E727),"")</f>
        <v/>
      </c>
    </row>
    <row r="2181" spans="1:8" x14ac:dyDescent="0.35">
      <c r="A2181" s="5" t="str">
        <f>IFERROR(IF(Portafolio_Proyectos!$AQ727="","","CAP-"&amp;ROW()-1),"")</f>
        <v/>
      </c>
      <c r="B2181" s="5" t="str">
        <f>IFERROR(IF(Portafolio_Proyectos!$AQ727="","",Portafolio_Proyectos!$AQ727),"")</f>
        <v/>
      </c>
      <c r="C2181" s="5" t="str">
        <f>IFERROR(IF(Portafolio_Proyectos!$AQ727="","","Consolidada"),"")</f>
        <v/>
      </c>
      <c r="D2181" s="5" t="str">
        <f>IFERROR(IF(Portafolio_Proyectos!$AQ727="","",Portafolio_Proyectos!$C727),"")</f>
        <v/>
      </c>
      <c r="E2181" s="5" t="str">
        <f>IFERROR(IF(Portafolio_Proyectos!$AQ727="","",Portafolio_Proyectos!$B727),"")</f>
        <v/>
      </c>
      <c r="F2181" s="5" t="str">
        <f>IFERROR(IF(Portafolio_Proyectos!$AQ727="","",Portafolio_Proyectos!$D727),"")</f>
        <v/>
      </c>
      <c r="G2181" s="5" t="str">
        <f>IFERROR(IF(Portafolio_Proyectos!$AQ727="","",Portafolio_Proyectos!$A727),"")</f>
        <v/>
      </c>
      <c r="H2181" s="5" t="str">
        <f>IFERROR(IF(Portafolio_Proyectos!$AQ727="","",Portafolio_Proyectos!$E727),"")</f>
        <v/>
      </c>
    </row>
    <row r="2182" spans="1:8" x14ac:dyDescent="0.35">
      <c r="A2182" s="5" t="str">
        <f>IFERROR(IF(Portafolio_Proyectos!$AR727="","","CAP-"&amp;ROW()-1),"")</f>
        <v/>
      </c>
      <c r="B2182" s="5" t="str">
        <f>IFERROR(IF(Portafolio_Proyectos!$AR727="","",Portafolio_Proyectos!$AR727),"")</f>
        <v/>
      </c>
      <c r="C2182" s="5" t="str">
        <f>IFERROR(IF(Portafolio_Proyectos!$AR727="","","Distintiva"),"")</f>
        <v/>
      </c>
      <c r="D2182" s="5" t="str">
        <f>IFERROR(IF(Portafolio_Proyectos!$AR727="","",Portafolio_Proyectos!$C727),"")</f>
        <v/>
      </c>
      <c r="E2182" s="5" t="str">
        <f>IFERROR(IF(Portafolio_Proyectos!$AR727="","",Portafolio_Proyectos!$B727),"")</f>
        <v/>
      </c>
      <c r="F2182" s="5" t="str">
        <f>IFERROR(IF(Portafolio_Proyectos!$AR727="","",Portafolio_Proyectos!$D727),"")</f>
        <v/>
      </c>
      <c r="G2182" s="5" t="str">
        <f>IFERROR(IF(Portafolio_Proyectos!$AR727="","",Portafolio_Proyectos!$A727),"")</f>
        <v/>
      </c>
      <c r="H2182" s="5" t="str">
        <f>IFERROR(IF(Portafolio_Proyectos!$AR727="","",Portafolio_Proyectos!$E727),"")</f>
        <v/>
      </c>
    </row>
    <row r="2183" spans="1:8" x14ac:dyDescent="0.35">
      <c r="A2183" s="5" t="str">
        <f>IFERROR(IF(Portafolio_Proyectos!$AP728="","","CAP-"&amp;ROW()-1),"")</f>
        <v/>
      </c>
      <c r="B2183" s="5" t="str">
        <f>IFERROR(IF(Portafolio_Proyectos!$AP728="","",Portafolio_Proyectos!$AP728),"")</f>
        <v/>
      </c>
      <c r="C2183" s="5" t="str">
        <f>IFERROR(IF(Portafolio_Proyectos!$AP728="","","Emergente"),"")</f>
        <v/>
      </c>
      <c r="D2183" s="5" t="str">
        <f>IFERROR(IF(Portafolio_Proyectos!$AP728="","",Portafolio_Proyectos!$C728),"")</f>
        <v/>
      </c>
      <c r="E2183" s="5" t="str">
        <f>IFERROR(IF(Portafolio_Proyectos!$AP728="","",Portafolio_Proyectos!$B728),"")</f>
        <v/>
      </c>
      <c r="F2183" s="5" t="str">
        <f>IFERROR(IF(Portafolio_Proyectos!$AP728="","",Portafolio_Proyectos!$D728),"")</f>
        <v/>
      </c>
      <c r="G2183" s="5" t="str">
        <f>IFERROR(IF(Portafolio_Proyectos!$AP728="","",Portafolio_Proyectos!$A728),"")</f>
        <v/>
      </c>
      <c r="H2183" s="5" t="str">
        <f>IFERROR(IF(Portafolio_Proyectos!$AP728="","",Portafolio_Proyectos!$E728),"")</f>
        <v/>
      </c>
    </row>
    <row r="2184" spans="1:8" x14ac:dyDescent="0.35">
      <c r="A2184" s="5" t="str">
        <f>IFERROR(IF(Portafolio_Proyectos!$AQ728="","","CAP-"&amp;ROW()-1),"")</f>
        <v/>
      </c>
      <c r="B2184" s="5" t="str">
        <f>IFERROR(IF(Portafolio_Proyectos!$AQ728="","",Portafolio_Proyectos!$AQ728),"")</f>
        <v/>
      </c>
      <c r="C2184" s="5" t="str">
        <f>IFERROR(IF(Portafolio_Proyectos!$AQ728="","","Consolidada"),"")</f>
        <v/>
      </c>
      <c r="D2184" s="5" t="str">
        <f>IFERROR(IF(Portafolio_Proyectos!$AQ728="","",Portafolio_Proyectos!$C728),"")</f>
        <v/>
      </c>
      <c r="E2184" s="5" t="str">
        <f>IFERROR(IF(Portafolio_Proyectos!$AQ728="","",Portafolio_Proyectos!$B728),"")</f>
        <v/>
      </c>
      <c r="F2184" s="5" t="str">
        <f>IFERROR(IF(Portafolio_Proyectos!$AQ728="","",Portafolio_Proyectos!$D728),"")</f>
        <v/>
      </c>
      <c r="G2184" s="5" t="str">
        <f>IFERROR(IF(Portafolio_Proyectos!$AQ728="","",Portafolio_Proyectos!$A728),"")</f>
        <v/>
      </c>
      <c r="H2184" s="5" t="str">
        <f>IFERROR(IF(Portafolio_Proyectos!$AQ728="","",Portafolio_Proyectos!$E728),"")</f>
        <v/>
      </c>
    </row>
    <row r="2185" spans="1:8" x14ac:dyDescent="0.35">
      <c r="A2185" s="5" t="str">
        <f>IFERROR(IF(Portafolio_Proyectos!$AR728="","","CAP-"&amp;ROW()-1),"")</f>
        <v/>
      </c>
      <c r="B2185" s="5" t="str">
        <f>IFERROR(IF(Portafolio_Proyectos!$AR728="","",Portafolio_Proyectos!$AR728),"")</f>
        <v/>
      </c>
      <c r="C2185" s="5" t="str">
        <f>IFERROR(IF(Portafolio_Proyectos!$AR728="","","Distintiva"),"")</f>
        <v/>
      </c>
      <c r="D2185" s="5" t="str">
        <f>IFERROR(IF(Portafolio_Proyectos!$AR728="","",Portafolio_Proyectos!$C728),"")</f>
        <v/>
      </c>
      <c r="E2185" s="5" t="str">
        <f>IFERROR(IF(Portafolio_Proyectos!$AR728="","",Portafolio_Proyectos!$B728),"")</f>
        <v/>
      </c>
      <c r="F2185" s="5" t="str">
        <f>IFERROR(IF(Portafolio_Proyectos!$AR728="","",Portafolio_Proyectos!$D728),"")</f>
        <v/>
      </c>
      <c r="G2185" s="5" t="str">
        <f>IFERROR(IF(Portafolio_Proyectos!$AR728="","",Portafolio_Proyectos!$A728),"")</f>
        <v/>
      </c>
      <c r="H2185" s="5" t="str">
        <f>IFERROR(IF(Portafolio_Proyectos!$AR728="","",Portafolio_Proyectos!$E728),"")</f>
        <v/>
      </c>
    </row>
    <row r="2186" spans="1:8" x14ac:dyDescent="0.35">
      <c r="A2186" s="5" t="str">
        <f>IFERROR(IF(Portafolio_Proyectos!$AP729="","","CAP-"&amp;ROW()-1),"")</f>
        <v/>
      </c>
      <c r="B2186" s="5" t="str">
        <f>IFERROR(IF(Portafolio_Proyectos!$AP729="","",Portafolio_Proyectos!$AP729),"")</f>
        <v/>
      </c>
      <c r="C2186" s="5" t="str">
        <f>IFERROR(IF(Portafolio_Proyectos!$AP729="","","Emergente"),"")</f>
        <v/>
      </c>
      <c r="D2186" s="5" t="str">
        <f>IFERROR(IF(Portafolio_Proyectos!$AP729="","",Portafolio_Proyectos!$C729),"")</f>
        <v/>
      </c>
      <c r="E2186" s="5" t="str">
        <f>IFERROR(IF(Portafolio_Proyectos!$AP729="","",Portafolio_Proyectos!$B729),"")</f>
        <v/>
      </c>
      <c r="F2186" s="5" t="str">
        <f>IFERROR(IF(Portafolio_Proyectos!$AP729="","",Portafolio_Proyectos!$D729),"")</f>
        <v/>
      </c>
      <c r="G2186" s="5" t="str">
        <f>IFERROR(IF(Portafolio_Proyectos!$AP729="","",Portafolio_Proyectos!$A729),"")</f>
        <v/>
      </c>
      <c r="H2186" s="5" t="str">
        <f>IFERROR(IF(Portafolio_Proyectos!$AP729="","",Portafolio_Proyectos!$E729),"")</f>
        <v/>
      </c>
    </row>
    <row r="2187" spans="1:8" x14ac:dyDescent="0.35">
      <c r="A2187" s="5" t="str">
        <f>IFERROR(IF(Portafolio_Proyectos!$AQ729="","","CAP-"&amp;ROW()-1),"")</f>
        <v/>
      </c>
      <c r="B2187" s="5" t="str">
        <f>IFERROR(IF(Portafolio_Proyectos!$AQ729="","",Portafolio_Proyectos!$AQ729),"")</f>
        <v/>
      </c>
      <c r="C2187" s="5" t="str">
        <f>IFERROR(IF(Portafolio_Proyectos!$AQ729="","","Consolidada"),"")</f>
        <v/>
      </c>
      <c r="D2187" s="5" t="str">
        <f>IFERROR(IF(Portafolio_Proyectos!$AQ729="","",Portafolio_Proyectos!$C729),"")</f>
        <v/>
      </c>
      <c r="E2187" s="5" t="str">
        <f>IFERROR(IF(Portafolio_Proyectos!$AQ729="","",Portafolio_Proyectos!$B729),"")</f>
        <v/>
      </c>
      <c r="F2187" s="5" t="str">
        <f>IFERROR(IF(Portafolio_Proyectos!$AQ729="","",Portafolio_Proyectos!$D729),"")</f>
        <v/>
      </c>
      <c r="G2187" s="5" t="str">
        <f>IFERROR(IF(Portafolio_Proyectos!$AQ729="","",Portafolio_Proyectos!$A729),"")</f>
        <v/>
      </c>
      <c r="H2187" s="5" t="str">
        <f>IFERROR(IF(Portafolio_Proyectos!$AQ729="","",Portafolio_Proyectos!$E729),"")</f>
        <v/>
      </c>
    </row>
    <row r="2188" spans="1:8" x14ac:dyDescent="0.35">
      <c r="A2188" s="5" t="str">
        <f>IFERROR(IF(Portafolio_Proyectos!$AR729="","","CAP-"&amp;ROW()-1),"")</f>
        <v/>
      </c>
      <c r="B2188" s="5" t="str">
        <f>IFERROR(IF(Portafolio_Proyectos!$AR729="","",Portafolio_Proyectos!$AR729),"")</f>
        <v/>
      </c>
      <c r="C2188" s="5" t="str">
        <f>IFERROR(IF(Portafolio_Proyectos!$AR729="","","Distintiva"),"")</f>
        <v/>
      </c>
      <c r="D2188" s="5" t="str">
        <f>IFERROR(IF(Portafolio_Proyectos!$AR729="","",Portafolio_Proyectos!$C729),"")</f>
        <v/>
      </c>
      <c r="E2188" s="5" t="str">
        <f>IFERROR(IF(Portafolio_Proyectos!$AR729="","",Portafolio_Proyectos!$B729),"")</f>
        <v/>
      </c>
      <c r="F2188" s="5" t="str">
        <f>IFERROR(IF(Portafolio_Proyectos!$AR729="","",Portafolio_Proyectos!$D729),"")</f>
        <v/>
      </c>
      <c r="G2188" s="5" t="str">
        <f>IFERROR(IF(Portafolio_Proyectos!$AR729="","",Portafolio_Proyectos!$A729),"")</f>
        <v/>
      </c>
      <c r="H2188" s="5" t="str">
        <f>IFERROR(IF(Portafolio_Proyectos!$AR729="","",Portafolio_Proyectos!$E729),"")</f>
        <v/>
      </c>
    </row>
    <row r="2189" spans="1:8" x14ac:dyDescent="0.35">
      <c r="A2189" s="5" t="str">
        <f>IFERROR(IF(Portafolio_Proyectos!$AP730="","","CAP-"&amp;ROW()-1),"")</f>
        <v/>
      </c>
      <c r="B2189" s="5" t="str">
        <f>IFERROR(IF(Portafolio_Proyectos!$AP730="","",Portafolio_Proyectos!$AP730),"")</f>
        <v/>
      </c>
      <c r="C2189" s="5" t="str">
        <f>IFERROR(IF(Portafolio_Proyectos!$AP730="","","Emergente"),"")</f>
        <v/>
      </c>
      <c r="D2189" s="5" t="str">
        <f>IFERROR(IF(Portafolio_Proyectos!$AP730="","",Portafolio_Proyectos!$C730),"")</f>
        <v/>
      </c>
      <c r="E2189" s="5" t="str">
        <f>IFERROR(IF(Portafolio_Proyectos!$AP730="","",Portafolio_Proyectos!$B730),"")</f>
        <v/>
      </c>
      <c r="F2189" s="5" t="str">
        <f>IFERROR(IF(Portafolio_Proyectos!$AP730="","",Portafolio_Proyectos!$D730),"")</f>
        <v/>
      </c>
      <c r="G2189" s="5" t="str">
        <f>IFERROR(IF(Portafolio_Proyectos!$AP730="","",Portafolio_Proyectos!$A730),"")</f>
        <v/>
      </c>
      <c r="H2189" s="5" t="str">
        <f>IFERROR(IF(Portafolio_Proyectos!$AP730="","",Portafolio_Proyectos!$E730),"")</f>
        <v/>
      </c>
    </row>
    <row r="2190" spans="1:8" x14ac:dyDescent="0.35">
      <c r="A2190" s="5" t="str">
        <f>IFERROR(IF(Portafolio_Proyectos!$AQ730="","","CAP-"&amp;ROW()-1),"")</f>
        <v/>
      </c>
      <c r="B2190" s="5" t="str">
        <f>IFERROR(IF(Portafolio_Proyectos!$AQ730="","",Portafolio_Proyectos!$AQ730),"")</f>
        <v/>
      </c>
      <c r="C2190" s="5" t="str">
        <f>IFERROR(IF(Portafolio_Proyectos!$AQ730="","","Consolidada"),"")</f>
        <v/>
      </c>
      <c r="D2190" s="5" t="str">
        <f>IFERROR(IF(Portafolio_Proyectos!$AQ730="","",Portafolio_Proyectos!$C730),"")</f>
        <v/>
      </c>
      <c r="E2190" s="5" t="str">
        <f>IFERROR(IF(Portafolio_Proyectos!$AQ730="","",Portafolio_Proyectos!$B730),"")</f>
        <v/>
      </c>
      <c r="F2190" s="5" t="str">
        <f>IFERROR(IF(Portafolio_Proyectos!$AQ730="","",Portafolio_Proyectos!$D730),"")</f>
        <v/>
      </c>
      <c r="G2190" s="5" t="str">
        <f>IFERROR(IF(Portafolio_Proyectos!$AQ730="","",Portafolio_Proyectos!$A730),"")</f>
        <v/>
      </c>
      <c r="H2190" s="5" t="str">
        <f>IFERROR(IF(Portafolio_Proyectos!$AQ730="","",Portafolio_Proyectos!$E730),"")</f>
        <v/>
      </c>
    </row>
    <row r="2191" spans="1:8" x14ac:dyDescent="0.35">
      <c r="A2191" s="5" t="str">
        <f>IFERROR(IF(Portafolio_Proyectos!$AR730="","","CAP-"&amp;ROW()-1),"")</f>
        <v/>
      </c>
      <c r="B2191" s="5" t="str">
        <f>IFERROR(IF(Portafolio_Proyectos!$AR730="","",Portafolio_Proyectos!$AR730),"")</f>
        <v/>
      </c>
      <c r="C2191" s="5" t="str">
        <f>IFERROR(IF(Portafolio_Proyectos!$AR730="","","Distintiva"),"")</f>
        <v/>
      </c>
      <c r="D2191" s="5" t="str">
        <f>IFERROR(IF(Portafolio_Proyectos!$AR730="","",Portafolio_Proyectos!$C730),"")</f>
        <v/>
      </c>
      <c r="E2191" s="5" t="str">
        <f>IFERROR(IF(Portafolio_Proyectos!$AR730="","",Portafolio_Proyectos!$B730),"")</f>
        <v/>
      </c>
      <c r="F2191" s="5" t="str">
        <f>IFERROR(IF(Portafolio_Proyectos!$AR730="","",Portafolio_Proyectos!$D730),"")</f>
        <v/>
      </c>
      <c r="G2191" s="5" t="str">
        <f>IFERROR(IF(Portafolio_Proyectos!$AR730="","",Portafolio_Proyectos!$A730),"")</f>
        <v/>
      </c>
      <c r="H2191" s="5" t="str">
        <f>IFERROR(IF(Portafolio_Proyectos!$AR730="","",Portafolio_Proyectos!$E730),"")</f>
        <v/>
      </c>
    </row>
    <row r="2192" spans="1:8" x14ac:dyDescent="0.35">
      <c r="A2192" s="5" t="str">
        <f>IFERROR(IF(Portafolio_Proyectos!$AP731="","","CAP-"&amp;ROW()-1),"")</f>
        <v/>
      </c>
      <c r="B2192" s="5" t="str">
        <f>IFERROR(IF(Portafolio_Proyectos!$AP731="","",Portafolio_Proyectos!$AP731),"")</f>
        <v/>
      </c>
      <c r="C2192" s="5" t="str">
        <f>IFERROR(IF(Portafolio_Proyectos!$AP731="","","Emergente"),"")</f>
        <v/>
      </c>
      <c r="D2192" s="5" t="str">
        <f>IFERROR(IF(Portafolio_Proyectos!$AP731="","",Portafolio_Proyectos!$C731),"")</f>
        <v/>
      </c>
      <c r="E2192" s="5" t="str">
        <f>IFERROR(IF(Portafolio_Proyectos!$AP731="","",Portafolio_Proyectos!$B731),"")</f>
        <v/>
      </c>
      <c r="F2192" s="5" t="str">
        <f>IFERROR(IF(Portafolio_Proyectos!$AP731="","",Portafolio_Proyectos!$D731),"")</f>
        <v/>
      </c>
      <c r="G2192" s="5" t="str">
        <f>IFERROR(IF(Portafolio_Proyectos!$AP731="","",Portafolio_Proyectos!$A731),"")</f>
        <v/>
      </c>
      <c r="H2192" s="5" t="str">
        <f>IFERROR(IF(Portafolio_Proyectos!$AP731="","",Portafolio_Proyectos!$E731),"")</f>
        <v/>
      </c>
    </row>
    <row r="2193" spans="1:8" x14ac:dyDescent="0.35">
      <c r="A2193" s="5" t="str">
        <f>IFERROR(IF(Portafolio_Proyectos!$AQ731="","","CAP-"&amp;ROW()-1),"")</f>
        <v/>
      </c>
      <c r="B2193" s="5" t="str">
        <f>IFERROR(IF(Portafolio_Proyectos!$AQ731="","",Portafolio_Proyectos!$AQ731),"")</f>
        <v/>
      </c>
      <c r="C2193" s="5" t="str">
        <f>IFERROR(IF(Portafolio_Proyectos!$AQ731="","","Consolidada"),"")</f>
        <v/>
      </c>
      <c r="D2193" s="5" t="str">
        <f>IFERROR(IF(Portafolio_Proyectos!$AQ731="","",Portafolio_Proyectos!$C731),"")</f>
        <v/>
      </c>
      <c r="E2193" s="5" t="str">
        <f>IFERROR(IF(Portafolio_Proyectos!$AQ731="","",Portafolio_Proyectos!$B731),"")</f>
        <v/>
      </c>
      <c r="F2193" s="5" t="str">
        <f>IFERROR(IF(Portafolio_Proyectos!$AQ731="","",Portafolio_Proyectos!$D731),"")</f>
        <v/>
      </c>
      <c r="G2193" s="5" t="str">
        <f>IFERROR(IF(Portafolio_Proyectos!$AQ731="","",Portafolio_Proyectos!$A731),"")</f>
        <v/>
      </c>
      <c r="H2193" s="5" t="str">
        <f>IFERROR(IF(Portafolio_Proyectos!$AQ731="","",Portafolio_Proyectos!$E731),"")</f>
        <v/>
      </c>
    </row>
    <row r="2194" spans="1:8" x14ac:dyDescent="0.35">
      <c r="A2194" s="5" t="str">
        <f>IFERROR(IF(Portafolio_Proyectos!$AR731="","","CAP-"&amp;ROW()-1),"")</f>
        <v/>
      </c>
      <c r="B2194" s="5" t="str">
        <f>IFERROR(IF(Portafolio_Proyectos!$AR731="","",Portafolio_Proyectos!$AR731),"")</f>
        <v/>
      </c>
      <c r="C2194" s="5" t="str">
        <f>IFERROR(IF(Portafolio_Proyectos!$AR731="","","Distintiva"),"")</f>
        <v/>
      </c>
      <c r="D2194" s="5" t="str">
        <f>IFERROR(IF(Portafolio_Proyectos!$AR731="","",Portafolio_Proyectos!$C731),"")</f>
        <v/>
      </c>
      <c r="E2194" s="5" t="str">
        <f>IFERROR(IF(Portafolio_Proyectos!$AR731="","",Portafolio_Proyectos!$B731),"")</f>
        <v/>
      </c>
      <c r="F2194" s="5" t="str">
        <f>IFERROR(IF(Portafolio_Proyectos!$AR731="","",Portafolio_Proyectos!$D731),"")</f>
        <v/>
      </c>
      <c r="G2194" s="5" t="str">
        <f>IFERROR(IF(Portafolio_Proyectos!$AR731="","",Portafolio_Proyectos!$A731),"")</f>
        <v/>
      </c>
      <c r="H2194" s="5" t="str">
        <f>IFERROR(IF(Portafolio_Proyectos!$AR731="","",Portafolio_Proyectos!$E731),"")</f>
        <v/>
      </c>
    </row>
    <row r="2195" spans="1:8" x14ac:dyDescent="0.35">
      <c r="A2195" s="5" t="str">
        <f>IFERROR(IF(Portafolio_Proyectos!$AP732="","","CAP-"&amp;ROW()-1),"")</f>
        <v/>
      </c>
      <c r="B2195" s="5" t="str">
        <f>IFERROR(IF(Portafolio_Proyectos!$AP732="","",Portafolio_Proyectos!$AP732),"")</f>
        <v/>
      </c>
      <c r="C2195" s="5" t="str">
        <f>IFERROR(IF(Portafolio_Proyectos!$AP732="","","Emergente"),"")</f>
        <v/>
      </c>
      <c r="D2195" s="5" t="str">
        <f>IFERROR(IF(Portafolio_Proyectos!$AP732="","",Portafolio_Proyectos!$C732),"")</f>
        <v/>
      </c>
      <c r="E2195" s="5" t="str">
        <f>IFERROR(IF(Portafolio_Proyectos!$AP732="","",Portafolio_Proyectos!$B732),"")</f>
        <v/>
      </c>
      <c r="F2195" s="5" t="str">
        <f>IFERROR(IF(Portafolio_Proyectos!$AP732="","",Portafolio_Proyectos!$D732),"")</f>
        <v/>
      </c>
      <c r="G2195" s="5" t="str">
        <f>IFERROR(IF(Portafolio_Proyectos!$AP732="","",Portafolio_Proyectos!$A732),"")</f>
        <v/>
      </c>
      <c r="H2195" s="5" t="str">
        <f>IFERROR(IF(Portafolio_Proyectos!$AP732="","",Portafolio_Proyectos!$E732),"")</f>
        <v/>
      </c>
    </row>
    <row r="2196" spans="1:8" x14ac:dyDescent="0.35">
      <c r="A2196" s="5" t="str">
        <f>IFERROR(IF(Portafolio_Proyectos!$AQ732="","","CAP-"&amp;ROW()-1),"")</f>
        <v/>
      </c>
      <c r="B2196" s="5" t="str">
        <f>IFERROR(IF(Portafolio_Proyectos!$AQ732="","",Portafolio_Proyectos!$AQ732),"")</f>
        <v/>
      </c>
      <c r="C2196" s="5" t="str">
        <f>IFERROR(IF(Portafolio_Proyectos!$AQ732="","","Consolidada"),"")</f>
        <v/>
      </c>
      <c r="D2196" s="5" t="str">
        <f>IFERROR(IF(Portafolio_Proyectos!$AQ732="","",Portafolio_Proyectos!$C732),"")</f>
        <v/>
      </c>
      <c r="E2196" s="5" t="str">
        <f>IFERROR(IF(Portafolio_Proyectos!$AQ732="","",Portafolio_Proyectos!$B732),"")</f>
        <v/>
      </c>
      <c r="F2196" s="5" t="str">
        <f>IFERROR(IF(Portafolio_Proyectos!$AQ732="","",Portafolio_Proyectos!$D732),"")</f>
        <v/>
      </c>
      <c r="G2196" s="5" t="str">
        <f>IFERROR(IF(Portafolio_Proyectos!$AQ732="","",Portafolio_Proyectos!$A732),"")</f>
        <v/>
      </c>
      <c r="H2196" s="5" t="str">
        <f>IFERROR(IF(Portafolio_Proyectos!$AQ732="","",Portafolio_Proyectos!$E732),"")</f>
        <v/>
      </c>
    </row>
    <row r="2197" spans="1:8" x14ac:dyDescent="0.35">
      <c r="A2197" s="5" t="str">
        <f>IFERROR(IF(Portafolio_Proyectos!$AR732="","","CAP-"&amp;ROW()-1),"")</f>
        <v/>
      </c>
      <c r="B2197" s="5" t="str">
        <f>IFERROR(IF(Portafolio_Proyectos!$AR732="","",Portafolio_Proyectos!$AR732),"")</f>
        <v/>
      </c>
      <c r="C2197" s="5" t="str">
        <f>IFERROR(IF(Portafolio_Proyectos!$AR732="","","Distintiva"),"")</f>
        <v/>
      </c>
      <c r="D2197" s="5" t="str">
        <f>IFERROR(IF(Portafolio_Proyectos!$AR732="","",Portafolio_Proyectos!$C732),"")</f>
        <v/>
      </c>
      <c r="E2197" s="5" t="str">
        <f>IFERROR(IF(Portafolio_Proyectos!$AR732="","",Portafolio_Proyectos!$B732),"")</f>
        <v/>
      </c>
      <c r="F2197" s="5" t="str">
        <f>IFERROR(IF(Portafolio_Proyectos!$AR732="","",Portafolio_Proyectos!$D732),"")</f>
        <v/>
      </c>
      <c r="G2197" s="5" t="str">
        <f>IFERROR(IF(Portafolio_Proyectos!$AR732="","",Portafolio_Proyectos!$A732),"")</f>
        <v/>
      </c>
      <c r="H2197" s="5" t="str">
        <f>IFERROR(IF(Portafolio_Proyectos!$AR732="","",Portafolio_Proyectos!$E732),"")</f>
        <v/>
      </c>
    </row>
    <row r="2198" spans="1:8" x14ac:dyDescent="0.35">
      <c r="A2198" s="5" t="str">
        <f>IFERROR(IF(Portafolio_Proyectos!$AP733="","","CAP-"&amp;ROW()-1),"")</f>
        <v/>
      </c>
      <c r="B2198" s="5" t="str">
        <f>IFERROR(IF(Portafolio_Proyectos!$AP733="","",Portafolio_Proyectos!$AP733),"")</f>
        <v/>
      </c>
      <c r="C2198" s="5" t="str">
        <f>IFERROR(IF(Portafolio_Proyectos!$AP733="","","Emergente"),"")</f>
        <v/>
      </c>
      <c r="D2198" s="5" t="str">
        <f>IFERROR(IF(Portafolio_Proyectos!$AP733="","",Portafolio_Proyectos!$C733),"")</f>
        <v/>
      </c>
      <c r="E2198" s="5" t="str">
        <f>IFERROR(IF(Portafolio_Proyectos!$AP733="","",Portafolio_Proyectos!$B733),"")</f>
        <v/>
      </c>
      <c r="F2198" s="5" t="str">
        <f>IFERROR(IF(Portafolio_Proyectos!$AP733="","",Portafolio_Proyectos!$D733),"")</f>
        <v/>
      </c>
      <c r="G2198" s="5" t="str">
        <f>IFERROR(IF(Portafolio_Proyectos!$AP733="","",Portafolio_Proyectos!$A733),"")</f>
        <v/>
      </c>
      <c r="H2198" s="5" t="str">
        <f>IFERROR(IF(Portafolio_Proyectos!$AP733="","",Portafolio_Proyectos!$E733),"")</f>
        <v/>
      </c>
    </row>
    <row r="2199" spans="1:8" x14ac:dyDescent="0.35">
      <c r="A2199" s="5" t="str">
        <f>IFERROR(IF(Portafolio_Proyectos!$AQ733="","","CAP-"&amp;ROW()-1),"")</f>
        <v/>
      </c>
      <c r="B2199" s="5" t="str">
        <f>IFERROR(IF(Portafolio_Proyectos!$AQ733="","",Portafolio_Proyectos!$AQ733),"")</f>
        <v/>
      </c>
      <c r="C2199" s="5" t="str">
        <f>IFERROR(IF(Portafolio_Proyectos!$AQ733="","","Consolidada"),"")</f>
        <v/>
      </c>
      <c r="D2199" s="5" t="str">
        <f>IFERROR(IF(Portafolio_Proyectos!$AQ733="","",Portafolio_Proyectos!$C733),"")</f>
        <v/>
      </c>
      <c r="E2199" s="5" t="str">
        <f>IFERROR(IF(Portafolio_Proyectos!$AQ733="","",Portafolio_Proyectos!$B733),"")</f>
        <v/>
      </c>
      <c r="F2199" s="5" t="str">
        <f>IFERROR(IF(Portafolio_Proyectos!$AQ733="","",Portafolio_Proyectos!$D733),"")</f>
        <v/>
      </c>
      <c r="G2199" s="5" t="str">
        <f>IFERROR(IF(Portafolio_Proyectos!$AQ733="","",Portafolio_Proyectos!$A733),"")</f>
        <v/>
      </c>
      <c r="H2199" s="5" t="str">
        <f>IFERROR(IF(Portafolio_Proyectos!$AQ733="","",Portafolio_Proyectos!$E733),"")</f>
        <v/>
      </c>
    </row>
    <row r="2200" spans="1:8" x14ac:dyDescent="0.35">
      <c r="A2200" s="5" t="str">
        <f>IFERROR(IF(Portafolio_Proyectos!$AR733="","","CAP-"&amp;ROW()-1),"")</f>
        <v/>
      </c>
      <c r="B2200" s="5" t="str">
        <f>IFERROR(IF(Portafolio_Proyectos!$AR733="","",Portafolio_Proyectos!$AR733),"")</f>
        <v/>
      </c>
      <c r="C2200" s="5" t="str">
        <f>IFERROR(IF(Portafolio_Proyectos!$AR733="","","Distintiva"),"")</f>
        <v/>
      </c>
      <c r="D2200" s="5" t="str">
        <f>IFERROR(IF(Portafolio_Proyectos!$AR733="","",Portafolio_Proyectos!$C733),"")</f>
        <v/>
      </c>
      <c r="E2200" s="5" t="str">
        <f>IFERROR(IF(Portafolio_Proyectos!$AR733="","",Portafolio_Proyectos!$B733),"")</f>
        <v/>
      </c>
      <c r="F2200" s="5" t="str">
        <f>IFERROR(IF(Portafolio_Proyectos!$AR733="","",Portafolio_Proyectos!$D733),"")</f>
        <v/>
      </c>
      <c r="G2200" s="5" t="str">
        <f>IFERROR(IF(Portafolio_Proyectos!$AR733="","",Portafolio_Proyectos!$A733),"")</f>
        <v/>
      </c>
      <c r="H2200" s="5" t="str">
        <f>IFERROR(IF(Portafolio_Proyectos!$AR733="","",Portafolio_Proyectos!$E733),"")</f>
        <v/>
      </c>
    </row>
    <row r="2201" spans="1:8" x14ac:dyDescent="0.35">
      <c r="A2201" s="5" t="str">
        <f>IFERROR(IF(Portafolio_Proyectos!$AP734="","","CAP-"&amp;ROW()-1),"")</f>
        <v/>
      </c>
      <c r="B2201" s="5" t="str">
        <f>IFERROR(IF(Portafolio_Proyectos!$AP734="","",Portafolio_Proyectos!$AP734),"")</f>
        <v/>
      </c>
      <c r="C2201" s="5" t="str">
        <f>IFERROR(IF(Portafolio_Proyectos!$AP734="","","Emergente"),"")</f>
        <v/>
      </c>
      <c r="D2201" s="5" t="str">
        <f>IFERROR(IF(Portafolio_Proyectos!$AP734="","",Portafolio_Proyectos!$C734),"")</f>
        <v/>
      </c>
      <c r="E2201" s="5" t="str">
        <f>IFERROR(IF(Portafolio_Proyectos!$AP734="","",Portafolio_Proyectos!$B734),"")</f>
        <v/>
      </c>
      <c r="F2201" s="5" t="str">
        <f>IFERROR(IF(Portafolio_Proyectos!$AP734="","",Portafolio_Proyectos!$D734),"")</f>
        <v/>
      </c>
      <c r="G2201" s="5" t="str">
        <f>IFERROR(IF(Portafolio_Proyectos!$AP734="","",Portafolio_Proyectos!$A734),"")</f>
        <v/>
      </c>
      <c r="H2201" s="5" t="str">
        <f>IFERROR(IF(Portafolio_Proyectos!$AP734="","",Portafolio_Proyectos!$E734),"")</f>
        <v/>
      </c>
    </row>
    <row r="2202" spans="1:8" x14ac:dyDescent="0.35">
      <c r="A2202" s="5" t="str">
        <f>IFERROR(IF(Portafolio_Proyectos!$AQ734="","","CAP-"&amp;ROW()-1),"")</f>
        <v/>
      </c>
      <c r="B2202" s="5" t="str">
        <f>IFERROR(IF(Portafolio_Proyectos!$AQ734="","",Portafolio_Proyectos!$AQ734),"")</f>
        <v/>
      </c>
      <c r="C2202" s="5" t="str">
        <f>IFERROR(IF(Portafolio_Proyectos!$AQ734="","","Consolidada"),"")</f>
        <v/>
      </c>
      <c r="D2202" s="5" t="str">
        <f>IFERROR(IF(Portafolio_Proyectos!$AQ734="","",Portafolio_Proyectos!$C734),"")</f>
        <v/>
      </c>
      <c r="E2202" s="5" t="str">
        <f>IFERROR(IF(Portafolio_Proyectos!$AQ734="","",Portafolio_Proyectos!$B734),"")</f>
        <v/>
      </c>
      <c r="F2202" s="5" t="str">
        <f>IFERROR(IF(Portafolio_Proyectos!$AQ734="","",Portafolio_Proyectos!$D734),"")</f>
        <v/>
      </c>
      <c r="G2202" s="5" t="str">
        <f>IFERROR(IF(Portafolio_Proyectos!$AQ734="","",Portafolio_Proyectos!$A734),"")</f>
        <v/>
      </c>
      <c r="H2202" s="5" t="str">
        <f>IFERROR(IF(Portafolio_Proyectos!$AQ734="","",Portafolio_Proyectos!$E734),"")</f>
        <v/>
      </c>
    </row>
    <row r="2203" spans="1:8" x14ac:dyDescent="0.35">
      <c r="A2203" s="5" t="str">
        <f>IFERROR(IF(Portafolio_Proyectos!$AR734="","","CAP-"&amp;ROW()-1),"")</f>
        <v/>
      </c>
      <c r="B2203" s="5" t="str">
        <f>IFERROR(IF(Portafolio_Proyectos!$AR734="","",Portafolio_Proyectos!$AR734),"")</f>
        <v/>
      </c>
      <c r="C2203" s="5" t="str">
        <f>IFERROR(IF(Portafolio_Proyectos!$AR734="","","Distintiva"),"")</f>
        <v/>
      </c>
      <c r="D2203" s="5" t="str">
        <f>IFERROR(IF(Portafolio_Proyectos!$AR734="","",Portafolio_Proyectos!$C734),"")</f>
        <v/>
      </c>
      <c r="E2203" s="5" t="str">
        <f>IFERROR(IF(Portafolio_Proyectos!$AR734="","",Portafolio_Proyectos!$B734),"")</f>
        <v/>
      </c>
      <c r="F2203" s="5" t="str">
        <f>IFERROR(IF(Portafolio_Proyectos!$AR734="","",Portafolio_Proyectos!$D734),"")</f>
        <v/>
      </c>
      <c r="G2203" s="5" t="str">
        <f>IFERROR(IF(Portafolio_Proyectos!$AR734="","",Portafolio_Proyectos!$A734),"")</f>
        <v/>
      </c>
      <c r="H2203" s="5" t="str">
        <f>IFERROR(IF(Portafolio_Proyectos!$AR734="","",Portafolio_Proyectos!$E734),"")</f>
        <v/>
      </c>
    </row>
    <row r="2204" spans="1:8" x14ac:dyDescent="0.35">
      <c r="A2204" s="5" t="str">
        <f>IFERROR(IF(Portafolio_Proyectos!$AP735="","","CAP-"&amp;ROW()-1),"")</f>
        <v/>
      </c>
      <c r="B2204" s="5" t="str">
        <f>IFERROR(IF(Portafolio_Proyectos!$AP735="","",Portafolio_Proyectos!$AP735),"")</f>
        <v/>
      </c>
      <c r="C2204" s="5" t="str">
        <f>IFERROR(IF(Portafolio_Proyectos!$AP735="","","Emergente"),"")</f>
        <v/>
      </c>
      <c r="D2204" s="5" t="str">
        <f>IFERROR(IF(Portafolio_Proyectos!$AP735="","",Portafolio_Proyectos!$C735),"")</f>
        <v/>
      </c>
      <c r="E2204" s="5" t="str">
        <f>IFERROR(IF(Portafolio_Proyectos!$AP735="","",Portafolio_Proyectos!$B735),"")</f>
        <v/>
      </c>
      <c r="F2204" s="5" t="str">
        <f>IFERROR(IF(Portafolio_Proyectos!$AP735="","",Portafolio_Proyectos!$D735),"")</f>
        <v/>
      </c>
      <c r="G2204" s="5" t="str">
        <f>IFERROR(IF(Portafolio_Proyectos!$AP735="","",Portafolio_Proyectos!$A735),"")</f>
        <v/>
      </c>
      <c r="H2204" s="5" t="str">
        <f>IFERROR(IF(Portafolio_Proyectos!$AP735="","",Portafolio_Proyectos!$E735),"")</f>
        <v/>
      </c>
    </row>
    <row r="2205" spans="1:8" x14ac:dyDescent="0.35">
      <c r="A2205" s="5" t="str">
        <f>IFERROR(IF(Portafolio_Proyectos!$AQ735="","","CAP-"&amp;ROW()-1),"")</f>
        <v/>
      </c>
      <c r="B2205" s="5" t="str">
        <f>IFERROR(IF(Portafolio_Proyectos!$AQ735="","",Portafolio_Proyectos!$AQ735),"")</f>
        <v/>
      </c>
      <c r="C2205" s="5" t="str">
        <f>IFERROR(IF(Portafolio_Proyectos!$AQ735="","","Consolidada"),"")</f>
        <v/>
      </c>
      <c r="D2205" s="5" t="str">
        <f>IFERROR(IF(Portafolio_Proyectos!$AQ735="","",Portafolio_Proyectos!$C735),"")</f>
        <v/>
      </c>
      <c r="E2205" s="5" t="str">
        <f>IFERROR(IF(Portafolio_Proyectos!$AQ735="","",Portafolio_Proyectos!$B735),"")</f>
        <v/>
      </c>
      <c r="F2205" s="5" t="str">
        <f>IFERROR(IF(Portafolio_Proyectos!$AQ735="","",Portafolio_Proyectos!$D735),"")</f>
        <v/>
      </c>
      <c r="G2205" s="5" t="str">
        <f>IFERROR(IF(Portafolio_Proyectos!$AQ735="","",Portafolio_Proyectos!$A735),"")</f>
        <v/>
      </c>
      <c r="H2205" s="5" t="str">
        <f>IFERROR(IF(Portafolio_Proyectos!$AQ735="","",Portafolio_Proyectos!$E735),"")</f>
        <v/>
      </c>
    </row>
    <row r="2206" spans="1:8" x14ac:dyDescent="0.35">
      <c r="A2206" s="5" t="str">
        <f>IFERROR(IF(Portafolio_Proyectos!$AR735="","","CAP-"&amp;ROW()-1),"")</f>
        <v/>
      </c>
      <c r="B2206" s="5" t="str">
        <f>IFERROR(IF(Portafolio_Proyectos!$AR735="","",Portafolio_Proyectos!$AR735),"")</f>
        <v/>
      </c>
      <c r="C2206" s="5" t="str">
        <f>IFERROR(IF(Portafolio_Proyectos!$AR735="","","Distintiva"),"")</f>
        <v/>
      </c>
      <c r="D2206" s="5" t="str">
        <f>IFERROR(IF(Portafolio_Proyectos!$AR735="","",Portafolio_Proyectos!$C735),"")</f>
        <v/>
      </c>
      <c r="E2206" s="5" t="str">
        <f>IFERROR(IF(Portafolio_Proyectos!$AR735="","",Portafolio_Proyectos!$B735),"")</f>
        <v/>
      </c>
      <c r="F2206" s="5" t="str">
        <f>IFERROR(IF(Portafolio_Proyectos!$AR735="","",Portafolio_Proyectos!$D735),"")</f>
        <v/>
      </c>
      <c r="G2206" s="5" t="str">
        <f>IFERROR(IF(Portafolio_Proyectos!$AR735="","",Portafolio_Proyectos!$A735),"")</f>
        <v/>
      </c>
      <c r="H2206" s="5" t="str">
        <f>IFERROR(IF(Portafolio_Proyectos!$AR735="","",Portafolio_Proyectos!$E735),"")</f>
        <v/>
      </c>
    </row>
    <row r="2207" spans="1:8" x14ac:dyDescent="0.35">
      <c r="A2207" s="5" t="str">
        <f>IFERROR(IF(Portafolio_Proyectos!$AP736="","","CAP-"&amp;ROW()-1),"")</f>
        <v/>
      </c>
      <c r="B2207" s="5" t="str">
        <f>IFERROR(IF(Portafolio_Proyectos!$AP736="","",Portafolio_Proyectos!$AP736),"")</f>
        <v/>
      </c>
      <c r="C2207" s="5" t="str">
        <f>IFERROR(IF(Portafolio_Proyectos!$AP736="","","Emergente"),"")</f>
        <v/>
      </c>
      <c r="D2207" s="5" t="str">
        <f>IFERROR(IF(Portafolio_Proyectos!$AP736="","",Portafolio_Proyectos!$C736),"")</f>
        <v/>
      </c>
      <c r="E2207" s="5" t="str">
        <f>IFERROR(IF(Portafolio_Proyectos!$AP736="","",Portafolio_Proyectos!$B736),"")</f>
        <v/>
      </c>
      <c r="F2207" s="5" t="str">
        <f>IFERROR(IF(Portafolio_Proyectos!$AP736="","",Portafolio_Proyectos!$D736),"")</f>
        <v/>
      </c>
      <c r="G2207" s="5" t="str">
        <f>IFERROR(IF(Portafolio_Proyectos!$AP736="","",Portafolio_Proyectos!$A736),"")</f>
        <v/>
      </c>
      <c r="H2207" s="5" t="str">
        <f>IFERROR(IF(Portafolio_Proyectos!$AP736="","",Portafolio_Proyectos!$E736),"")</f>
        <v/>
      </c>
    </row>
    <row r="2208" spans="1:8" x14ac:dyDescent="0.35">
      <c r="A2208" s="5" t="str">
        <f>IFERROR(IF(Portafolio_Proyectos!$AQ736="","","CAP-"&amp;ROW()-1),"")</f>
        <v/>
      </c>
      <c r="B2208" s="5" t="str">
        <f>IFERROR(IF(Portafolio_Proyectos!$AQ736="","",Portafolio_Proyectos!$AQ736),"")</f>
        <v/>
      </c>
      <c r="C2208" s="5" t="str">
        <f>IFERROR(IF(Portafolio_Proyectos!$AQ736="","","Consolidada"),"")</f>
        <v/>
      </c>
      <c r="D2208" s="5" t="str">
        <f>IFERROR(IF(Portafolio_Proyectos!$AQ736="","",Portafolio_Proyectos!$C736),"")</f>
        <v/>
      </c>
      <c r="E2208" s="5" t="str">
        <f>IFERROR(IF(Portafolio_Proyectos!$AQ736="","",Portafolio_Proyectos!$B736),"")</f>
        <v/>
      </c>
      <c r="F2208" s="5" t="str">
        <f>IFERROR(IF(Portafolio_Proyectos!$AQ736="","",Portafolio_Proyectos!$D736),"")</f>
        <v/>
      </c>
      <c r="G2208" s="5" t="str">
        <f>IFERROR(IF(Portafolio_Proyectos!$AQ736="","",Portafolio_Proyectos!$A736),"")</f>
        <v/>
      </c>
      <c r="H2208" s="5" t="str">
        <f>IFERROR(IF(Portafolio_Proyectos!$AQ736="","",Portafolio_Proyectos!$E736),"")</f>
        <v/>
      </c>
    </row>
    <row r="2209" spans="1:8" x14ac:dyDescent="0.35">
      <c r="A2209" s="5" t="str">
        <f>IFERROR(IF(Portafolio_Proyectos!$AR736="","","CAP-"&amp;ROW()-1),"")</f>
        <v/>
      </c>
      <c r="B2209" s="5" t="str">
        <f>IFERROR(IF(Portafolio_Proyectos!$AR736="","",Portafolio_Proyectos!$AR736),"")</f>
        <v/>
      </c>
      <c r="C2209" s="5" t="str">
        <f>IFERROR(IF(Portafolio_Proyectos!$AR736="","","Distintiva"),"")</f>
        <v/>
      </c>
      <c r="D2209" s="5" t="str">
        <f>IFERROR(IF(Portafolio_Proyectos!$AR736="","",Portafolio_Proyectos!$C736),"")</f>
        <v/>
      </c>
      <c r="E2209" s="5" t="str">
        <f>IFERROR(IF(Portafolio_Proyectos!$AR736="","",Portafolio_Proyectos!$B736),"")</f>
        <v/>
      </c>
      <c r="F2209" s="5" t="str">
        <f>IFERROR(IF(Portafolio_Proyectos!$AR736="","",Portafolio_Proyectos!$D736),"")</f>
        <v/>
      </c>
      <c r="G2209" s="5" t="str">
        <f>IFERROR(IF(Portafolio_Proyectos!$AR736="","",Portafolio_Proyectos!$A736),"")</f>
        <v/>
      </c>
      <c r="H2209" s="5" t="str">
        <f>IFERROR(IF(Portafolio_Proyectos!$AR736="","",Portafolio_Proyectos!$E736),"")</f>
        <v/>
      </c>
    </row>
    <row r="2210" spans="1:8" x14ac:dyDescent="0.35">
      <c r="A2210" s="5" t="str">
        <f>IFERROR(IF(Portafolio_Proyectos!$AP737="","","CAP-"&amp;ROW()-1),"")</f>
        <v/>
      </c>
      <c r="B2210" s="5" t="str">
        <f>IFERROR(IF(Portafolio_Proyectos!$AP737="","",Portafolio_Proyectos!$AP737),"")</f>
        <v/>
      </c>
      <c r="C2210" s="5" t="str">
        <f>IFERROR(IF(Portafolio_Proyectos!$AP737="","","Emergente"),"")</f>
        <v/>
      </c>
      <c r="D2210" s="5" t="str">
        <f>IFERROR(IF(Portafolio_Proyectos!$AP737="","",Portafolio_Proyectos!$C737),"")</f>
        <v/>
      </c>
      <c r="E2210" s="5" t="str">
        <f>IFERROR(IF(Portafolio_Proyectos!$AP737="","",Portafolio_Proyectos!$B737),"")</f>
        <v/>
      </c>
      <c r="F2210" s="5" t="str">
        <f>IFERROR(IF(Portafolio_Proyectos!$AP737="","",Portafolio_Proyectos!$D737),"")</f>
        <v/>
      </c>
      <c r="G2210" s="5" t="str">
        <f>IFERROR(IF(Portafolio_Proyectos!$AP737="","",Portafolio_Proyectos!$A737),"")</f>
        <v/>
      </c>
      <c r="H2210" s="5" t="str">
        <f>IFERROR(IF(Portafolio_Proyectos!$AP737="","",Portafolio_Proyectos!$E737),"")</f>
        <v/>
      </c>
    </row>
    <row r="2211" spans="1:8" x14ac:dyDescent="0.35">
      <c r="A2211" s="5" t="str">
        <f>IFERROR(IF(Portafolio_Proyectos!$AQ737="","","CAP-"&amp;ROW()-1),"")</f>
        <v/>
      </c>
      <c r="B2211" s="5" t="str">
        <f>IFERROR(IF(Portafolio_Proyectos!$AQ737="","",Portafolio_Proyectos!$AQ737),"")</f>
        <v/>
      </c>
      <c r="C2211" s="5" t="str">
        <f>IFERROR(IF(Portafolio_Proyectos!$AQ737="","","Consolidada"),"")</f>
        <v/>
      </c>
      <c r="D2211" s="5" t="str">
        <f>IFERROR(IF(Portafolio_Proyectos!$AQ737="","",Portafolio_Proyectos!$C737),"")</f>
        <v/>
      </c>
      <c r="E2211" s="5" t="str">
        <f>IFERROR(IF(Portafolio_Proyectos!$AQ737="","",Portafolio_Proyectos!$B737),"")</f>
        <v/>
      </c>
      <c r="F2211" s="5" t="str">
        <f>IFERROR(IF(Portafolio_Proyectos!$AQ737="","",Portafolio_Proyectos!$D737),"")</f>
        <v/>
      </c>
      <c r="G2211" s="5" t="str">
        <f>IFERROR(IF(Portafolio_Proyectos!$AQ737="","",Portafolio_Proyectos!$A737),"")</f>
        <v/>
      </c>
      <c r="H2211" s="5" t="str">
        <f>IFERROR(IF(Portafolio_Proyectos!$AQ737="","",Portafolio_Proyectos!$E737),"")</f>
        <v/>
      </c>
    </row>
    <row r="2212" spans="1:8" x14ac:dyDescent="0.35">
      <c r="A2212" s="5" t="str">
        <f>IFERROR(IF(Portafolio_Proyectos!$AR737="","","CAP-"&amp;ROW()-1),"")</f>
        <v/>
      </c>
      <c r="B2212" s="5" t="str">
        <f>IFERROR(IF(Portafolio_Proyectos!$AR737="","",Portafolio_Proyectos!$AR737),"")</f>
        <v/>
      </c>
      <c r="C2212" s="5" t="str">
        <f>IFERROR(IF(Portafolio_Proyectos!$AR737="","","Distintiva"),"")</f>
        <v/>
      </c>
      <c r="D2212" s="5" t="str">
        <f>IFERROR(IF(Portafolio_Proyectos!$AR737="","",Portafolio_Proyectos!$C737),"")</f>
        <v/>
      </c>
      <c r="E2212" s="5" t="str">
        <f>IFERROR(IF(Portafolio_Proyectos!$AR737="","",Portafolio_Proyectos!$B737),"")</f>
        <v/>
      </c>
      <c r="F2212" s="5" t="str">
        <f>IFERROR(IF(Portafolio_Proyectos!$AR737="","",Portafolio_Proyectos!$D737),"")</f>
        <v/>
      </c>
      <c r="G2212" s="5" t="str">
        <f>IFERROR(IF(Portafolio_Proyectos!$AR737="","",Portafolio_Proyectos!$A737),"")</f>
        <v/>
      </c>
      <c r="H2212" s="5" t="str">
        <f>IFERROR(IF(Portafolio_Proyectos!$AR737="","",Portafolio_Proyectos!$E737),"")</f>
        <v/>
      </c>
    </row>
    <row r="2213" spans="1:8" x14ac:dyDescent="0.35">
      <c r="A2213" s="5" t="str">
        <f>IFERROR(IF(Portafolio_Proyectos!$AP738="","","CAP-"&amp;ROW()-1),"")</f>
        <v/>
      </c>
      <c r="B2213" s="5" t="str">
        <f>IFERROR(IF(Portafolio_Proyectos!$AP738="","",Portafolio_Proyectos!$AP738),"")</f>
        <v/>
      </c>
      <c r="C2213" s="5" t="str">
        <f>IFERROR(IF(Portafolio_Proyectos!$AP738="","","Emergente"),"")</f>
        <v/>
      </c>
      <c r="D2213" s="5" t="str">
        <f>IFERROR(IF(Portafolio_Proyectos!$AP738="","",Portafolio_Proyectos!$C738),"")</f>
        <v/>
      </c>
      <c r="E2213" s="5" t="str">
        <f>IFERROR(IF(Portafolio_Proyectos!$AP738="","",Portafolio_Proyectos!$B738),"")</f>
        <v/>
      </c>
      <c r="F2213" s="5" t="str">
        <f>IFERROR(IF(Portafolio_Proyectos!$AP738="","",Portafolio_Proyectos!$D738),"")</f>
        <v/>
      </c>
      <c r="G2213" s="5" t="str">
        <f>IFERROR(IF(Portafolio_Proyectos!$AP738="","",Portafolio_Proyectos!$A738),"")</f>
        <v/>
      </c>
      <c r="H2213" s="5" t="str">
        <f>IFERROR(IF(Portafolio_Proyectos!$AP738="","",Portafolio_Proyectos!$E738),"")</f>
        <v/>
      </c>
    </row>
    <row r="2214" spans="1:8" x14ac:dyDescent="0.35">
      <c r="A2214" s="5" t="str">
        <f>IFERROR(IF(Portafolio_Proyectos!$AQ738="","","CAP-"&amp;ROW()-1),"")</f>
        <v/>
      </c>
      <c r="B2214" s="5" t="str">
        <f>IFERROR(IF(Portafolio_Proyectos!$AQ738="","",Portafolio_Proyectos!$AQ738),"")</f>
        <v/>
      </c>
      <c r="C2214" s="5" t="str">
        <f>IFERROR(IF(Portafolio_Proyectos!$AQ738="","","Consolidada"),"")</f>
        <v/>
      </c>
      <c r="D2214" s="5" t="str">
        <f>IFERROR(IF(Portafolio_Proyectos!$AQ738="","",Portafolio_Proyectos!$C738),"")</f>
        <v/>
      </c>
      <c r="E2214" s="5" t="str">
        <f>IFERROR(IF(Portafolio_Proyectos!$AQ738="","",Portafolio_Proyectos!$B738),"")</f>
        <v/>
      </c>
      <c r="F2214" s="5" t="str">
        <f>IFERROR(IF(Portafolio_Proyectos!$AQ738="","",Portafolio_Proyectos!$D738),"")</f>
        <v/>
      </c>
      <c r="G2214" s="5" t="str">
        <f>IFERROR(IF(Portafolio_Proyectos!$AQ738="","",Portafolio_Proyectos!$A738),"")</f>
        <v/>
      </c>
      <c r="H2214" s="5" t="str">
        <f>IFERROR(IF(Portafolio_Proyectos!$AQ738="","",Portafolio_Proyectos!$E738),"")</f>
        <v/>
      </c>
    </row>
    <row r="2215" spans="1:8" x14ac:dyDescent="0.35">
      <c r="A2215" s="5" t="str">
        <f>IFERROR(IF(Portafolio_Proyectos!$AR738="","","CAP-"&amp;ROW()-1),"")</f>
        <v/>
      </c>
      <c r="B2215" s="5" t="str">
        <f>IFERROR(IF(Portafolio_Proyectos!$AR738="","",Portafolio_Proyectos!$AR738),"")</f>
        <v/>
      </c>
      <c r="C2215" s="5" t="str">
        <f>IFERROR(IF(Portafolio_Proyectos!$AR738="","","Distintiva"),"")</f>
        <v/>
      </c>
      <c r="D2215" s="5" t="str">
        <f>IFERROR(IF(Portafolio_Proyectos!$AR738="","",Portafolio_Proyectos!$C738),"")</f>
        <v/>
      </c>
      <c r="E2215" s="5" t="str">
        <f>IFERROR(IF(Portafolio_Proyectos!$AR738="","",Portafolio_Proyectos!$B738),"")</f>
        <v/>
      </c>
      <c r="F2215" s="5" t="str">
        <f>IFERROR(IF(Portafolio_Proyectos!$AR738="","",Portafolio_Proyectos!$D738),"")</f>
        <v/>
      </c>
      <c r="G2215" s="5" t="str">
        <f>IFERROR(IF(Portafolio_Proyectos!$AR738="","",Portafolio_Proyectos!$A738),"")</f>
        <v/>
      </c>
      <c r="H2215" s="5" t="str">
        <f>IFERROR(IF(Portafolio_Proyectos!$AR738="","",Portafolio_Proyectos!$E738),"")</f>
        <v/>
      </c>
    </row>
    <row r="2216" spans="1:8" x14ac:dyDescent="0.35">
      <c r="A2216" s="5" t="str">
        <f>IFERROR(IF(Portafolio_Proyectos!$AP739="","","CAP-"&amp;ROW()-1),"")</f>
        <v/>
      </c>
      <c r="B2216" s="5" t="str">
        <f>IFERROR(IF(Portafolio_Proyectos!$AP739="","",Portafolio_Proyectos!$AP739),"")</f>
        <v/>
      </c>
      <c r="C2216" s="5" t="str">
        <f>IFERROR(IF(Portafolio_Proyectos!$AP739="","","Emergente"),"")</f>
        <v/>
      </c>
      <c r="D2216" s="5" t="str">
        <f>IFERROR(IF(Portafolio_Proyectos!$AP739="","",Portafolio_Proyectos!$C739),"")</f>
        <v/>
      </c>
      <c r="E2216" s="5" t="str">
        <f>IFERROR(IF(Portafolio_Proyectos!$AP739="","",Portafolio_Proyectos!$B739),"")</f>
        <v/>
      </c>
      <c r="F2216" s="5" t="str">
        <f>IFERROR(IF(Portafolio_Proyectos!$AP739="","",Portafolio_Proyectos!$D739),"")</f>
        <v/>
      </c>
      <c r="G2216" s="5" t="str">
        <f>IFERROR(IF(Portafolio_Proyectos!$AP739="","",Portafolio_Proyectos!$A739),"")</f>
        <v/>
      </c>
      <c r="H2216" s="5" t="str">
        <f>IFERROR(IF(Portafolio_Proyectos!$AP739="","",Portafolio_Proyectos!$E739),"")</f>
        <v/>
      </c>
    </row>
    <row r="2217" spans="1:8" x14ac:dyDescent="0.35">
      <c r="A2217" s="5" t="str">
        <f>IFERROR(IF(Portafolio_Proyectos!$AQ739="","","CAP-"&amp;ROW()-1),"")</f>
        <v/>
      </c>
      <c r="B2217" s="5" t="str">
        <f>IFERROR(IF(Portafolio_Proyectos!$AQ739="","",Portafolio_Proyectos!$AQ739),"")</f>
        <v/>
      </c>
      <c r="C2217" s="5" t="str">
        <f>IFERROR(IF(Portafolio_Proyectos!$AQ739="","","Consolidada"),"")</f>
        <v/>
      </c>
      <c r="D2217" s="5" t="str">
        <f>IFERROR(IF(Portafolio_Proyectos!$AQ739="","",Portafolio_Proyectos!$C739),"")</f>
        <v/>
      </c>
      <c r="E2217" s="5" t="str">
        <f>IFERROR(IF(Portafolio_Proyectos!$AQ739="","",Portafolio_Proyectos!$B739),"")</f>
        <v/>
      </c>
      <c r="F2217" s="5" t="str">
        <f>IFERROR(IF(Portafolio_Proyectos!$AQ739="","",Portafolio_Proyectos!$D739),"")</f>
        <v/>
      </c>
      <c r="G2217" s="5" t="str">
        <f>IFERROR(IF(Portafolio_Proyectos!$AQ739="","",Portafolio_Proyectos!$A739),"")</f>
        <v/>
      </c>
      <c r="H2217" s="5" t="str">
        <f>IFERROR(IF(Portafolio_Proyectos!$AQ739="","",Portafolio_Proyectos!$E739),"")</f>
        <v/>
      </c>
    </row>
    <row r="2218" spans="1:8" x14ac:dyDescent="0.35">
      <c r="A2218" s="5" t="str">
        <f>IFERROR(IF(Portafolio_Proyectos!$AR739="","","CAP-"&amp;ROW()-1),"")</f>
        <v/>
      </c>
      <c r="B2218" s="5" t="str">
        <f>IFERROR(IF(Portafolio_Proyectos!$AR739="","",Portafolio_Proyectos!$AR739),"")</f>
        <v/>
      </c>
      <c r="C2218" s="5" t="str">
        <f>IFERROR(IF(Portafolio_Proyectos!$AR739="","","Distintiva"),"")</f>
        <v/>
      </c>
      <c r="D2218" s="5" t="str">
        <f>IFERROR(IF(Portafolio_Proyectos!$AR739="","",Portafolio_Proyectos!$C739),"")</f>
        <v/>
      </c>
      <c r="E2218" s="5" t="str">
        <f>IFERROR(IF(Portafolio_Proyectos!$AR739="","",Portafolio_Proyectos!$B739),"")</f>
        <v/>
      </c>
      <c r="F2218" s="5" t="str">
        <f>IFERROR(IF(Portafolio_Proyectos!$AR739="","",Portafolio_Proyectos!$D739),"")</f>
        <v/>
      </c>
      <c r="G2218" s="5" t="str">
        <f>IFERROR(IF(Portafolio_Proyectos!$AR739="","",Portafolio_Proyectos!$A739),"")</f>
        <v/>
      </c>
      <c r="H2218" s="5" t="str">
        <f>IFERROR(IF(Portafolio_Proyectos!$AR739="","",Portafolio_Proyectos!$E739),"")</f>
        <v/>
      </c>
    </row>
    <row r="2219" spans="1:8" x14ac:dyDescent="0.35">
      <c r="A2219" s="5" t="str">
        <f>IFERROR(IF(Portafolio_Proyectos!$AP740="","","CAP-"&amp;ROW()-1),"")</f>
        <v/>
      </c>
      <c r="B2219" s="5" t="str">
        <f>IFERROR(IF(Portafolio_Proyectos!$AP740="","",Portafolio_Proyectos!$AP740),"")</f>
        <v/>
      </c>
      <c r="C2219" s="5" t="str">
        <f>IFERROR(IF(Portafolio_Proyectos!$AP740="","","Emergente"),"")</f>
        <v/>
      </c>
      <c r="D2219" s="5" t="str">
        <f>IFERROR(IF(Portafolio_Proyectos!$AP740="","",Portafolio_Proyectos!$C740),"")</f>
        <v/>
      </c>
      <c r="E2219" s="5" t="str">
        <f>IFERROR(IF(Portafolio_Proyectos!$AP740="","",Portafolio_Proyectos!$B740),"")</f>
        <v/>
      </c>
      <c r="F2219" s="5" t="str">
        <f>IFERROR(IF(Portafolio_Proyectos!$AP740="","",Portafolio_Proyectos!$D740),"")</f>
        <v/>
      </c>
      <c r="G2219" s="5" t="str">
        <f>IFERROR(IF(Portafolio_Proyectos!$AP740="","",Portafolio_Proyectos!$A740),"")</f>
        <v/>
      </c>
      <c r="H2219" s="5" t="str">
        <f>IFERROR(IF(Portafolio_Proyectos!$AP740="","",Portafolio_Proyectos!$E740),"")</f>
        <v/>
      </c>
    </row>
    <row r="2220" spans="1:8" x14ac:dyDescent="0.35">
      <c r="A2220" s="5" t="str">
        <f>IFERROR(IF(Portafolio_Proyectos!$AQ740="","","CAP-"&amp;ROW()-1),"")</f>
        <v/>
      </c>
      <c r="B2220" s="5" t="str">
        <f>IFERROR(IF(Portafolio_Proyectos!$AQ740="","",Portafolio_Proyectos!$AQ740),"")</f>
        <v/>
      </c>
      <c r="C2220" s="5" t="str">
        <f>IFERROR(IF(Portafolio_Proyectos!$AQ740="","","Consolidada"),"")</f>
        <v/>
      </c>
      <c r="D2220" s="5" t="str">
        <f>IFERROR(IF(Portafolio_Proyectos!$AQ740="","",Portafolio_Proyectos!$C740),"")</f>
        <v/>
      </c>
      <c r="E2220" s="5" t="str">
        <f>IFERROR(IF(Portafolio_Proyectos!$AQ740="","",Portafolio_Proyectos!$B740),"")</f>
        <v/>
      </c>
      <c r="F2220" s="5" t="str">
        <f>IFERROR(IF(Portafolio_Proyectos!$AQ740="","",Portafolio_Proyectos!$D740),"")</f>
        <v/>
      </c>
      <c r="G2220" s="5" t="str">
        <f>IFERROR(IF(Portafolio_Proyectos!$AQ740="","",Portafolio_Proyectos!$A740),"")</f>
        <v/>
      </c>
      <c r="H2220" s="5" t="str">
        <f>IFERROR(IF(Portafolio_Proyectos!$AQ740="","",Portafolio_Proyectos!$E740),"")</f>
        <v/>
      </c>
    </row>
    <row r="2221" spans="1:8" x14ac:dyDescent="0.35">
      <c r="A2221" s="5" t="str">
        <f>IFERROR(IF(Portafolio_Proyectos!$AR740="","","CAP-"&amp;ROW()-1),"")</f>
        <v/>
      </c>
      <c r="B2221" s="5" t="str">
        <f>IFERROR(IF(Portafolio_Proyectos!$AR740="","",Portafolio_Proyectos!$AR740),"")</f>
        <v/>
      </c>
      <c r="C2221" s="5" t="str">
        <f>IFERROR(IF(Portafolio_Proyectos!$AR740="","","Distintiva"),"")</f>
        <v/>
      </c>
      <c r="D2221" s="5" t="str">
        <f>IFERROR(IF(Portafolio_Proyectos!$AR740="","",Portafolio_Proyectos!$C740),"")</f>
        <v/>
      </c>
      <c r="E2221" s="5" t="str">
        <f>IFERROR(IF(Portafolio_Proyectos!$AR740="","",Portafolio_Proyectos!$B740),"")</f>
        <v/>
      </c>
      <c r="F2221" s="5" t="str">
        <f>IFERROR(IF(Portafolio_Proyectos!$AR740="","",Portafolio_Proyectos!$D740),"")</f>
        <v/>
      </c>
      <c r="G2221" s="5" t="str">
        <f>IFERROR(IF(Portafolio_Proyectos!$AR740="","",Portafolio_Proyectos!$A740),"")</f>
        <v/>
      </c>
      <c r="H2221" s="5" t="str">
        <f>IFERROR(IF(Portafolio_Proyectos!$AR740="","",Portafolio_Proyectos!$E740),"")</f>
        <v/>
      </c>
    </row>
    <row r="2222" spans="1:8" x14ac:dyDescent="0.35">
      <c r="A2222" s="5" t="str">
        <f>IFERROR(IF(Portafolio_Proyectos!$AP741="","","CAP-"&amp;ROW()-1),"")</f>
        <v/>
      </c>
      <c r="B2222" s="5" t="str">
        <f>IFERROR(IF(Portafolio_Proyectos!$AP741="","",Portafolio_Proyectos!$AP741),"")</f>
        <v/>
      </c>
      <c r="C2222" s="5" t="str">
        <f>IFERROR(IF(Portafolio_Proyectos!$AP741="","","Emergente"),"")</f>
        <v/>
      </c>
      <c r="D2222" s="5" t="str">
        <f>IFERROR(IF(Portafolio_Proyectos!$AP741="","",Portafolio_Proyectos!$C741),"")</f>
        <v/>
      </c>
      <c r="E2222" s="5" t="str">
        <f>IFERROR(IF(Portafolio_Proyectos!$AP741="","",Portafolio_Proyectos!$B741),"")</f>
        <v/>
      </c>
      <c r="F2222" s="5" t="str">
        <f>IFERROR(IF(Portafolio_Proyectos!$AP741="","",Portafolio_Proyectos!$D741),"")</f>
        <v/>
      </c>
      <c r="G2222" s="5" t="str">
        <f>IFERROR(IF(Portafolio_Proyectos!$AP741="","",Portafolio_Proyectos!$A741),"")</f>
        <v/>
      </c>
      <c r="H2222" s="5" t="str">
        <f>IFERROR(IF(Portafolio_Proyectos!$AP741="","",Portafolio_Proyectos!$E741),"")</f>
        <v/>
      </c>
    </row>
    <row r="2223" spans="1:8" x14ac:dyDescent="0.35">
      <c r="A2223" s="5" t="str">
        <f>IFERROR(IF(Portafolio_Proyectos!$AQ741="","","CAP-"&amp;ROW()-1),"")</f>
        <v/>
      </c>
      <c r="B2223" s="5" t="str">
        <f>IFERROR(IF(Portafolio_Proyectos!$AQ741="","",Portafolio_Proyectos!$AQ741),"")</f>
        <v/>
      </c>
      <c r="C2223" s="5" t="str">
        <f>IFERROR(IF(Portafolio_Proyectos!$AQ741="","","Consolidada"),"")</f>
        <v/>
      </c>
      <c r="D2223" s="5" t="str">
        <f>IFERROR(IF(Portafolio_Proyectos!$AQ741="","",Portafolio_Proyectos!$C741),"")</f>
        <v/>
      </c>
      <c r="E2223" s="5" t="str">
        <f>IFERROR(IF(Portafolio_Proyectos!$AQ741="","",Portafolio_Proyectos!$B741),"")</f>
        <v/>
      </c>
      <c r="F2223" s="5" t="str">
        <f>IFERROR(IF(Portafolio_Proyectos!$AQ741="","",Portafolio_Proyectos!$D741),"")</f>
        <v/>
      </c>
      <c r="G2223" s="5" t="str">
        <f>IFERROR(IF(Portafolio_Proyectos!$AQ741="","",Portafolio_Proyectos!$A741),"")</f>
        <v/>
      </c>
      <c r="H2223" s="5" t="str">
        <f>IFERROR(IF(Portafolio_Proyectos!$AQ741="","",Portafolio_Proyectos!$E741),"")</f>
        <v/>
      </c>
    </row>
    <row r="2224" spans="1:8" x14ac:dyDescent="0.35">
      <c r="A2224" s="5" t="str">
        <f>IFERROR(IF(Portafolio_Proyectos!$AR741="","","CAP-"&amp;ROW()-1),"")</f>
        <v/>
      </c>
      <c r="B2224" s="5" t="str">
        <f>IFERROR(IF(Portafolio_Proyectos!$AR741="","",Portafolio_Proyectos!$AR741),"")</f>
        <v/>
      </c>
      <c r="C2224" s="5" t="str">
        <f>IFERROR(IF(Portafolio_Proyectos!$AR741="","","Distintiva"),"")</f>
        <v/>
      </c>
      <c r="D2224" s="5" t="str">
        <f>IFERROR(IF(Portafolio_Proyectos!$AR741="","",Portafolio_Proyectos!$C741),"")</f>
        <v/>
      </c>
      <c r="E2224" s="5" t="str">
        <f>IFERROR(IF(Portafolio_Proyectos!$AR741="","",Portafolio_Proyectos!$B741),"")</f>
        <v/>
      </c>
      <c r="F2224" s="5" t="str">
        <f>IFERROR(IF(Portafolio_Proyectos!$AR741="","",Portafolio_Proyectos!$D741),"")</f>
        <v/>
      </c>
      <c r="G2224" s="5" t="str">
        <f>IFERROR(IF(Portafolio_Proyectos!$AR741="","",Portafolio_Proyectos!$A741),"")</f>
        <v/>
      </c>
      <c r="H2224" s="5" t="str">
        <f>IFERROR(IF(Portafolio_Proyectos!$AR741="","",Portafolio_Proyectos!$E741),"")</f>
        <v/>
      </c>
    </row>
    <row r="2225" spans="1:8" x14ac:dyDescent="0.35">
      <c r="A2225" s="5" t="str">
        <f>IFERROR(IF(Portafolio_Proyectos!$AP742="","","CAP-"&amp;ROW()-1),"")</f>
        <v/>
      </c>
      <c r="B2225" s="5" t="str">
        <f>IFERROR(IF(Portafolio_Proyectos!$AP742="","",Portafolio_Proyectos!$AP742),"")</f>
        <v/>
      </c>
      <c r="C2225" s="5" t="str">
        <f>IFERROR(IF(Portafolio_Proyectos!$AP742="","","Emergente"),"")</f>
        <v/>
      </c>
      <c r="D2225" s="5" t="str">
        <f>IFERROR(IF(Portafolio_Proyectos!$AP742="","",Portafolio_Proyectos!$C742),"")</f>
        <v/>
      </c>
      <c r="E2225" s="5" t="str">
        <f>IFERROR(IF(Portafolio_Proyectos!$AP742="","",Portafolio_Proyectos!$B742),"")</f>
        <v/>
      </c>
      <c r="F2225" s="5" t="str">
        <f>IFERROR(IF(Portafolio_Proyectos!$AP742="","",Portafolio_Proyectos!$D742),"")</f>
        <v/>
      </c>
      <c r="G2225" s="5" t="str">
        <f>IFERROR(IF(Portafolio_Proyectos!$AP742="","",Portafolio_Proyectos!$A742),"")</f>
        <v/>
      </c>
      <c r="H2225" s="5" t="str">
        <f>IFERROR(IF(Portafolio_Proyectos!$AP742="","",Portafolio_Proyectos!$E742),"")</f>
        <v/>
      </c>
    </row>
    <row r="2226" spans="1:8" x14ac:dyDescent="0.35">
      <c r="A2226" s="5" t="str">
        <f>IFERROR(IF(Portafolio_Proyectos!$AQ742="","","CAP-"&amp;ROW()-1),"")</f>
        <v/>
      </c>
      <c r="B2226" s="5" t="str">
        <f>IFERROR(IF(Portafolio_Proyectos!$AQ742="","",Portafolio_Proyectos!$AQ742),"")</f>
        <v/>
      </c>
      <c r="C2226" s="5" t="str">
        <f>IFERROR(IF(Portafolio_Proyectos!$AQ742="","","Consolidada"),"")</f>
        <v/>
      </c>
      <c r="D2226" s="5" t="str">
        <f>IFERROR(IF(Portafolio_Proyectos!$AQ742="","",Portafolio_Proyectos!$C742),"")</f>
        <v/>
      </c>
      <c r="E2226" s="5" t="str">
        <f>IFERROR(IF(Portafolio_Proyectos!$AQ742="","",Portafolio_Proyectos!$B742),"")</f>
        <v/>
      </c>
      <c r="F2226" s="5" t="str">
        <f>IFERROR(IF(Portafolio_Proyectos!$AQ742="","",Portafolio_Proyectos!$D742),"")</f>
        <v/>
      </c>
      <c r="G2226" s="5" t="str">
        <f>IFERROR(IF(Portafolio_Proyectos!$AQ742="","",Portafolio_Proyectos!$A742),"")</f>
        <v/>
      </c>
      <c r="H2226" s="5" t="str">
        <f>IFERROR(IF(Portafolio_Proyectos!$AQ742="","",Portafolio_Proyectos!$E742),"")</f>
        <v/>
      </c>
    </row>
    <row r="2227" spans="1:8" x14ac:dyDescent="0.35">
      <c r="A2227" s="5" t="str">
        <f>IFERROR(IF(Portafolio_Proyectos!$AR742="","","CAP-"&amp;ROW()-1),"")</f>
        <v/>
      </c>
      <c r="B2227" s="5" t="str">
        <f>IFERROR(IF(Portafolio_Proyectos!$AR742="","",Portafolio_Proyectos!$AR742),"")</f>
        <v/>
      </c>
      <c r="C2227" s="5" t="str">
        <f>IFERROR(IF(Portafolio_Proyectos!$AR742="","","Distintiva"),"")</f>
        <v/>
      </c>
      <c r="D2227" s="5" t="str">
        <f>IFERROR(IF(Portafolio_Proyectos!$AR742="","",Portafolio_Proyectos!$C742),"")</f>
        <v/>
      </c>
      <c r="E2227" s="5" t="str">
        <f>IFERROR(IF(Portafolio_Proyectos!$AR742="","",Portafolio_Proyectos!$B742),"")</f>
        <v/>
      </c>
      <c r="F2227" s="5" t="str">
        <f>IFERROR(IF(Portafolio_Proyectos!$AR742="","",Portafolio_Proyectos!$D742),"")</f>
        <v/>
      </c>
      <c r="G2227" s="5" t="str">
        <f>IFERROR(IF(Portafolio_Proyectos!$AR742="","",Portafolio_Proyectos!$A742),"")</f>
        <v/>
      </c>
      <c r="H2227" s="5" t="str">
        <f>IFERROR(IF(Portafolio_Proyectos!$AR742="","",Portafolio_Proyectos!$E742),"")</f>
        <v/>
      </c>
    </row>
    <row r="2228" spans="1:8" x14ac:dyDescent="0.35">
      <c r="A2228" s="5" t="str">
        <f>IFERROR(IF(Portafolio_Proyectos!$AP743="","","CAP-"&amp;ROW()-1),"")</f>
        <v/>
      </c>
      <c r="B2228" s="5" t="str">
        <f>IFERROR(IF(Portafolio_Proyectos!$AP743="","",Portafolio_Proyectos!$AP743),"")</f>
        <v/>
      </c>
      <c r="C2228" s="5" t="str">
        <f>IFERROR(IF(Portafolio_Proyectos!$AP743="","","Emergente"),"")</f>
        <v/>
      </c>
      <c r="D2228" s="5" t="str">
        <f>IFERROR(IF(Portafolio_Proyectos!$AP743="","",Portafolio_Proyectos!$C743),"")</f>
        <v/>
      </c>
      <c r="E2228" s="5" t="str">
        <f>IFERROR(IF(Portafolio_Proyectos!$AP743="","",Portafolio_Proyectos!$B743),"")</f>
        <v/>
      </c>
      <c r="F2228" s="5" t="str">
        <f>IFERROR(IF(Portafolio_Proyectos!$AP743="","",Portafolio_Proyectos!$D743),"")</f>
        <v/>
      </c>
      <c r="G2228" s="5" t="str">
        <f>IFERROR(IF(Portafolio_Proyectos!$AP743="","",Portafolio_Proyectos!$A743),"")</f>
        <v/>
      </c>
      <c r="H2228" s="5" t="str">
        <f>IFERROR(IF(Portafolio_Proyectos!$AP743="","",Portafolio_Proyectos!$E743),"")</f>
        <v/>
      </c>
    </row>
    <row r="2229" spans="1:8" x14ac:dyDescent="0.35">
      <c r="A2229" s="5" t="str">
        <f>IFERROR(IF(Portafolio_Proyectos!$AQ743="","","CAP-"&amp;ROW()-1),"")</f>
        <v/>
      </c>
      <c r="B2229" s="5" t="str">
        <f>IFERROR(IF(Portafolio_Proyectos!$AQ743="","",Portafolio_Proyectos!$AQ743),"")</f>
        <v/>
      </c>
      <c r="C2229" s="5" t="str">
        <f>IFERROR(IF(Portafolio_Proyectos!$AQ743="","","Consolidada"),"")</f>
        <v/>
      </c>
      <c r="D2229" s="5" t="str">
        <f>IFERROR(IF(Portafolio_Proyectos!$AQ743="","",Portafolio_Proyectos!$C743),"")</f>
        <v/>
      </c>
      <c r="E2229" s="5" t="str">
        <f>IFERROR(IF(Portafolio_Proyectos!$AQ743="","",Portafolio_Proyectos!$B743),"")</f>
        <v/>
      </c>
      <c r="F2229" s="5" t="str">
        <f>IFERROR(IF(Portafolio_Proyectos!$AQ743="","",Portafolio_Proyectos!$D743),"")</f>
        <v/>
      </c>
      <c r="G2229" s="5" t="str">
        <f>IFERROR(IF(Portafolio_Proyectos!$AQ743="","",Portafolio_Proyectos!$A743),"")</f>
        <v/>
      </c>
      <c r="H2229" s="5" t="str">
        <f>IFERROR(IF(Portafolio_Proyectos!$AQ743="","",Portafolio_Proyectos!$E743),"")</f>
        <v/>
      </c>
    </row>
    <row r="2230" spans="1:8" x14ac:dyDescent="0.35">
      <c r="A2230" s="5" t="str">
        <f>IFERROR(IF(Portafolio_Proyectos!$AR743="","","CAP-"&amp;ROW()-1),"")</f>
        <v/>
      </c>
      <c r="B2230" s="5" t="str">
        <f>IFERROR(IF(Portafolio_Proyectos!$AR743="","",Portafolio_Proyectos!$AR743),"")</f>
        <v/>
      </c>
      <c r="C2230" s="5" t="str">
        <f>IFERROR(IF(Portafolio_Proyectos!$AR743="","","Distintiva"),"")</f>
        <v/>
      </c>
      <c r="D2230" s="5" t="str">
        <f>IFERROR(IF(Portafolio_Proyectos!$AR743="","",Portafolio_Proyectos!$C743),"")</f>
        <v/>
      </c>
      <c r="E2230" s="5" t="str">
        <f>IFERROR(IF(Portafolio_Proyectos!$AR743="","",Portafolio_Proyectos!$B743),"")</f>
        <v/>
      </c>
      <c r="F2230" s="5" t="str">
        <f>IFERROR(IF(Portafolio_Proyectos!$AR743="","",Portafolio_Proyectos!$D743),"")</f>
        <v/>
      </c>
      <c r="G2230" s="5" t="str">
        <f>IFERROR(IF(Portafolio_Proyectos!$AR743="","",Portafolio_Proyectos!$A743),"")</f>
        <v/>
      </c>
      <c r="H2230" s="5" t="str">
        <f>IFERROR(IF(Portafolio_Proyectos!$AR743="","",Portafolio_Proyectos!$E743),"")</f>
        <v/>
      </c>
    </row>
    <row r="2231" spans="1:8" x14ac:dyDescent="0.35">
      <c r="A2231" s="5" t="str">
        <f>IFERROR(IF(Portafolio_Proyectos!$AP744="","","CAP-"&amp;ROW()-1),"")</f>
        <v/>
      </c>
      <c r="B2231" s="5" t="str">
        <f>IFERROR(IF(Portafolio_Proyectos!$AP744="","",Portafolio_Proyectos!$AP744),"")</f>
        <v/>
      </c>
      <c r="C2231" s="5" t="str">
        <f>IFERROR(IF(Portafolio_Proyectos!$AP744="","","Emergente"),"")</f>
        <v/>
      </c>
      <c r="D2231" s="5" t="str">
        <f>IFERROR(IF(Portafolio_Proyectos!$AP744="","",Portafolio_Proyectos!$C744),"")</f>
        <v/>
      </c>
      <c r="E2231" s="5" t="str">
        <f>IFERROR(IF(Portafolio_Proyectos!$AP744="","",Portafolio_Proyectos!$B744),"")</f>
        <v/>
      </c>
      <c r="F2231" s="5" t="str">
        <f>IFERROR(IF(Portafolio_Proyectos!$AP744="","",Portafolio_Proyectos!$D744),"")</f>
        <v/>
      </c>
      <c r="G2231" s="5" t="str">
        <f>IFERROR(IF(Portafolio_Proyectos!$AP744="","",Portafolio_Proyectos!$A744),"")</f>
        <v/>
      </c>
      <c r="H2231" s="5" t="str">
        <f>IFERROR(IF(Portafolio_Proyectos!$AP744="","",Portafolio_Proyectos!$E744),"")</f>
        <v/>
      </c>
    </row>
    <row r="2232" spans="1:8" x14ac:dyDescent="0.35">
      <c r="A2232" s="5" t="str">
        <f>IFERROR(IF(Portafolio_Proyectos!$AQ744="","","CAP-"&amp;ROW()-1),"")</f>
        <v/>
      </c>
      <c r="B2232" s="5" t="str">
        <f>IFERROR(IF(Portafolio_Proyectos!$AQ744="","",Portafolio_Proyectos!$AQ744),"")</f>
        <v/>
      </c>
      <c r="C2232" s="5" t="str">
        <f>IFERROR(IF(Portafolio_Proyectos!$AQ744="","","Consolidada"),"")</f>
        <v/>
      </c>
      <c r="D2232" s="5" t="str">
        <f>IFERROR(IF(Portafolio_Proyectos!$AQ744="","",Portafolio_Proyectos!$C744),"")</f>
        <v/>
      </c>
      <c r="E2232" s="5" t="str">
        <f>IFERROR(IF(Portafolio_Proyectos!$AQ744="","",Portafolio_Proyectos!$B744),"")</f>
        <v/>
      </c>
      <c r="F2232" s="5" t="str">
        <f>IFERROR(IF(Portafolio_Proyectos!$AQ744="","",Portafolio_Proyectos!$D744),"")</f>
        <v/>
      </c>
      <c r="G2232" s="5" t="str">
        <f>IFERROR(IF(Portafolio_Proyectos!$AQ744="","",Portafolio_Proyectos!$A744),"")</f>
        <v/>
      </c>
      <c r="H2232" s="5" t="str">
        <f>IFERROR(IF(Portafolio_Proyectos!$AQ744="","",Portafolio_Proyectos!$E744),"")</f>
        <v/>
      </c>
    </row>
    <row r="2233" spans="1:8" x14ac:dyDescent="0.35">
      <c r="A2233" s="5" t="str">
        <f>IFERROR(IF(Portafolio_Proyectos!$AR744="","","CAP-"&amp;ROW()-1),"")</f>
        <v/>
      </c>
      <c r="B2233" s="5" t="str">
        <f>IFERROR(IF(Portafolio_Proyectos!$AR744="","",Portafolio_Proyectos!$AR744),"")</f>
        <v/>
      </c>
      <c r="C2233" s="5" t="str">
        <f>IFERROR(IF(Portafolio_Proyectos!$AR744="","","Distintiva"),"")</f>
        <v/>
      </c>
      <c r="D2233" s="5" t="str">
        <f>IFERROR(IF(Portafolio_Proyectos!$AR744="","",Portafolio_Proyectos!$C744),"")</f>
        <v/>
      </c>
      <c r="E2233" s="5" t="str">
        <f>IFERROR(IF(Portafolio_Proyectos!$AR744="","",Portafolio_Proyectos!$B744),"")</f>
        <v/>
      </c>
      <c r="F2233" s="5" t="str">
        <f>IFERROR(IF(Portafolio_Proyectos!$AR744="","",Portafolio_Proyectos!$D744),"")</f>
        <v/>
      </c>
      <c r="G2233" s="5" t="str">
        <f>IFERROR(IF(Portafolio_Proyectos!$AR744="","",Portafolio_Proyectos!$A744),"")</f>
        <v/>
      </c>
      <c r="H2233" s="5" t="str">
        <f>IFERROR(IF(Portafolio_Proyectos!$AR744="","",Portafolio_Proyectos!$E744),"")</f>
        <v/>
      </c>
    </row>
    <row r="2234" spans="1:8" x14ac:dyDescent="0.35">
      <c r="A2234" s="5" t="str">
        <f>IFERROR(IF(Portafolio_Proyectos!$AP745="","","CAP-"&amp;ROW()-1),"")</f>
        <v/>
      </c>
      <c r="B2234" s="5" t="str">
        <f>IFERROR(IF(Portafolio_Proyectos!$AP745="","",Portafolio_Proyectos!$AP745),"")</f>
        <v/>
      </c>
      <c r="C2234" s="5" t="str">
        <f>IFERROR(IF(Portafolio_Proyectos!$AP745="","","Emergente"),"")</f>
        <v/>
      </c>
      <c r="D2234" s="5" t="str">
        <f>IFERROR(IF(Portafolio_Proyectos!$AP745="","",Portafolio_Proyectos!$C745),"")</f>
        <v/>
      </c>
      <c r="E2234" s="5" t="str">
        <f>IFERROR(IF(Portafolio_Proyectos!$AP745="","",Portafolio_Proyectos!$B745),"")</f>
        <v/>
      </c>
      <c r="F2234" s="5" t="str">
        <f>IFERROR(IF(Portafolio_Proyectos!$AP745="","",Portafolio_Proyectos!$D745),"")</f>
        <v/>
      </c>
      <c r="G2234" s="5" t="str">
        <f>IFERROR(IF(Portafolio_Proyectos!$AP745="","",Portafolio_Proyectos!$A745),"")</f>
        <v/>
      </c>
      <c r="H2234" s="5" t="str">
        <f>IFERROR(IF(Portafolio_Proyectos!$AP745="","",Portafolio_Proyectos!$E745),"")</f>
        <v/>
      </c>
    </row>
    <row r="2235" spans="1:8" x14ac:dyDescent="0.35">
      <c r="A2235" s="5" t="str">
        <f>IFERROR(IF(Portafolio_Proyectos!$AQ745="","","CAP-"&amp;ROW()-1),"")</f>
        <v/>
      </c>
      <c r="B2235" s="5" t="str">
        <f>IFERROR(IF(Portafolio_Proyectos!$AQ745="","",Portafolio_Proyectos!$AQ745),"")</f>
        <v/>
      </c>
      <c r="C2235" s="5" t="str">
        <f>IFERROR(IF(Portafolio_Proyectos!$AQ745="","","Consolidada"),"")</f>
        <v/>
      </c>
      <c r="D2235" s="5" t="str">
        <f>IFERROR(IF(Portafolio_Proyectos!$AQ745="","",Portafolio_Proyectos!$C745),"")</f>
        <v/>
      </c>
      <c r="E2235" s="5" t="str">
        <f>IFERROR(IF(Portafolio_Proyectos!$AQ745="","",Portafolio_Proyectos!$B745),"")</f>
        <v/>
      </c>
      <c r="F2235" s="5" t="str">
        <f>IFERROR(IF(Portafolio_Proyectos!$AQ745="","",Portafolio_Proyectos!$D745),"")</f>
        <v/>
      </c>
      <c r="G2235" s="5" t="str">
        <f>IFERROR(IF(Portafolio_Proyectos!$AQ745="","",Portafolio_Proyectos!$A745),"")</f>
        <v/>
      </c>
      <c r="H2235" s="5" t="str">
        <f>IFERROR(IF(Portafolio_Proyectos!$AQ745="","",Portafolio_Proyectos!$E745),"")</f>
        <v/>
      </c>
    </row>
    <row r="2236" spans="1:8" x14ac:dyDescent="0.35">
      <c r="A2236" s="5" t="str">
        <f>IFERROR(IF(Portafolio_Proyectos!$AR745="","","CAP-"&amp;ROW()-1),"")</f>
        <v/>
      </c>
      <c r="B2236" s="5" t="str">
        <f>IFERROR(IF(Portafolio_Proyectos!$AR745="","",Portafolio_Proyectos!$AR745),"")</f>
        <v/>
      </c>
      <c r="C2236" s="5" t="str">
        <f>IFERROR(IF(Portafolio_Proyectos!$AR745="","","Distintiva"),"")</f>
        <v/>
      </c>
      <c r="D2236" s="5" t="str">
        <f>IFERROR(IF(Portafolio_Proyectos!$AR745="","",Portafolio_Proyectos!$C745),"")</f>
        <v/>
      </c>
      <c r="E2236" s="5" t="str">
        <f>IFERROR(IF(Portafolio_Proyectos!$AR745="","",Portafolio_Proyectos!$B745),"")</f>
        <v/>
      </c>
      <c r="F2236" s="5" t="str">
        <f>IFERROR(IF(Portafolio_Proyectos!$AR745="","",Portafolio_Proyectos!$D745),"")</f>
        <v/>
      </c>
      <c r="G2236" s="5" t="str">
        <f>IFERROR(IF(Portafolio_Proyectos!$AR745="","",Portafolio_Proyectos!$A745),"")</f>
        <v/>
      </c>
      <c r="H2236" s="5" t="str">
        <f>IFERROR(IF(Portafolio_Proyectos!$AR745="","",Portafolio_Proyectos!$E745),"")</f>
        <v/>
      </c>
    </row>
    <row r="2237" spans="1:8" x14ac:dyDescent="0.35">
      <c r="A2237" s="5" t="str">
        <f>IFERROR(IF(Portafolio_Proyectos!$AP746="","","CAP-"&amp;ROW()-1),"")</f>
        <v/>
      </c>
      <c r="B2237" s="5" t="str">
        <f>IFERROR(IF(Portafolio_Proyectos!$AP746="","",Portafolio_Proyectos!$AP746),"")</f>
        <v/>
      </c>
      <c r="C2237" s="5" t="str">
        <f>IFERROR(IF(Portafolio_Proyectos!$AP746="","","Emergente"),"")</f>
        <v/>
      </c>
      <c r="D2237" s="5" t="str">
        <f>IFERROR(IF(Portafolio_Proyectos!$AP746="","",Portafolio_Proyectos!$C746),"")</f>
        <v/>
      </c>
      <c r="E2237" s="5" t="str">
        <f>IFERROR(IF(Portafolio_Proyectos!$AP746="","",Portafolio_Proyectos!$B746),"")</f>
        <v/>
      </c>
      <c r="F2237" s="5" t="str">
        <f>IFERROR(IF(Portafolio_Proyectos!$AP746="","",Portafolio_Proyectos!$D746),"")</f>
        <v/>
      </c>
      <c r="G2237" s="5" t="str">
        <f>IFERROR(IF(Portafolio_Proyectos!$AP746="","",Portafolio_Proyectos!$A746),"")</f>
        <v/>
      </c>
      <c r="H2237" s="5" t="str">
        <f>IFERROR(IF(Portafolio_Proyectos!$AP746="","",Portafolio_Proyectos!$E746),"")</f>
        <v/>
      </c>
    </row>
    <row r="2238" spans="1:8" x14ac:dyDescent="0.35">
      <c r="A2238" s="5" t="str">
        <f>IFERROR(IF(Portafolio_Proyectos!$AQ746="","","CAP-"&amp;ROW()-1),"")</f>
        <v/>
      </c>
      <c r="B2238" s="5" t="str">
        <f>IFERROR(IF(Portafolio_Proyectos!$AQ746="","",Portafolio_Proyectos!$AQ746),"")</f>
        <v/>
      </c>
      <c r="C2238" s="5" t="str">
        <f>IFERROR(IF(Portafolio_Proyectos!$AQ746="","","Consolidada"),"")</f>
        <v/>
      </c>
      <c r="D2238" s="5" t="str">
        <f>IFERROR(IF(Portafolio_Proyectos!$AQ746="","",Portafolio_Proyectos!$C746),"")</f>
        <v/>
      </c>
      <c r="E2238" s="5" t="str">
        <f>IFERROR(IF(Portafolio_Proyectos!$AQ746="","",Portafolio_Proyectos!$B746),"")</f>
        <v/>
      </c>
      <c r="F2238" s="5" t="str">
        <f>IFERROR(IF(Portafolio_Proyectos!$AQ746="","",Portafolio_Proyectos!$D746),"")</f>
        <v/>
      </c>
      <c r="G2238" s="5" t="str">
        <f>IFERROR(IF(Portafolio_Proyectos!$AQ746="","",Portafolio_Proyectos!$A746),"")</f>
        <v/>
      </c>
      <c r="H2238" s="5" t="str">
        <f>IFERROR(IF(Portafolio_Proyectos!$AQ746="","",Portafolio_Proyectos!$E746),"")</f>
        <v/>
      </c>
    </row>
    <row r="2239" spans="1:8" x14ac:dyDescent="0.35">
      <c r="A2239" s="5" t="str">
        <f>IFERROR(IF(Portafolio_Proyectos!$AR746="","","CAP-"&amp;ROW()-1),"")</f>
        <v/>
      </c>
      <c r="B2239" s="5" t="str">
        <f>IFERROR(IF(Portafolio_Proyectos!$AR746="","",Portafolio_Proyectos!$AR746),"")</f>
        <v/>
      </c>
      <c r="C2239" s="5" t="str">
        <f>IFERROR(IF(Portafolio_Proyectos!$AR746="","","Distintiva"),"")</f>
        <v/>
      </c>
      <c r="D2239" s="5" t="str">
        <f>IFERROR(IF(Portafolio_Proyectos!$AR746="","",Portafolio_Proyectos!$C746),"")</f>
        <v/>
      </c>
      <c r="E2239" s="5" t="str">
        <f>IFERROR(IF(Portafolio_Proyectos!$AR746="","",Portafolio_Proyectos!$B746),"")</f>
        <v/>
      </c>
      <c r="F2239" s="5" t="str">
        <f>IFERROR(IF(Portafolio_Proyectos!$AR746="","",Portafolio_Proyectos!$D746),"")</f>
        <v/>
      </c>
      <c r="G2239" s="5" t="str">
        <f>IFERROR(IF(Portafolio_Proyectos!$AR746="","",Portafolio_Proyectos!$A746),"")</f>
        <v/>
      </c>
      <c r="H2239" s="5" t="str">
        <f>IFERROR(IF(Portafolio_Proyectos!$AR746="","",Portafolio_Proyectos!$E746),"")</f>
        <v/>
      </c>
    </row>
    <row r="2240" spans="1:8" x14ac:dyDescent="0.35">
      <c r="A2240" s="5" t="str">
        <f>IFERROR(IF(Portafolio_Proyectos!$AP747="","","CAP-"&amp;ROW()-1),"")</f>
        <v/>
      </c>
      <c r="B2240" s="5" t="str">
        <f>IFERROR(IF(Portafolio_Proyectos!$AP747="","",Portafolio_Proyectos!$AP747),"")</f>
        <v/>
      </c>
      <c r="C2240" s="5" t="str">
        <f>IFERROR(IF(Portafolio_Proyectos!$AP747="","","Emergente"),"")</f>
        <v/>
      </c>
      <c r="D2240" s="5" t="str">
        <f>IFERROR(IF(Portafolio_Proyectos!$AP747="","",Portafolio_Proyectos!$C747),"")</f>
        <v/>
      </c>
      <c r="E2240" s="5" t="str">
        <f>IFERROR(IF(Portafolio_Proyectos!$AP747="","",Portafolio_Proyectos!$B747),"")</f>
        <v/>
      </c>
      <c r="F2240" s="5" t="str">
        <f>IFERROR(IF(Portafolio_Proyectos!$AP747="","",Portafolio_Proyectos!$D747),"")</f>
        <v/>
      </c>
      <c r="G2240" s="5" t="str">
        <f>IFERROR(IF(Portafolio_Proyectos!$AP747="","",Portafolio_Proyectos!$A747),"")</f>
        <v/>
      </c>
      <c r="H2240" s="5" t="str">
        <f>IFERROR(IF(Portafolio_Proyectos!$AP747="","",Portafolio_Proyectos!$E747),"")</f>
        <v/>
      </c>
    </row>
    <row r="2241" spans="1:8" x14ac:dyDescent="0.35">
      <c r="A2241" s="5" t="str">
        <f>IFERROR(IF(Portafolio_Proyectos!$AQ747="","","CAP-"&amp;ROW()-1),"")</f>
        <v/>
      </c>
      <c r="B2241" s="5" t="str">
        <f>IFERROR(IF(Portafolio_Proyectos!$AQ747="","",Portafolio_Proyectos!$AQ747),"")</f>
        <v/>
      </c>
      <c r="C2241" s="5" t="str">
        <f>IFERROR(IF(Portafolio_Proyectos!$AQ747="","","Consolidada"),"")</f>
        <v/>
      </c>
      <c r="D2241" s="5" t="str">
        <f>IFERROR(IF(Portafolio_Proyectos!$AQ747="","",Portafolio_Proyectos!$C747),"")</f>
        <v/>
      </c>
      <c r="E2241" s="5" t="str">
        <f>IFERROR(IF(Portafolio_Proyectos!$AQ747="","",Portafolio_Proyectos!$B747),"")</f>
        <v/>
      </c>
      <c r="F2241" s="5" t="str">
        <f>IFERROR(IF(Portafolio_Proyectos!$AQ747="","",Portafolio_Proyectos!$D747),"")</f>
        <v/>
      </c>
      <c r="G2241" s="5" t="str">
        <f>IFERROR(IF(Portafolio_Proyectos!$AQ747="","",Portafolio_Proyectos!$A747),"")</f>
        <v/>
      </c>
      <c r="H2241" s="5" t="str">
        <f>IFERROR(IF(Portafolio_Proyectos!$AQ747="","",Portafolio_Proyectos!$E747),"")</f>
        <v/>
      </c>
    </row>
    <row r="2242" spans="1:8" x14ac:dyDescent="0.35">
      <c r="A2242" s="5" t="str">
        <f>IFERROR(IF(Portafolio_Proyectos!$AR747="","","CAP-"&amp;ROW()-1),"")</f>
        <v/>
      </c>
      <c r="B2242" s="5" t="str">
        <f>IFERROR(IF(Portafolio_Proyectos!$AR747="","",Portafolio_Proyectos!$AR747),"")</f>
        <v/>
      </c>
      <c r="C2242" s="5" t="str">
        <f>IFERROR(IF(Portafolio_Proyectos!$AR747="","","Distintiva"),"")</f>
        <v/>
      </c>
      <c r="D2242" s="5" t="str">
        <f>IFERROR(IF(Portafolio_Proyectos!$AR747="","",Portafolio_Proyectos!$C747),"")</f>
        <v/>
      </c>
      <c r="E2242" s="5" t="str">
        <f>IFERROR(IF(Portafolio_Proyectos!$AR747="","",Portafolio_Proyectos!$B747),"")</f>
        <v/>
      </c>
      <c r="F2242" s="5" t="str">
        <f>IFERROR(IF(Portafolio_Proyectos!$AR747="","",Portafolio_Proyectos!$D747),"")</f>
        <v/>
      </c>
      <c r="G2242" s="5" t="str">
        <f>IFERROR(IF(Portafolio_Proyectos!$AR747="","",Portafolio_Proyectos!$A747),"")</f>
        <v/>
      </c>
      <c r="H2242" s="5" t="str">
        <f>IFERROR(IF(Portafolio_Proyectos!$AR747="","",Portafolio_Proyectos!$E747),"")</f>
        <v/>
      </c>
    </row>
    <row r="2243" spans="1:8" x14ac:dyDescent="0.35">
      <c r="A2243" s="5" t="str">
        <f>IFERROR(IF(Portafolio_Proyectos!$AP748="","","CAP-"&amp;ROW()-1),"")</f>
        <v/>
      </c>
      <c r="B2243" s="5" t="str">
        <f>IFERROR(IF(Portafolio_Proyectos!$AP748="","",Portafolio_Proyectos!$AP748),"")</f>
        <v/>
      </c>
      <c r="C2243" s="5" t="str">
        <f>IFERROR(IF(Portafolio_Proyectos!$AP748="","","Emergente"),"")</f>
        <v/>
      </c>
      <c r="D2243" s="5" t="str">
        <f>IFERROR(IF(Portafolio_Proyectos!$AP748="","",Portafolio_Proyectos!$C748),"")</f>
        <v/>
      </c>
      <c r="E2243" s="5" t="str">
        <f>IFERROR(IF(Portafolio_Proyectos!$AP748="","",Portafolio_Proyectos!$B748),"")</f>
        <v/>
      </c>
      <c r="F2243" s="5" t="str">
        <f>IFERROR(IF(Portafolio_Proyectos!$AP748="","",Portafolio_Proyectos!$D748),"")</f>
        <v/>
      </c>
      <c r="G2243" s="5" t="str">
        <f>IFERROR(IF(Portafolio_Proyectos!$AP748="","",Portafolio_Proyectos!$A748),"")</f>
        <v/>
      </c>
      <c r="H2243" s="5" t="str">
        <f>IFERROR(IF(Portafolio_Proyectos!$AP748="","",Portafolio_Proyectos!$E748),"")</f>
        <v/>
      </c>
    </row>
    <row r="2244" spans="1:8" x14ac:dyDescent="0.35">
      <c r="A2244" s="5" t="str">
        <f>IFERROR(IF(Portafolio_Proyectos!$AQ748="","","CAP-"&amp;ROW()-1),"")</f>
        <v/>
      </c>
      <c r="B2244" s="5" t="str">
        <f>IFERROR(IF(Portafolio_Proyectos!$AQ748="","",Portafolio_Proyectos!$AQ748),"")</f>
        <v/>
      </c>
      <c r="C2244" s="5" t="str">
        <f>IFERROR(IF(Portafolio_Proyectos!$AQ748="","","Consolidada"),"")</f>
        <v/>
      </c>
      <c r="D2244" s="5" t="str">
        <f>IFERROR(IF(Portafolio_Proyectos!$AQ748="","",Portafolio_Proyectos!$C748),"")</f>
        <v/>
      </c>
      <c r="E2244" s="5" t="str">
        <f>IFERROR(IF(Portafolio_Proyectos!$AQ748="","",Portafolio_Proyectos!$B748),"")</f>
        <v/>
      </c>
      <c r="F2244" s="5" t="str">
        <f>IFERROR(IF(Portafolio_Proyectos!$AQ748="","",Portafolio_Proyectos!$D748),"")</f>
        <v/>
      </c>
      <c r="G2244" s="5" t="str">
        <f>IFERROR(IF(Portafolio_Proyectos!$AQ748="","",Portafolio_Proyectos!$A748),"")</f>
        <v/>
      </c>
      <c r="H2244" s="5" t="str">
        <f>IFERROR(IF(Portafolio_Proyectos!$AQ748="","",Portafolio_Proyectos!$E748),"")</f>
        <v/>
      </c>
    </row>
    <row r="2245" spans="1:8" x14ac:dyDescent="0.35">
      <c r="A2245" s="5" t="str">
        <f>IFERROR(IF(Portafolio_Proyectos!$AR748="","","CAP-"&amp;ROW()-1),"")</f>
        <v/>
      </c>
      <c r="B2245" s="5" t="str">
        <f>IFERROR(IF(Portafolio_Proyectos!$AR748="","",Portafolio_Proyectos!$AR748),"")</f>
        <v/>
      </c>
      <c r="C2245" s="5" t="str">
        <f>IFERROR(IF(Portafolio_Proyectos!$AR748="","","Distintiva"),"")</f>
        <v/>
      </c>
      <c r="D2245" s="5" t="str">
        <f>IFERROR(IF(Portafolio_Proyectos!$AR748="","",Portafolio_Proyectos!$C748),"")</f>
        <v/>
      </c>
      <c r="E2245" s="5" t="str">
        <f>IFERROR(IF(Portafolio_Proyectos!$AR748="","",Portafolio_Proyectos!$B748),"")</f>
        <v/>
      </c>
      <c r="F2245" s="5" t="str">
        <f>IFERROR(IF(Portafolio_Proyectos!$AR748="","",Portafolio_Proyectos!$D748),"")</f>
        <v/>
      </c>
      <c r="G2245" s="5" t="str">
        <f>IFERROR(IF(Portafolio_Proyectos!$AR748="","",Portafolio_Proyectos!$A748),"")</f>
        <v/>
      </c>
      <c r="H2245" s="5" t="str">
        <f>IFERROR(IF(Portafolio_Proyectos!$AR748="","",Portafolio_Proyectos!$E748),"")</f>
        <v/>
      </c>
    </row>
    <row r="2246" spans="1:8" x14ac:dyDescent="0.35">
      <c r="A2246" s="5" t="str">
        <f>IFERROR(IF(Portafolio_Proyectos!$AP749="","","CAP-"&amp;ROW()-1),"")</f>
        <v/>
      </c>
      <c r="B2246" s="5" t="str">
        <f>IFERROR(IF(Portafolio_Proyectos!$AP749="","",Portafolio_Proyectos!$AP749),"")</f>
        <v/>
      </c>
      <c r="C2246" s="5" t="str">
        <f>IFERROR(IF(Portafolio_Proyectos!$AP749="","","Emergente"),"")</f>
        <v/>
      </c>
      <c r="D2246" s="5" t="str">
        <f>IFERROR(IF(Portafolio_Proyectos!$AP749="","",Portafolio_Proyectos!$C749),"")</f>
        <v/>
      </c>
      <c r="E2246" s="5" t="str">
        <f>IFERROR(IF(Portafolio_Proyectos!$AP749="","",Portafolio_Proyectos!$B749),"")</f>
        <v/>
      </c>
      <c r="F2246" s="5" t="str">
        <f>IFERROR(IF(Portafolio_Proyectos!$AP749="","",Portafolio_Proyectos!$D749),"")</f>
        <v/>
      </c>
      <c r="G2246" s="5" t="str">
        <f>IFERROR(IF(Portafolio_Proyectos!$AP749="","",Portafolio_Proyectos!$A749),"")</f>
        <v/>
      </c>
      <c r="H2246" s="5" t="str">
        <f>IFERROR(IF(Portafolio_Proyectos!$AP749="","",Portafolio_Proyectos!$E749),"")</f>
        <v/>
      </c>
    </row>
    <row r="2247" spans="1:8" x14ac:dyDescent="0.35">
      <c r="A2247" s="5" t="str">
        <f>IFERROR(IF(Portafolio_Proyectos!$AQ749="","","CAP-"&amp;ROW()-1),"")</f>
        <v/>
      </c>
      <c r="B2247" s="5" t="str">
        <f>IFERROR(IF(Portafolio_Proyectos!$AQ749="","",Portafolio_Proyectos!$AQ749),"")</f>
        <v/>
      </c>
      <c r="C2247" s="5" t="str">
        <f>IFERROR(IF(Portafolio_Proyectos!$AQ749="","","Consolidada"),"")</f>
        <v/>
      </c>
      <c r="D2247" s="5" t="str">
        <f>IFERROR(IF(Portafolio_Proyectos!$AQ749="","",Portafolio_Proyectos!$C749),"")</f>
        <v/>
      </c>
      <c r="E2247" s="5" t="str">
        <f>IFERROR(IF(Portafolio_Proyectos!$AQ749="","",Portafolio_Proyectos!$B749),"")</f>
        <v/>
      </c>
      <c r="F2247" s="5" t="str">
        <f>IFERROR(IF(Portafolio_Proyectos!$AQ749="","",Portafolio_Proyectos!$D749),"")</f>
        <v/>
      </c>
      <c r="G2247" s="5" t="str">
        <f>IFERROR(IF(Portafolio_Proyectos!$AQ749="","",Portafolio_Proyectos!$A749),"")</f>
        <v/>
      </c>
      <c r="H2247" s="5" t="str">
        <f>IFERROR(IF(Portafolio_Proyectos!$AQ749="","",Portafolio_Proyectos!$E749),"")</f>
        <v/>
      </c>
    </row>
    <row r="2248" spans="1:8" x14ac:dyDescent="0.35">
      <c r="A2248" s="5" t="str">
        <f>IFERROR(IF(Portafolio_Proyectos!$AR749="","","CAP-"&amp;ROW()-1),"")</f>
        <v/>
      </c>
      <c r="B2248" s="5" t="str">
        <f>IFERROR(IF(Portafolio_Proyectos!$AR749="","",Portafolio_Proyectos!$AR749),"")</f>
        <v/>
      </c>
      <c r="C2248" s="5" t="str">
        <f>IFERROR(IF(Portafolio_Proyectos!$AR749="","","Distintiva"),"")</f>
        <v/>
      </c>
      <c r="D2248" s="5" t="str">
        <f>IFERROR(IF(Portafolio_Proyectos!$AR749="","",Portafolio_Proyectos!$C749),"")</f>
        <v/>
      </c>
      <c r="E2248" s="5" t="str">
        <f>IFERROR(IF(Portafolio_Proyectos!$AR749="","",Portafolio_Proyectos!$B749),"")</f>
        <v/>
      </c>
      <c r="F2248" s="5" t="str">
        <f>IFERROR(IF(Portafolio_Proyectos!$AR749="","",Portafolio_Proyectos!$D749),"")</f>
        <v/>
      </c>
      <c r="G2248" s="5" t="str">
        <f>IFERROR(IF(Portafolio_Proyectos!$AR749="","",Portafolio_Proyectos!$A749),"")</f>
        <v/>
      </c>
      <c r="H2248" s="5" t="str">
        <f>IFERROR(IF(Portafolio_Proyectos!$AR749="","",Portafolio_Proyectos!$E749),"")</f>
        <v/>
      </c>
    </row>
    <row r="2249" spans="1:8" x14ac:dyDescent="0.35">
      <c r="A2249" s="5" t="str">
        <f>IFERROR(IF(Portafolio_Proyectos!$AP750="","","CAP-"&amp;ROW()-1),"")</f>
        <v/>
      </c>
      <c r="B2249" s="5" t="str">
        <f>IFERROR(IF(Portafolio_Proyectos!$AP750="","",Portafolio_Proyectos!$AP750),"")</f>
        <v/>
      </c>
      <c r="C2249" s="5" t="str">
        <f>IFERROR(IF(Portafolio_Proyectos!$AP750="","","Emergente"),"")</f>
        <v/>
      </c>
      <c r="D2249" s="5" t="str">
        <f>IFERROR(IF(Portafolio_Proyectos!$AP750="","",Portafolio_Proyectos!$C750),"")</f>
        <v/>
      </c>
      <c r="E2249" s="5" t="str">
        <f>IFERROR(IF(Portafolio_Proyectos!$AP750="","",Portafolio_Proyectos!$B750),"")</f>
        <v/>
      </c>
      <c r="F2249" s="5" t="str">
        <f>IFERROR(IF(Portafolio_Proyectos!$AP750="","",Portafolio_Proyectos!$D750),"")</f>
        <v/>
      </c>
      <c r="G2249" s="5" t="str">
        <f>IFERROR(IF(Portafolio_Proyectos!$AP750="","",Portafolio_Proyectos!$A750),"")</f>
        <v/>
      </c>
      <c r="H2249" s="5" t="str">
        <f>IFERROR(IF(Portafolio_Proyectos!$AP750="","",Portafolio_Proyectos!$E750),"")</f>
        <v/>
      </c>
    </row>
    <row r="2250" spans="1:8" x14ac:dyDescent="0.35">
      <c r="A2250" s="5" t="str">
        <f>IFERROR(IF(Portafolio_Proyectos!$AQ750="","","CAP-"&amp;ROW()-1),"")</f>
        <v/>
      </c>
      <c r="B2250" s="5" t="str">
        <f>IFERROR(IF(Portafolio_Proyectos!$AQ750="","",Portafolio_Proyectos!$AQ750),"")</f>
        <v/>
      </c>
      <c r="C2250" s="5" t="str">
        <f>IFERROR(IF(Portafolio_Proyectos!$AQ750="","","Consolidada"),"")</f>
        <v/>
      </c>
      <c r="D2250" s="5" t="str">
        <f>IFERROR(IF(Portafolio_Proyectos!$AQ750="","",Portafolio_Proyectos!$C750),"")</f>
        <v/>
      </c>
      <c r="E2250" s="5" t="str">
        <f>IFERROR(IF(Portafolio_Proyectos!$AQ750="","",Portafolio_Proyectos!$B750),"")</f>
        <v/>
      </c>
      <c r="F2250" s="5" t="str">
        <f>IFERROR(IF(Portafolio_Proyectos!$AQ750="","",Portafolio_Proyectos!$D750),"")</f>
        <v/>
      </c>
      <c r="G2250" s="5" t="str">
        <f>IFERROR(IF(Portafolio_Proyectos!$AQ750="","",Portafolio_Proyectos!$A750),"")</f>
        <v/>
      </c>
      <c r="H2250" s="5" t="str">
        <f>IFERROR(IF(Portafolio_Proyectos!$AQ750="","",Portafolio_Proyectos!$E750),"")</f>
        <v/>
      </c>
    </row>
    <row r="2251" spans="1:8" x14ac:dyDescent="0.35">
      <c r="A2251" s="5" t="str">
        <f>IFERROR(IF(Portafolio_Proyectos!$AR750="","","CAP-"&amp;ROW()-1),"")</f>
        <v/>
      </c>
      <c r="B2251" s="5" t="str">
        <f>IFERROR(IF(Portafolio_Proyectos!$AR750="","",Portafolio_Proyectos!$AR750),"")</f>
        <v/>
      </c>
      <c r="C2251" s="5" t="str">
        <f>IFERROR(IF(Portafolio_Proyectos!$AR750="","","Distintiva"),"")</f>
        <v/>
      </c>
      <c r="D2251" s="5" t="str">
        <f>IFERROR(IF(Portafolio_Proyectos!$AR750="","",Portafolio_Proyectos!$C750),"")</f>
        <v/>
      </c>
      <c r="E2251" s="5" t="str">
        <f>IFERROR(IF(Portafolio_Proyectos!$AR750="","",Portafolio_Proyectos!$B750),"")</f>
        <v/>
      </c>
      <c r="F2251" s="5" t="str">
        <f>IFERROR(IF(Portafolio_Proyectos!$AR750="","",Portafolio_Proyectos!$D750),"")</f>
        <v/>
      </c>
      <c r="G2251" s="5" t="str">
        <f>IFERROR(IF(Portafolio_Proyectos!$AR750="","",Portafolio_Proyectos!$A750),"")</f>
        <v/>
      </c>
      <c r="H2251" s="5" t="str">
        <f>IFERROR(IF(Portafolio_Proyectos!$AR750="","",Portafolio_Proyectos!$E750),"")</f>
        <v/>
      </c>
    </row>
    <row r="2252" spans="1:8" x14ac:dyDescent="0.35">
      <c r="A2252" s="5" t="str">
        <f>IFERROR(IF(Portafolio_Proyectos!$AP751="","","CAP-"&amp;ROW()-1),"")</f>
        <v/>
      </c>
      <c r="B2252" s="5" t="str">
        <f>IFERROR(IF(Portafolio_Proyectos!$AP751="","",Portafolio_Proyectos!$AP751),"")</f>
        <v/>
      </c>
      <c r="C2252" s="5" t="str">
        <f>IFERROR(IF(Portafolio_Proyectos!$AP751="","","Emergente"),"")</f>
        <v/>
      </c>
      <c r="D2252" s="5" t="str">
        <f>IFERROR(IF(Portafolio_Proyectos!$AP751="","",Portafolio_Proyectos!$C751),"")</f>
        <v/>
      </c>
      <c r="E2252" s="5" t="str">
        <f>IFERROR(IF(Portafolio_Proyectos!$AP751="","",Portafolio_Proyectos!$B751),"")</f>
        <v/>
      </c>
      <c r="F2252" s="5" t="str">
        <f>IFERROR(IF(Portafolio_Proyectos!$AP751="","",Portafolio_Proyectos!$D751),"")</f>
        <v/>
      </c>
      <c r="G2252" s="5" t="str">
        <f>IFERROR(IF(Portafolio_Proyectos!$AP751="","",Portafolio_Proyectos!$A751),"")</f>
        <v/>
      </c>
      <c r="H2252" s="5" t="str">
        <f>IFERROR(IF(Portafolio_Proyectos!$AP751="","",Portafolio_Proyectos!$E751),"")</f>
        <v/>
      </c>
    </row>
    <row r="2253" spans="1:8" x14ac:dyDescent="0.35">
      <c r="A2253" s="5" t="str">
        <f>IFERROR(IF(Portafolio_Proyectos!$AQ751="","","CAP-"&amp;ROW()-1),"")</f>
        <v/>
      </c>
      <c r="B2253" s="5" t="str">
        <f>IFERROR(IF(Portafolio_Proyectos!$AQ751="","",Portafolio_Proyectos!$AQ751),"")</f>
        <v/>
      </c>
      <c r="C2253" s="5" t="str">
        <f>IFERROR(IF(Portafolio_Proyectos!$AQ751="","","Consolidada"),"")</f>
        <v/>
      </c>
      <c r="D2253" s="5" t="str">
        <f>IFERROR(IF(Portafolio_Proyectos!$AQ751="","",Portafolio_Proyectos!$C751),"")</f>
        <v/>
      </c>
      <c r="E2253" s="5" t="str">
        <f>IFERROR(IF(Portafolio_Proyectos!$AQ751="","",Portafolio_Proyectos!$B751),"")</f>
        <v/>
      </c>
      <c r="F2253" s="5" t="str">
        <f>IFERROR(IF(Portafolio_Proyectos!$AQ751="","",Portafolio_Proyectos!$D751),"")</f>
        <v/>
      </c>
      <c r="G2253" s="5" t="str">
        <f>IFERROR(IF(Portafolio_Proyectos!$AQ751="","",Portafolio_Proyectos!$A751),"")</f>
        <v/>
      </c>
      <c r="H2253" s="5" t="str">
        <f>IFERROR(IF(Portafolio_Proyectos!$AQ751="","",Portafolio_Proyectos!$E751),"")</f>
        <v/>
      </c>
    </row>
    <row r="2254" spans="1:8" x14ac:dyDescent="0.35">
      <c r="A2254" s="5" t="str">
        <f>IFERROR(IF(Portafolio_Proyectos!$AR751="","","CAP-"&amp;ROW()-1),"")</f>
        <v/>
      </c>
      <c r="B2254" s="5" t="str">
        <f>IFERROR(IF(Portafolio_Proyectos!$AR751="","",Portafolio_Proyectos!$AR751),"")</f>
        <v/>
      </c>
      <c r="C2254" s="5" t="str">
        <f>IFERROR(IF(Portafolio_Proyectos!$AR751="","","Distintiva"),"")</f>
        <v/>
      </c>
      <c r="D2254" s="5" t="str">
        <f>IFERROR(IF(Portafolio_Proyectos!$AR751="","",Portafolio_Proyectos!$C751),"")</f>
        <v/>
      </c>
      <c r="E2254" s="5" t="str">
        <f>IFERROR(IF(Portafolio_Proyectos!$AR751="","",Portafolio_Proyectos!$B751),"")</f>
        <v/>
      </c>
      <c r="F2254" s="5" t="str">
        <f>IFERROR(IF(Portafolio_Proyectos!$AR751="","",Portafolio_Proyectos!$D751),"")</f>
        <v/>
      </c>
      <c r="G2254" s="5" t="str">
        <f>IFERROR(IF(Portafolio_Proyectos!$AR751="","",Portafolio_Proyectos!$A751),"")</f>
        <v/>
      </c>
      <c r="H2254" s="5" t="str">
        <f>IFERROR(IF(Portafolio_Proyectos!$AR751="","",Portafolio_Proyectos!$E751),"")</f>
        <v/>
      </c>
    </row>
    <row r="2255" spans="1:8" x14ac:dyDescent="0.35">
      <c r="A2255" s="5" t="str">
        <f>IFERROR(IF(Portafolio_Proyectos!$AP752="","","CAP-"&amp;ROW()-1),"")</f>
        <v/>
      </c>
      <c r="B2255" s="5" t="str">
        <f>IFERROR(IF(Portafolio_Proyectos!$AP752="","",Portafolio_Proyectos!$AP752),"")</f>
        <v/>
      </c>
      <c r="C2255" s="5" t="str">
        <f>IFERROR(IF(Portafolio_Proyectos!$AP752="","","Emergente"),"")</f>
        <v/>
      </c>
      <c r="D2255" s="5" t="str">
        <f>IFERROR(IF(Portafolio_Proyectos!$AP752="","",Portafolio_Proyectos!$C752),"")</f>
        <v/>
      </c>
      <c r="E2255" s="5" t="str">
        <f>IFERROR(IF(Portafolio_Proyectos!$AP752="","",Portafolio_Proyectos!$B752),"")</f>
        <v/>
      </c>
      <c r="F2255" s="5" t="str">
        <f>IFERROR(IF(Portafolio_Proyectos!$AP752="","",Portafolio_Proyectos!$D752),"")</f>
        <v/>
      </c>
      <c r="G2255" s="5" t="str">
        <f>IFERROR(IF(Portafolio_Proyectos!$AP752="","",Portafolio_Proyectos!$A752),"")</f>
        <v/>
      </c>
      <c r="H2255" s="5" t="str">
        <f>IFERROR(IF(Portafolio_Proyectos!$AP752="","",Portafolio_Proyectos!$E752),"")</f>
        <v/>
      </c>
    </row>
    <row r="2256" spans="1:8" x14ac:dyDescent="0.35">
      <c r="A2256" s="5" t="str">
        <f>IFERROR(IF(Portafolio_Proyectos!$AQ752="","","CAP-"&amp;ROW()-1),"")</f>
        <v/>
      </c>
      <c r="B2256" s="5" t="str">
        <f>IFERROR(IF(Portafolio_Proyectos!$AQ752="","",Portafolio_Proyectos!$AQ752),"")</f>
        <v/>
      </c>
      <c r="C2256" s="5" t="str">
        <f>IFERROR(IF(Portafolio_Proyectos!$AQ752="","","Consolidada"),"")</f>
        <v/>
      </c>
      <c r="D2256" s="5" t="str">
        <f>IFERROR(IF(Portafolio_Proyectos!$AQ752="","",Portafolio_Proyectos!$C752),"")</f>
        <v/>
      </c>
      <c r="E2256" s="5" t="str">
        <f>IFERROR(IF(Portafolio_Proyectos!$AQ752="","",Portafolio_Proyectos!$B752),"")</f>
        <v/>
      </c>
      <c r="F2256" s="5" t="str">
        <f>IFERROR(IF(Portafolio_Proyectos!$AQ752="","",Portafolio_Proyectos!$D752),"")</f>
        <v/>
      </c>
      <c r="G2256" s="5" t="str">
        <f>IFERROR(IF(Portafolio_Proyectos!$AQ752="","",Portafolio_Proyectos!$A752),"")</f>
        <v/>
      </c>
      <c r="H2256" s="5" t="str">
        <f>IFERROR(IF(Portafolio_Proyectos!$AQ752="","",Portafolio_Proyectos!$E752),"")</f>
        <v/>
      </c>
    </row>
    <row r="2257" spans="1:8" x14ac:dyDescent="0.35">
      <c r="A2257" s="5" t="str">
        <f>IFERROR(IF(Portafolio_Proyectos!$AR752="","","CAP-"&amp;ROW()-1),"")</f>
        <v/>
      </c>
      <c r="B2257" s="5" t="str">
        <f>IFERROR(IF(Portafolio_Proyectos!$AR752="","",Portafolio_Proyectos!$AR752),"")</f>
        <v/>
      </c>
      <c r="C2257" s="5" t="str">
        <f>IFERROR(IF(Portafolio_Proyectos!$AR752="","","Distintiva"),"")</f>
        <v/>
      </c>
      <c r="D2257" s="5" t="str">
        <f>IFERROR(IF(Portafolio_Proyectos!$AR752="","",Portafolio_Proyectos!$C752),"")</f>
        <v/>
      </c>
      <c r="E2257" s="5" t="str">
        <f>IFERROR(IF(Portafolio_Proyectos!$AR752="","",Portafolio_Proyectos!$B752),"")</f>
        <v/>
      </c>
      <c r="F2257" s="5" t="str">
        <f>IFERROR(IF(Portafolio_Proyectos!$AR752="","",Portafolio_Proyectos!$D752),"")</f>
        <v/>
      </c>
      <c r="G2257" s="5" t="str">
        <f>IFERROR(IF(Portafolio_Proyectos!$AR752="","",Portafolio_Proyectos!$A752),"")</f>
        <v/>
      </c>
      <c r="H2257" s="5" t="str">
        <f>IFERROR(IF(Portafolio_Proyectos!$AR752="","",Portafolio_Proyectos!$E752),"")</f>
        <v/>
      </c>
    </row>
    <row r="2258" spans="1:8" x14ac:dyDescent="0.35">
      <c r="A2258" s="5" t="str">
        <f>IFERROR(IF(Portafolio_Proyectos!$AP753="","","CAP-"&amp;ROW()-1),"")</f>
        <v/>
      </c>
      <c r="B2258" s="5" t="str">
        <f>IFERROR(IF(Portafolio_Proyectos!$AP753="","",Portafolio_Proyectos!$AP753),"")</f>
        <v/>
      </c>
      <c r="C2258" s="5" t="str">
        <f>IFERROR(IF(Portafolio_Proyectos!$AP753="","","Emergente"),"")</f>
        <v/>
      </c>
      <c r="D2258" s="5" t="str">
        <f>IFERROR(IF(Portafolio_Proyectos!$AP753="","",Portafolio_Proyectos!$C753),"")</f>
        <v/>
      </c>
      <c r="E2258" s="5" t="str">
        <f>IFERROR(IF(Portafolio_Proyectos!$AP753="","",Portafolio_Proyectos!$B753),"")</f>
        <v/>
      </c>
      <c r="F2258" s="5" t="str">
        <f>IFERROR(IF(Portafolio_Proyectos!$AP753="","",Portafolio_Proyectos!$D753),"")</f>
        <v/>
      </c>
      <c r="G2258" s="5" t="str">
        <f>IFERROR(IF(Portafolio_Proyectos!$AP753="","",Portafolio_Proyectos!$A753),"")</f>
        <v/>
      </c>
      <c r="H2258" s="5" t="str">
        <f>IFERROR(IF(Portafolio_Proyectos!$AP753="","",Portafolio_Proyectos!$E753),"")</f>
        <v/>
      </c>
    </row>
    <row r="2259" spans="1:8" x14ac:dyDescent="0.35">
      <c r="A2259" s="5" t="str">
        <f>IFERROR(IF(Portafolio_Proyectos!$AQ753="","","CAP-"&amp;ROW()-1),"")</f>
        <v/>
      </c>
      <c r="B2259" s="5" t="str">
        <f>IFERROR(IF(Portafolio_Proyectos!$AQ753="","",Portafolio_Proyectos!$AQ753),"")</f>
        <v/>
      </c>
      <c r="C2259" s="5" t="str">
        <f>IFERROR(IF(Portafolio_Proyectos!$AQ753="","","Consolidada"),"")</f>
        <v/>
      </c>
      <c r="D2259" s="5" t="str">
        <f>IFERROR(IF(Portafolio_Proyectos!$AQ753="","",Portafolio_Proyectos!$C753),"")</f>
        <v/>
      </c>
      <c r="E2259" s="5" t="str">
        <f>IFERROR(IF(Portafolio_Proyectos!$AQ753="","",Portafolio_Proyectos!$B753),"")</f>
        <v/>
      </c>
      <c r="F2259" s="5" t="str">
        <f>IFERROR(IF(Portafolio_Proyectos!$AQ753="","",Portafolio_Proyectos!$D753),"")</f>
        <v/>
      </c>
      <c r="G2259" s="5" t="str">
        <f>IFERROR(IF(Portafolio_Proyectos!$AQ753="","",Portafolio_Proyectos!$A753),"")</f>
        <v/>
      </c>
      <c r="H2259" s="5" t="str">
        <f>IFERROR(IF(Portafolio_Proyectos!$AQ753="","",Portafolio_Proyectos!$E753),"")</f>
        <v/>
      </c>
    </row>
    <row r="2260" spans="1:8" x14ac:dyDescent="0.35">
      <c r="A2260" s="5" t="str">
        <f>IFERROR(IF(Portafolio_Proyectos!$AR753="","","CAP-"&amp;ROW()-1),"")</f>
        <v/>
      </c>
      <c r="B2260" s="5" t="str">
        <f>IFERROR(IF(Portafolio_Proyectos!$AR753="","",Portafolio_Proyectos!$AR753),"")</f>
        <v/>
      </c>
      <c r="C2260" s="5" t="str">
        <f>IFERROR(IF(Portafolio_Proyectos!$AR753="","","Distintiva"),"")</f>
        <v/>
      </c>
      <c r="D2260" s="5" t="str">
        <f>IFERROR(IF(Portafolio_Proyectos!$AR753="","",Portafolio_Proyectos!$C753),"")</f>
        <v/>
      </c>
      <c r="E2260" s="5" t="str">
        <f>IFERROR(IF(Portafolio_Proyectos!$AR753="","",Portafolio_Proyectos!$B753),"")</f>
        <v/>
      </c>
      <c r="F2260" s="5" t="str">
        <f>IFERROR(IF(Portafolio_Proyectos!$AR753="","",Portafolio_Proyectos!$D753),"")</f>
        <v/>
      </c>
      <c r="G2260" s="5" t="str">
        <f>IFERROR(IF(Portafolio_Proyectos!$AR753="","",Portafolio_Proyectos!$A753),"")</f>
        <v/>
      </c>
      <c r="H2260" s="5" t="str">
        <f>IFERROR(IF(Portafolio_Proyectos!$AR753="","",Portafolio_Proyectos!$E753),"")</f>
        <v/>
      </c>
    </row>
    <row r="2261" spans="1:8" x14ac:dyDescent="0.35">
      <c r="A2261" s="5" t="str">
        <f>IFERROR(IF(Portafolio_Proyectos!$AP754="","","CAP-"&amp;ROW()-1),"")</f>
        <v/>
      </c>
      <c r="B2261" s="5" t="str">
        <f>IFERROR(IF(Portafolio_Proyectos!$AP754="","",Portafolio_Proyectos!$AP754),"")</f>
        <v/>
      </c>
      <c r="C2261" s="5" t="str">
        <f>IFERROR(IF(Portafolio_Proyectos!$AP754="","","Emergente"),"")</f>
        <v/>
      </c>
      <c r="D2261" s="5" t="str">
        <f>IFERROR(IF(Portafolio_Proyectos!$AP754="","",Portafolio_Proyectos!$C754),"")</f>
        <v/>
      </c>
      <c r="E2261" s="5" t="str">
        <f>IFERROR(IF(Portafolio_Proyectos!$AP754="","",Portafolio_Proyectos!$B754),"")</f>
        <v/>
      </c>
      <c r="F2261" s="5" t="str">
        <f>IFERROR(IF(Portafolio_Proyectos!$AP754="","",Portafolio_Proyectos!$D754),"")</f>
        <v/>
      </c>
      <c r="G2261" s="5" t="str">
        <f>IFERROR(IF(Portafolio_Proyectos!$AP754="","",Portafolio_Proyectos!$A754),"")</f>
        <v/>
      </c>
      <c r="H2261" s="5" t="str">
        <f>IFERROR(IF(Portafolio_Proyectos!$AP754="","",Portafolio_Proyectos!$E754),"")</f>
        <v/>
      </c>
    </row>
    <row r="2262" spans="1:8" x14ac:dyDescent="0.35">
      <c r="A2262" s="5" t="str">
        <f>IFERROR(IF(Portafolio_Proyectos!$AQ754="","","CAP-"&amp;ROW()-1),"")</f>
        <v/>
      </c>
      <c r="B2262" s="5" t="str">
        <f>IFERROR(IF(Portafolio_Proyectos!$AQ754="","",Portafolio_Proyectos!$AQ754),"")</f>
        <v/>
      </c>
      <c r="C2262" s="5" t="str">
        <f>IFERROR(IF(Portafolio_Proyectos!$AQ754="","","Consolidada"),"")</f>
        <v/>
      </c>
      <c r="D2262" s="5" t="str">
        <f>IFERROR(IF(Portafolio_Proyectos!$AQ754="","",Portafolio_Proyectos!$C754),"")</f>
        <v/>
      </c>
      <c r="E2262" s="5" t="str">
        <f>IFERROR(IF(Portafolio_Proyectos!$AQ754="","",Portafolio_Proyectos!$B754),"")</f>
        <v/>
      </c>
      <c r="F2262" s="5" t="str">
        <f>IFERROR(IF(Portafolio_Proyectos!$AQ754="","",Portafolio_Proyectos!$D754),"")</f>
        <v/>
      </c>
      <c r="G2262" s="5" t="str">
        <f>IFERROR(IF(Portafolio_Proyectos!$AQ754="","",Portafolio_Proyectos!$A754),"")</f>
        <v/>
      </c>
      <c r="H2262" s="5" t="str">
        <f>IFERROR(IF(Portafolio_Proyectos!$AQ754="","",Portafolio_Proyectos!$E754),"")</f>
        <v/>
      </c>
    </row>
    <row r="2263" spans="1:8" x14ac:dyDescent="0.35">
      <c r="A2263" s="5" t="str">
        <f>IFERROR(IF(Portafolio_Proyectos!$AR754="","","CAP-"&amp;ROW()-1),"")</f>
        <v/>
      </c>
      <c r="B2263" s="5" t="str">
        <f>IFERROR(IF(Portafolio_Proyectos!$AR754="","",Portafolio_Proyectos!$AR754),"")</f>
        <v/>
      </c>
      <c r="C2263" s="5" t="str">
        <f>IFERROR(IF(Portafolio_Proyectos!$AR754="","","Distintiva"),"")</f>
        <v/>
      </c>
      <c r="D2263" s="5" t="str">
        <f>IFERROR(IF(Portafolio_Proyectos!$AR754="","",Portafolio_Proyectos!$C754),"")</f>
        <v/>
      </c>
      <c r="E2263" s="5" t="str">
        <f>IFERROR(IF(Portafolio_Proyectos!$AR754="","",Portafolio_Proyectos!$B754),"")</f>
        <v/>
      </c>
      <c r="F2263" s="5" t="str">
        <f>IFERROR(IF(Portafolio_Proyectos!$AR754="","",Portafolio_Proyectos!$D754),"")</f>
        <v/>
      </c>
      <c r="G2263" s="5" t="str">
        <f>IFERROR(IF(Portafolio_Proyectos!$AR754="","",Portafolio_Proyectos!$A754),"")</f>
        <v/>
      </c>
      <c r="H2263" s="5" t="str">
        <f>IFERROR(IF(Portafolio_Proyectos!$AR754="","",Portafolio_Proyectos!$E754),"")</f>
        <v/>
      </c>
    </row>
    <row r="2264" spans="1:8" x14ac:dyDescent="0.35">
      <c r="A2264" s="5" t="str">
        <f>IFERROR(IF(Portafolio_Proyectos!$AP755="","","CAP-"&amp;ROW()-1),"")</f>
        <v/>
      </c>
      <c r="B2264" s="5" t="str">
        <f>IFERROR(IF(Portafolio_Proyectos!$AP755="","",Portafolio_Proyectos!$AP755),"")</f>
        <v/>
      </c>
      <c r="C2264" s="5" t="str">
        <f>IFERROR(IF(Portafolio_Proyectos!$AP755="","","Emergente"),"")</f>
        <v/>
      </c>
      <c r="D2264" s="5" t="str">
        <f>IFERROR(IF(Portafolio_Proyectos!$AP755="","",Portafolio_Proyectos!$C755),"")</f>
        <v/>
      </c>
      <c r="E2264" s="5" t="str">
        <f>IFERROR(IF(Portafolio_Proyectos!$AP755="","",Portafolio_Proyectos!$B755),"")</f>
        <v/>
      </c>
      <c r="F2264" s="5" t="str">
        <f>IFERROR(IF(Portafolio_Proyectos!$AP755="","",Portafolio_Proyectos!$D755),"")</f>
        <v/>
      </c>
      <c r="G2264" s="5" t="str">
        <f>IFERROR(IF(Portafolio_Proyectos!$AP755="","",Portafolio_Proyectos!$A755),"")</f>
        <v/>
      </c>
      <c r="H2264" s="5" t="str">
        <f>IFERROR(IF(Portafolio_Proyectos!$AP755="","",Portafolio_Proyectos!$E755),"")</f>
        <v/>
      </c>
    </row>
    <row r="2265" spans="1:8" x14ac:dyDescent="0.35">
      <c r="A2265" s="5" t="str">
        <f>IFERROR(IF(Portafolio_Proyectos!$AQ755="","","CAP-"&amp;ROW()-1),"")</f>
        <v/>
      </c>
      <c r="B2265" s="5" t="str">
        <f>IFERROR(IF(Portafolio_Proyectos!$AQ755="","",Portafolio_Proyectos!$AQ755),"")</f>
        <v/>
      </c>
      <c r="C2265" s="5" t="str">
        <f>IFERROR(IF(Portafolio_Proyectos!$AQ755="","","Consolidada"),"")</f>
        <v/>
      </c>
      <c r="D2265" s="5" t="str">
        <f>IFERROR(IF(Portafolio_Proyectos!$AQ755="","",Portafolio_Proyectos!$C755),"")</f>
        <v/>
      </c>
      <c r="E2265" s="5" t="str">
        <f>IFERROR(IF(Portafolio_Proyectos!$AQ755="","",Portafolio_Proyectos!$B755),"")</f>
        <v/>
      </c>
      <c r="F2265" s="5" t="str">
        <f>IFERROR(IF(Portafolio_Proyectos!$AQ755="","",Portafolio_Proyectos!$D755),"")</f>
        <v/>
      </c>
      <c r="G2265" s="5" t="str">
        <f>IFERROR(IF(Portafolio_Proyectos!$AQ755="","",Portafolio_Proyectos!$A755),"")</f>
        <v/>
      </c>
      <c r="H2265" s="5" t="str">
        <f>IFERROR(IF(Portafolio_Proyectos!$AQ755="","",Portafolio_Proyectos!$E755),"")</f>
        <v/>
      </c>
    </row>
    <row r="2266" spans="1:8" x14ac:dyDescent="0.35">
      <c r="A2266" s="5" t="str">
        <f>IFERROR(IF(Portafolio_Proyectos!$AR755="","","CAP-"&amp;ROW()-1),"")</f>
        <v/>
      </c>
      <c r="B2266" s="5" t="str">
        <f>IFERROR(IF(Portafolio_Proyectos!$AR755="","",Portafolio_Proyectos!$AR755),"")</f>
        <v/>
      </c>
      <c r="C2266" s="5" t="str">
        <f>IFERROR(IF(Portafolio_Proyectos!$AR755="","","Distintiva"),"")</f>
        <v/>
      </c>
      <c r="D2266" s="5" t="str">
        <f>IFERROR(IF(Portafolio_Proyectos!$AR755="","",Portafolio_Proyectos!$C755),"")</f>
        <v/>
      </c>
      <c r="E2266" s="5" t="str">
        <f>IFERROR(IF(Portafolio_Proyectos!$AR755="","",Portafolio_Proyectos!$B755),"")</f>
        <v/>
      </c>
      <c r="F2266" s="5" t="str">
        <f>IFERROR(IF(Portafolio_Proyectos!$AR755="","",Portafolio_Proyectos!$D755),"")</f>
        <v/>
      </c>
      <c r="G2266" s="5" t="str">
        <f>IFERROR(IF(Portafolio_Proyectos!$AR755="","",Portafolio_Proyectos!$A755),"")</f>
        <v/>
      </c>
      <c r="H2266" s="5" t="str">
        <f>IFERROR(IF(Portafolio_Proyectos!$AR755="","",Portafolio_Proyectos!$E755),"")</f>
        <v/>
      </c>
    </row>
    <row r="2267" spans="1:8" x14ac:dyDescent="0.35">
      <c r="A2267" s="5" t="str">
        <f>IFERROR(IF(Portafolio_Proyectos!$AP756="","","CAP-"&amp;ROW()-1),"")</f>
        <v/>
      </c>
      <c r="B2267" s="5" t="str">
        <f>IFERROR(IF(Portafolio_Proyectos!$AP756="","",Portafolio_Proyectos!$AP756),"")</f>
        <v/>
      </c>
      <c r="C2267" s="5" t="str">
        <f>IFERROR(IF(Portafolio_Proyectos!$AP756="","","Emergente"),"")</f>
        <v/>
      </c>
      <c r="D2267" s="5" t="str">
        <f>IFERROR(IF(Portafolio_Proyectos!$AP756="","",Portafolio_Proyectos!$C756),"")</f>
        <v/>
      </c>
      <c r="E2267" s="5" t="str">
        <f>IFERROR(IF(Portafolio_Proyectos!$AP756="","",Portafolio_Proyectos!$B756),"")</f>
        <v/>
      </c>
      <c r="F2267" s="5" t="str">
        <f>IFERROR(IF(Portafolio_Proyectos!$AP756="","",Portafolio_Proyectos!$D756),"")</f>
        <v/>
      </c>
      <c r="G2267" s="5" t="str">
        <f>IFERROR(IF(Portafolio_Proyectos!$AP756="","",Portafolio_Proyectos!$A756),"")</f>
        <v/>
      </c>
      <c r="H2267" s="5" t="str">
        <f>IFERROR(IF(Portafolio_Proyectos!$AP756="","",Portafolio_Proyectos!$E756),"")</f>
        <v/>
      </c>
    </row>
    <row r="2268" spans="1:8" x14ac:dyDescent="0.35">
      <c r="A2268" s="5" t="str">
        <f>IFERROR(IF(Portafolio_Proyectos!$AQ756="","","CAP-"&amp;ROW()-1),"")</f>
        <v/>
      </c>
      <c r="B2268" s="5" t="str">
        <f>IFERROR(IF(Portafolio_Proyectos!$AQ756="","",Portafolio_Proyectos!$AQ756),"")</f>
        <v/>
      </c>
      <c r="C2268" s="5" t="str">
        <f>IFERROR(IF(Portafolio_Proyectos!$AQ756="","","Consolidada"),"")</f>
        <v/>
      </c>
      <c r="D2268" s="5" t="str">
        <f>IFERROR(IF(Portafolio_Proyectos!$AQ756="","",Portafolio_Proyectos!$C756),"")</f>
        <v/>
      </c>
      <c r="E2268" s="5" t="str">
        <f>IFERROR(IF(Portafolio_Proyectos!$AQ756="","",Portafolio_Proyectos!$B756),"")</f>
        <v/>
      </c>
      <c r="F2268" s="5" t="str">
        <f>IFERROR(IF(Portafolio_Proyectos!$AQ756="","",Portafolio_Proyectos!$D756),"")</f>
        <v/>
      </c>
      <c r="G2268" s="5" t="str">
        <f>IFERROR(IF(Portafolio_Proyectos!$AQ756="","",Portafolio_Proyectos!$A756),"")</f>
        <v/>
      </c>
      <c r="H2268" s="5" t="str">
        <f>IFERROR(IF(Portafolio_Proyectos!$AQ756="","",Portafolio_Proyectos!$E756),"")</f>
        <v/>
      </c>
    </row>
    <row r="2269" spans="1:8" x14ac:dyDescent="0.35">
      <c r="A2269" s="5" t="str">
        <f>IFERROR(IF(Portafolio_Proyectos!$AR756="","","CAP-"&amp;ROW()-1),"")</f>
        <v/>
      </c>
      <c r="B2269" s="5" t="str">
        <f>IFERROR(IF(Portafolio_Proyectos!$AR756="","",Portafolio_Proyectos!$AR756),"")</f>
        <v/>
      </c>
      <c r="C2269" s="5" t="str">
        <f>IFERROR(IF(Portafolio_Proyectos!$AR756="","","Distintiva"),"")</f>
        <v/>
      </c>
      <c r="D2269" s="5" t="str">
        <f>IFERROR(IF(Portafolio_Proyectos!$AR756="","",Portafolio_Proyectos!$C756),"")</f>
        <v/>
      </c>
      <c r="E2269" s="5" t="str">
        <f>IFERROR(IF(Portafolio_Proyectos!$AR756="","",Portafolio_Proyectos!$B756),"")</f>
        <v/>
      </c>
      <c r="F2269" s="5" t="str">
        <f>IFERROR(IF(Portafolio_Proyectos!$AR756="","",Portafolio_Proyectos!$D756),"")</f>
        <v/>
      </c>
      <c r="G2269" s="5" t="str">
        <f>IFERROR(IF(Portafolio_Proyectos!$AR756="","",Portafolio_Proyectos!$A756),"")</f>
        <v/>
      </c>
      <c r="H2269" s="5" t="str">
        <f>IFERROR(IF(Portafolio_Proyectos!$AR756="","",Portafolio_Proyectos!$E756),"")</f>
        <v/>
      </c>
    </row>
    <row r="2270" spans="1:8" x14ac:dyDescent="0.35">
      <c r="A2270" s="5" t="str">
        <f>IFERROR(IF(Portafolio_Proyectos!$AP757="","","CAP-"&amp;ROW()-1),"")</f>
        <v/>
      </c>
      <c r="B2270" s="5" t="str">
        <f>IFERROR(IF(Portafolio_Proyectos!$AP757="","",Portafolio_Proyectos!$AP757),"")</f>
        <v/>
      </c>
      <c r="C2270" s="5" t="str">
        <f>IFERROR(IF(Portafolio_Proyectos!$AP757="","","Emergente"),"")</f>
        <v/>
      </c>
      <c r="D2270" s="5" t="str">
        <f>IFERROR(IF(Portafolio_Proyectos!$AP757="","",Portafolio_Proyectos!$C757),"")</f>
        <v/>
      </c>
      <c r="E2270" s="5" t="str">
        <f>IFERROR(IF(Portafolio_Proyectos!$AP757="","",Portafolio_Proyectos!$B757),"")</f>
        <v/>
      </c>
      <c r="F2270" s="5" t="str">
        <f>IFERROR(IF(Portafolio_Proyectos!$AP757="","",Portafolio_Proyectos!$D757),"")</f>
        <v/>
      </c>
      <c r="G2270" s="5" t="str">
        <f>IFERROR(IF(Portafolio_Proyectos!$AP757="","",Portafolio_Proyectos!$A757),"")</f>
        <v/>
      </c>
      <c r="H2270" s="5" t="str">
        <f>IFERROR(IF(Portafolio_Proyectos!$AP757="","",Portafolio_Proyectos!$E757),"")</f>
        <v/>
      </c>
    </row>
    <row r="2271" spans="1:8" x14ac:dyDescent="0.35">
      <c r="A2271" s="5" t="str">
        <f>IFERROR(IF(Portafolio_Proyectos!$AQ757="","","CAP-"&amp;ROW()-1),"")</f>
        <v/>
      </c>
      <c r="B2271" s="5" t="str">
        <f>IFERROR(IF(Portafolio_Proyectos!$AQ757="","",Portafolio_Proyectos!$AQ757),"")</f>
        <v/>
      </c>
      <c r="C2271" s="5" t="str">
        <f>IFERROR(IF(Portafolio_Proyectos!$AQ757="","","Consolidada"),"")</f>
        <v/>
      </c>
      <c r="D2271" s="5" t="str">
        <f>IFERROR(IF(Portafolio_Proyectos!$AQ757="","",Portafolio_Proyectos!$C757),"")</f>
        <v/>
      </c>
      <c r="E2271" s="5" t="str">
        <f>IFERROR(IF(Portafolio_Proyectos!$AQ757="","",Portafolio_Proyectos!$B757),"")</f>
        <v/>
      </c>
      <c r="F2271" s="5" t="str">
        <f>IFERROR(IF(Portafolio_Proyectos!$AQ757="","",Portafolio_Proyectos!$D757),"")</f>
        <v/>
      </c>
      <c r="G2271" s="5" t="str">
        <f>IFERROR(IF(Portafolio_Proyectos!$AQ757="","",Portafolio_Proyectos!$A757),"")</f>
        <v/>
      </c>
      <c r="H2271" s="5" t="str">
        <f>IFERROR(IF(Portafolio_Proyectos!$AQ757="","",Portafolio_Proyectos!$E757),"")</f>
        <v/>
      </c>
    </row>
    <row r="2272" spans="1:8" x14ac:dyDescent="0.35">
      <c r="A2272" s="5" t="str">
        <f>IFERROR(IF(Portafolio_Proyectos!$AR757="","","CAP-"&amp;ROW()-1),"")</f>
        <v/>
      </c>
      <c r="B2272" s="5" t="str">
        <f>IFERROR(IF(Portafolio_Proyectos!$AR757="","",Portafolio_Proyectos!$AR757),"")</f>
        <v/>
      </c>
      <c r="C2272" s="5" t="str">
        <f>IFERROR(IF(Portafolio_Proyectos!$AR757="","","Distintiva"),"")</f>
        <v/>
      </c>
      <c r="D2272" s="5" t="str">
        <f>IFERROR(IF(Portafolio_Proyectos!$AR757="","",Portafolio_Proyectos!$C757),"")</f>
        <v/>
      </c>
      <c r="E2272" s="5" t="str">
        <f>IFERROR(IF(Portafolio_Proyectos!$AR757="","",Portafolio_Proyectos!$B757),"")</f>
        <v/>
      </c>
      <c r="F2272" s="5" t="str">
        <f>IFERROR(IF(Portafolio_Proyectos!$AR757="","",Portafolio_Proyectos!$D757),"")</f>
        <v/>
      </c>
      <c r="G2272" s="5" t="str">
        <f>IFERROR(IF(Portafolio_Proyectos!$AR757="","",Portafolio_Proyectos!$A757),"")</f>
        <v/>
      </c>
      <c r="H2272" s="5" t="str">
        <f>IFERROR(IF(Portafolio_Proyectos!$AR757="","",Portafolio_Proyectos!$E757),"")</f>
        <v/>
      </c>
    </row>
    <row r="2273" spans="1:8" x14ac:dyDescent="0.35">
      <c r="A2273" s="5" t="str">
        <f>IFERROR(IF(Portafolio_Proyectos!$AP758="","","CAP-"&amp;ROW()-1),"")</f>
        <v/>
      </c>
      <c r="B2273" s="5" t="str">
        <f>IFERROR(IF(Portafolio_Proyectos!$AP758="","",Portafolio_Proyectos!$AP758),"")</f>
        <v/>
      </c>
      <c r="C2273" s="5" t="str">
        <f>IFERROR(IF(Portafolio_Proyectos!$AP758="","","Emergente"),"")</f>
        <v/>
      </c>
      <c r="D2273" s="5" t="str">
        <f>IFERROR(IF(Portafolio_Proyectos!$AP758="","",Portafolio_Proyectos!$C758),"")</f>
        <v/>
      </c>
      <c r="E2273" s="5" t="str">
        <f>IFERROR(IF(Portafolio_Proyectos!$AP758="","",Portafolio_Proyectos!$B758),"")</f>
        <v/>
      </c>
      <c r="F2273" s="5" t="str">
        <f>IFERROR(IF(Portafolio_Proyectos!$AP758="","",Portafolio_Proyectos!$D758),"")</f>
        <v/>
      </c>
      <c r="G2273" s="5" t="str">
        <f>IFERROR(IF(Portafolio_Proyectos!$AP758="","",Portafolio_Proyectos!$A758),"")</f>
        <v/>
      </c>
      <c r="H2273" s="5" t="str">
        <f>IFERROR(IF(Portafolio_Proyectos!$AP758="","",Portafolio_Proyectos!$E758),"")</f>
        <v/>
      </c>
    </row>
    <row r="2274" spans="1:8" x14ac:dyDescent="0.35">
      <c r="A2274" s="5" t="str">
        <f>IFERROR(IF(Portafolio_Proyectos!$AQ758="","","CAP-"&amp;ROW()-1),"")</f>
        <v/>
      </c>
      <c r="B2274" s="5" t="str">
        <f>IFERROR(IF(Portafolio_Proyectos!$AQ758="","",Portafolio_Proyectos!$AQ758),"")</f>
        <v/>
      </c>
      <c r="C2274" s="5" t="str">
        <f>IFERROR(IF(Portafolio_Proyectos!$AQ758="","","Consolidada"),"")</f>
        <v/>
      </c>
      <c r="D2274" s="5" t="str">
        <f>IFERROR(IF(Portafolio_Proyectos!$AQ758="","",Portafolio_Proyectos!$C758),"")</f>
        <v/>
      </c>
      <c r="E2274" s="5" t="str">
        <f>IFERROR(IF(Portafolio_Proyectos!$AQ758="","",Portafolio_Proyectos!$B758),"")</f>
        <v/>
      </c>
      <c r="F2274" s="5" t="str">
        <f>IFERROR(IF(Portafolio_Proyectos!$AQ758="","",Portafolio_Proyectos!$D758),"")</f>
        <v/>
      </c>
      <c r="G2274" s="5" t="str">
        <f>IFERROR(IF(Portafolio_Proyectos!$AQ758="","",Portafolio_Proyectos!$A758),"")</f>
        <v/>
      </c>
      <c r="H2274" s="5" t="str">
        <f>IFERROR(IF(Portafolio_Proyectos!$AQ758="","",Portafolio_Proyectos!$E758),"")</f>
        <v/>
      </c>
    </row>
    <row r="2275" spans="1:8" x14ac:dyDescent="0.35">
      <c r="A2275" s="5" t="str">
        <f>IFERROR(IF(Portafolio_Proyectos!$AR758="","","CAP-"&amp;ROW()-1),"")</f>
        <v/>
      </c>
      <c r="B2275" s="5" t="str">
        <f>IFERROR(IF(Portafolio_Proyectos!$AR758="","",Portafolio_Proyectos!$AR758),"")</f>
        <v/>
      </c>
      <c r="C2275" s="5" t="str">
        <f>IFERROR(IF(Portafolio_Proyectos!$AR758="","","Distintiva"),"")</f>
        <v/>
      </c>
      <c r="D2275" s="5" t="str">
        <f>IFERROR(IF(Portafolio_Proyectos!$AR758="","",Portafolio_Proyectos!$C758),"")</f>
        <v/>
      </c>
      <c r="E2275" s="5" t="str">
        <f>IFERROR(IF(Portafolio_Proyectos!$AR758="","",Portafolio_Proyectos!$B758),"")</f>
        <v/>
      </c>
      <c r="F2275" s="5" t="str">
        <f>IFERROR(IF(Portafolio_Proyectos!$AR758="","",Portafolio_Proyectos!$D758),"")</f>
        <v/>
      </c>
      <c r="G2275" s="5" t="str">
        <f>IFERROR(IF(Portafolio_Proyectos!$AR758="","",Portafolio_Proyectos!$A758),"")</f>
        <v/>
      </c>
      <c r="H2275" s="5" t="str">
        <f>IFERROR(IF(Portafolio_Proyectos!$AR758="","",Portafolio_Proyectos!$E758),"")</f>
        <v/>
      </c>
    </row>
    <row r="2276" spans="1:8" x14ac:dyDescent="0.35">
      <c r="A2276" s="5" t="str">
        <f>IFERROR(IF(Portafolio_Proyectos!$AP759="","","CAP-"&amp;ROW()-1),"")</f>
        <v/>
      </c>
      <c r="B2276" s="5" t="str">
        <f>IFERROR(IF(Portafolio_Proyectos!$AP759="","",Portafolio_Proyectos!$AP759),"")</f>
        <v/>
      </c>
      <c r="C2276" s="5" t="str">
        <f>IFERROR(IF(Portafolio_Proyectos!$AP759="","","Emergente"),"")</f>
        <v/>
      </c>
      <c r="D2276" s="5" t="str">
        <f>IFERROR(IF(Portafolio_Proyectos!$AP759="","",Portafolio_Proyectos!$C759),"")</f>
        <v/>
      </c>
      <c r="E2276" s="5" t="str">
        <f>IFERROR(IF(Portafolio_Proyectos!$AP759="","",Portafolio_Proyectos!$B759),"")</f>
        <v/>
      </c>
      <c r="F2276" s="5" t="str">
        <f>IFERROR(IF(Portafolio_Proyectos!$AP759="","",Portafolio_Proyectos!$D759),"")</f>
        <v/>
      </c>
      <c r="G2276" s="5" t="str">
        <f>IFERROR(IF(Portafolio_Proyectos!$AP759="","",Portafolio_Proyectos!$A759),"")</f>
        <v/>
      </c>
      <c r="H2276" s="5" t="str">
        <f>IFERROR(IF(Portafolio_Proyectos!$AP759="","",Portafolio_Proyectos!$E759),"")</f>
        <v/>
      </c>
    </row>
    <row r="2277" spans="1:8" x14ac:dyDescent="0.35">
      <c r="A2277" s="5" t="str">
        <f>IFERROR(IF(Portafolio_Proyectos!$AQ759="","","CAP-"&amp;ROW()-1),"")</f>
        <v/>
      </c>
      <c r="B2277" s="5" t="str">
        <f>IFERROR(IF(Portafolio_Proyectos!$AQ759="","",Portafolio_Proyectos!$AQ759),"")</f>
        <v/>
      </c>
      <c r="C2277" s="5" t="str">
        <f>IFERROR(IF(Portafolio_Proyectos!$AQ759="","","Consolidada"),"")</f>
        <v/>
      </c>
      <c r="D2277" s="5" t="str">
        <f>IFERROR(IF(Portafolio_Proyectos!$AQ759="","",Portafolio_Proyectos!$C759),"")</f>
        <v/>
      </c>
      <c r="E2277" s="5" t="str">
        <f>IFERROR(IF(Portafolio_Proyectos!$AQ759="","",Portafolio_Proyectos!$B759),"")</f>
        <v/>
      </c>
      <c r="F2277" s="5" t="str">
        <f>IFERROR(IF(Portafolio_Proyectos!$AQ759="","",Portafolio_Proyectos!$D759),"")</f>
        <v/>
      </c>
      <c r="G2277" s="5" t="str">
        <f>IFERROR(IF(Portafolio_Proyectos!$AQ759="","",Portafolio_Proyectos!$A759),"")</f>
        <v/>
      </c>
      <c r="H2277" s="5" t="str">
        <f>IFERROR(IF(Portafolio_Proyectos!$AQ759="","",Portafolio_Proyectos!$E759),"")</f>
        <v/>
      </c>
    </row>
    <row r="2278" spans="1:8" x14ac:dyDescent="0.35">
      <c r="A2278" s="5" t="str">
        <f>IFERROR(IF(Portafolio_Proyectos!$AR759="","","CAP-"&amp;ROW()-1),"")</f>
        <v/>
      </c>
      <c r="B2278" s="5" t="str">
        <f>IFERROR(IF(Portafolio_Proyectos!$AR759="","",Portafolio_Proyectos!$AR759),"")</f>
        <v/>
      </c>
      <c r="C2278" s="5" t="str">
        <f>IFERROR(IF(Portafolio_Proyectos!$AR759="","","Distintiva"),"")</f>
        <v/>
      </c>
      <c r="D2278" s="5" t="str">
        <f>IFERROR(IF(Portafolio_Proyectos!$AR759="","",Portafolio_Proyectos!$C759),"")</f>
        <v/>
      </c>
      <c r="E2278" s="5" t="str">
        <f>IFERROR(IF(Portafolio_Proyectos!$AR759="","",Portafolio_Proyectos!$B759),"")</f>
        <v/>
      </c>
      <c r="F2278" s="5" t="str">
        <f>IFERROR(IF(Portafolio_Proyectos!$AR759="","",Portafolio_Proyectos!$D759),"")</f>
        <v/>
      </c>
      <c r="G2278" s="5" t="str">
        <f>IFERROR(IF(Portafolio_Proyectos!$AR759="","",Portafolio_Proyectos!$A759),"")</f>
        <v/>
      </c>
      <c r="H2278" s="5" t="str">
        <f>IFERROR(IF(Portafolio_Proyectos!$AR759="","",Portafolio_Proyectos!$E759),"")</f>
        <v/>
      </c>
    </row>
    <row r="2279" spans="1:8" x14ac:dyDescent="0.35">
      <c r="A2279" s="5" t="str">
        <f>IFERROR(IF(Portafolio_Proyectos!$AP760="","","CAP-"&amp;ROW()-1),"")</f>
        <v/>
      </c>
      <c r="B2279" s="5" t="str">
        <f>IFERROR(IF(Portafolio_Proyectos!$AP760="","",Portafolio_Proyectos!$AP760),"")</f>
        <v/>
      </c>
      <c r="C2279" s="5" t="str">
        <f>IFERROR(IF(Portafolio_Proyectos!$AP760="","","Emergente"),"")</f>
        <v/>
      </c>
      <c r="D2279" s="5" t="str">
        <f>IFERROR(IF(Portafolio_Proyectos!$AP760="","",Portafolio_Proyectos!$C760),"")</f>
        <v/>
      </c>
      <c r="E2279" s="5" t="str">
        <f>IFERROR(IF(Portafolio_Proyectos!$AP760="","",Portafolio_Proyectos!$B760),"")</f>
        <v/>
      </c>
      <c r="F2279" s="5" t="str">
        <f>IFERROR(IF(Portafolio_Proyectos!$AP760="","",Portafolio_Proyectos!$D760),"")</f>
        <v/>
      </c>
      <c r="G2279" s="5" t="str">
        <f>IFERROR(IF(Portafolio_Proyectos!$AP760="","",Portafolio_Proyectos!$A760),"")</f>
        <v/>
      </c>
      <c r="H2279" s="5" t="str">
        <f>IFERROR(IF(Portafolio_Proyectos!$AP760="","",Portafolio_Proyectos!$E760),"")</f>
        <v/>
      </c>
    </row>
    <row r="2280" spans="1:8" x14ac:dyDescent="0.35">
      <c r="A2280" s="5" t="str">
        <f>IFERROR(IF(Portafolio_Proyectos!$AQ760="","","CAP-"&amp;ROW()-1),"")</f>
        <v/>
      </c>
      <c r="B2280" s="5" t="str">
        <f>IFERROR(IF(Portafolio_Proyectos!$AQ760="","",Portafolio_Proyectos!$AQ760),"")</f>
        <v/>
      </c>
      <c r="C2280" s="5" t="str">
        <f>IFERROR(IF(Portafolio_Proyectos!$AQ760="","","Consolidada"),"")</f>
        <v/>
      </c>
      <c r="D2280" s="5" t="str">
        <f>IFERROR(IF(Portafolio_Proyectos!$AQ760="","",Portafolio_Proyectos!$C760),"")</f>
        <v/>
      </c>
      <c r="E2280" s="5" t="str">
        <f>IFERROR(IF(Portafolio_Proyectos!$AQ760="","",Portafolio_Proyectos!$B760),"")</f>
        <v/>
      </c>
      <c r="F2280" s="5" t="str">
        <f>IFERROR(IF(Portafolio_Proyectos!$AQ760="","",Portafolio_Proyectos!$D760),"")</f>
        <v/>
      </c>
      <c r="G2280" s="5" t="str">
        <f>IFERROR(IF(Portafolio_Proyectos!$AQ760="","",Portafolio_Proyectos!$A760),"")</f>
        <v/>
      </c>
      <c r="H2280" s="5" t="str">
        <f>IFERROR(IF(Portafolio_Proyectos!$AQ760="","",Portafolio_Proyectos!$E760),"")</f>
        <v/>
      </c>
    </row>
    <row r="2281" spans="1:8" x14ac:dyDescent="0.35">
      <c r="A2281" s="5" t="str">
        <f>IFERROR(IF(Portafolio_Proyectos!$AR760="","","CAP-"&amp;ROW()-1),"")</f>
        <v/>
      </c>
      <c r="B2281" s="5" t="str">
        <f>IFERROR(IF(Portafolio_Proyectos!$AR760="","",Portafolio_Proyectos!$AR760),"")</f>
        <v/>
      </c>
      <c r="C2281" s="5" t="str">
        <f>IFERROR(IF(Portafolio_Proyectos!$AR760="","","Distintiva"),"")</f>
        <v/>
      </c>
      <c r="D2281" s="5" t="str">
        <f>IFERROR(IF(Portafolio_Proyectos!$AR760="","",Portafolio_Proyectos!$C760),"")</f>
        <v/>
      </c>
      <c r="E2281" s="5" t="str">
        <f>IFERROR(IF(Portafolio_Proyectos!$AR760="","",Portafolio_Proyectos!$B760),"")</f>
        <v/>
      </c>
      <c r="F2281" s="5" t="str">
        <f>IFERROR(IF(Portafolio_Proyectos!$AR760="","",Portafolio_Proyectos!$D760),"")</f>
        <v/>
      </c>
      <c r="G2281" s="5" t="str">
        <f>IFERROR(IF(Portafolio_Proyectos!$AR760="","",Portafolio_Proyectos!$A760),"")</f>
        <v/>
      </c>
      <c r="H2281" s="5" t="str">
        <f>IFERROR(IF(Portafolio_Proyectos!$AR760="","",Portafolio_Proyectos!$E760),"")</f>
        <v/>
      </c>
    </row>
    <row r="2282" spans="1:8" x14ac:dyDescent="0.35">
      <c r="A2282" s="5" t="str">
        <f>IFERROR(IF(Portafolio_Proyectos!$AP761="","","CAP-"&amp;ROW()-1),"")</f>
        <v/>
      </c>
      <c r="B2282" s="5" t="str">
        <f>IFERROR(IF(Portafolio_Proyectos!$AP761="","",Portafolio_Proyectos!$AP761),"")</f>
        <v/>
      </c>
      <c r="C2282" s="5" t="str">
        <f>IFERROR(IF(Portafolio_Proyectos!$AP761="","","Emergente"),"")</f>
        <v/>
      </c>
      <c r="D2282" s="5" t="str">
        <f>IFERROR(IF(Portafolio_Proyectos!$AP761="","",Portafolio_Proyectos!$C761),"")</f>
        <v/>
      </c>
      <c r="E2282" s="5" t="str">
        <f>IFERROR(IF(Portafolio_Proyectos!$AP761="","",Portafolio_Proyectos!$B761),"")</f>
        <v/>
      </c>
      <c r="F2282" s="5" t="str">
        <f>IFERROR(IF(Portafolio_Proyectos!$AP761="","",Portafolio_Proyectos!$D761),"")</f>
        <v/>
      </c>
      <c r="G2282" s="5" t="str">
        <f>IFERROR(IF(Portafolio_Proyectos!$AP761="","",Portafolio_Proyectos!$A761),"")</f>
        <v/>
      </c>
      <c r="H2282" s="5" t="str">
        <f>IFERROR(IF(Portafolio_Proyectos!$AP761="","",Portafolio_Proyectos!$E761),"")</f>
        <v/>
      </c>
    </row>
    <row r="2283" spans="1:8" x14ac:dyDescent="0.35">
      <c r="A2283" s="5" t="str">
        <f>IFERROR(IF(Portafolio_Proyectos!$AQ761="","","CAP-"&amp;ROW()-1),"")</f>
        <v/>
      </c>
      <c r="B2283" s="5" t="str">
        <f>IFERROR(IF(Portafolio_Proyectos!$AQ761="","",Portafolio_Proyectos!$AQ761),"")</f>
        <v/>
      </c>
      <c r="C2283" s="5" t="str">
        <f>IFERROR(IF(Portafolio_Proyectos!$AQ761="","","Consolidada"),"")</f>
        <v/>
      </c>
      <c r="D2283" s="5" t="str">
        <f>IFERROR(IF(Portafolio_Proyectos!$AQ761="","",Portafolio_Proyectos!$C761),"")</f>
        <v/>
      </c>
      <c r="E2283" s="5" t="str">
        <f>IFERROR(IF(Portafolio_Proyectos!$AQ761="","",Portafolio_Proyectos!$B761),"")</f>
        <v/>
      </c>
      <c r="F2283" s="5" t="str">
        <f>IFERROR(IF(Portafolio_Proyectos!$AQ761="","",Portafolio_Proyectos!$D761),"")</f>
        <v/>
      </c>
      <c r="G2283" s="5" t="str">
        <f>IFERROR(IF(Portafolio_Proyectos!$AQ761="","",Portafolio_Proyectos!$A761),"")</f>
        <v/>
      </c>
      <c r="H2283" s="5" t="str">
        <f>IFERROR(IF(Portafolio_Proyectos!$AQ761="","",Portafolio_Proyectos!$E761),"")</f>
        <v/>
      </c>
    </row>
    <row r="2284" spans="1:8" x14ac:dyDescent="0.35">
      <c r="A2284" s="5" t="str">
        <f>IFERROR(IF(Portafolio_Proyectos!$AR761="","","CAP-"&amp;ROW()-1),"")</f>
        <v/>
      </c>
      <c r="B2284" s="5" t="str">
        <f>IFERROR(IF(Portafolio_Proyectos!$AR761="","",Portafolio_Proyectos!$AR761),"")</f>
        <v/>
      </c>
      <c r="C2284" s="5" t="str">
        <f>IFERROR(IF(Portafolio_Proyectos!$AR761="","","Distintiva"),"")</f>
        <v/>
      </c>
      <c r="D2284" s="5" t="str">
        <f>IFERROR(IF(Portafolio_Proyectos!$AR761="","",Portafolio_Proyectos!$C761),"")</f>
        <v/>
      </c>
      <c r="E2284" s="5" t="str">
        <f>IFERROR(IF(Portafolio_Proyectos!$AR761="","",Portafolio_Proyectos!$B761),"")</f>
        <v/>
      </c>
      <c r="F2284" s="5" t="str">
        <f>IFERROR(IF(Portafolio_Proyectos!$AR761="","",Portafolio_Proyectos!$D761),"")</f>
        <v/>
      </c>
      <c r="G2284" s="5" t="str">
        <f>IFERROR(IF(Portafolio_Proyectos!$AR761="","",Portafolio_Proyectos!$A761),"")</f>
        <v/>
      </c>
      <c r="H2284" s="5" t="str">
        <f>IFERROR(IF(Portafolio_Proyectos!$AR761="","",Portafolio_Proyectos!$E761),"")</f>
        <v/>
      </c>
    </row>
    <row r="2285" spans="1:8" x14ac:dyDescent="0.35">
      <c r="A2285" s="5" t="str">
        <f>IFERROR(IF(Portafolio_Proyectos!$AP762="","","CAP-"&amp;ROW()-1),"")</f>
        <v/>
      </c>
      <c r="B2285" s="5" t="str">
        <f>IFERROR(IF(Portafolio_Proyectos!$AP762="","",Portafolio_Proyectos!$AP762),"")</f>
        <v/>
      </c>
      <c r="C2285" s="5" t="str">
        <f>IFERROR(IF(Portafolio_Proyectos!$AP762="","","Emergente"),"")</f>
        <v/>
      </c>
      <c r="D2285" s="5" t="str">
        <f>IFERROR(IF(Portafolio_Proyectos!$AP762="","",Portafolio_Proyectos!$C762),"")</f>
        <v/>
      </c>
      <c r="E2285" s="5" t="str">
        <f>IFERROR(IF(Portafolio_Proyectos!$AP762="","",Portafolio_Proyectos!$B762),"")</f>
        <v/>
      </c>
      <c r="F2285" s="5" t="str">
        <f>IFERROR(IF(Portafolio_Proyectos!$AP762="","",Portafolio_Proyectos!$D762),"")</f>
        <v/>
      </c>
      <c r="G2285" s="5" t="str">
        <f>IFERROR(IF(Portafolio_Proyectos!$AP762="","",Portafolio_Proyectos!$A762),"")</f>
        <v/>
      </c>
      <c r="H2285" s="5" t="str">
        <f>IFERROR(IF(Portafolio_Proyectos!$AP762="","",Portafolio_Proyectos!$E762),"")</f>
        <v/>
      </c>
    </row>
    <row r="2286" spans="1:8" x14ac:dyDescent="0.35">
      <c r="A2286" s="5" t="str">
        <f>IFERROR(IF(Portafolio_Proyectos!$AQ762="","","CAP-"&amp;ROW()-1),"")</f>
        <v/>
      </c>
      <c r="B2286" s="5" t="str">
        <f>IFERROR(IF(Portafolio_Proyectos!$AQ762="","",Portafolio_Proyectos!$AQ762),"")</f>
        <v/>
      </c>
      <c r="C2286" s="5" t="str">
        <f>IFERROR(IF(Portafolio_Proyectos!$AQ762="","","Consolidada"),"")</f>
        <v/>
      </c>
      <c r="D2286" s="5" t="str">
        <f>IFERROR(IF(Portafolio_Proyectos!$AQ762="","",Portafolio_Proyectos!$C762),"")</f>
        <v/>
      </c>
      <c r="E2286" s="5" t="str">
        <f>IFERROR(IF(Portafolio_Proyectos!$AQ762="","",Portafolio_Proyectos!$B762),"")</f>
        <v/>
      </c>
      <c r="F2286" s="5" t="str">
        <f>IFERROR(IF(Portafolio_Proyectos!$AQ762="","",Portafolio_Proyectos!$D762),"")</f>
        <v/>
      </c>
      <c r="G2286" s="5" t="str">
        <f>IFERROR(IF(Portafolio_Proyectos!$AQ762="","",Portafolio_Proyectos!$A762),"")</f>
        <v/>
      </c>
      <c r="H2286" s="5" t="str">
        <f>IFERROR(IF(Portafolio_Proyectos!$AQ762="","",Portafolio_Proyectos!$E762),"")</f>
        <v/>
      </c>
    </row>
    <row r="2287" spans="1:8" x14ac:dyDescent="0.35">
      <c r="A2287" s="5" t="str">
        <f>IFERROR(IF(Portafolio_Proyectos!$AR762="","","CAP-"&amp;ROW()-1),"")</f>
        <v/>
      </c>
      <c r="B2287" s="5" t="str">
        <f>IFERROR(IF(Portafolio_Proyectos!$AR762="","",Portafolio_Proyectos!$AR762),"")</f>
        <v/>
      </c>
      <c r="C2287" s="5" t="str">
        <f>IFERROR(IF(Portafolio_Proyectos!$AR762="","","Distintiva"),"")</f>
        <v/>
      </c>
      <c r="D2287" s="5" t="str">
        <f>IFERROR(IF(Portafolio_Proyectos!$AR762="","",Portafolio_Proyectos!$C762),"")</f>
        <v/>
      </c>
      <c r="E2287" s="5" t="str">
        <f>IFERROR(IF(Portafolio_Proyectos!$AR762="","",Portafolio_Proyectos!$B762),"")</f>
        <v/>
      </c>
      <c r="F2287" s="5" t="str">
        <f>IFERROR(IF(Portafolio_Proyectos!$AR762="","",Portafolio_Proyectos!$D762),"")</f>
        <v/>
      </c>
      <c r="G2287" s="5" t="str">
        <f>IFERROR(IF(Portafolio_Proyectos!$AR762="","",Portafolio_Proyectos!$A762),"")</f>
        <v/>
      </c>
      <c r="H2287" s="5" t="str">
        <f>IFERROR(IF(Portafolio_Proyectos!$AR762="","",Portafolio_Proyectos!$E762),"")</f>
        <v/>
      </c>
    </row>
    <row r="2288" spans="1:8" x14ac:dyDescent="0.35">
      <c r="A2288" s="5" t="str">
        <f>IFERROR(IF(Portafolio_Proyectos!$AP763="","","CAP-"&amp;ROW()-1),"")</f>
        <v/>
      </c>
      <c r="B2288" s="5" t="str">
        <f>IFERROR(IF(Portafolio_Proyectos!$AP763="","",Portafolio_Proyectos!$AP763),"")</f>
        <v/>
      </c>
      <c r="C2288" s="5" t="str">
        <f>IFERROR(IF(Portafolio_Proyectos!$AP763="","","Emergente"),"")</f>
        <v/>
      </c>
      <c r="D2288" s="5" t="str">
        <f>IFERROR(IF(Portafolio_Proyectos!$AP763="","",Portafolio_Proyectos!$C763),"")</f>
        <v/>
      </c>
      <c r="E2288" s="5" t="str">
        <f>IFERROR(IF(Portafolio_Proyectos!$AP763="","",Portafolio_Proyectos!$B763),"")</f>
        <v/>
      </c>
      <c r="F2288" s="5" t="str">
        <f>IFERROR(IF(Portafolio_Proyectos!$AP763="","",Portafolio_Proyectos!$D763),"")</f>
        <v/>
      </c>
      <c r="G2288" s="5" t="str">
        <f>IFERROR(IF(Portafolio_Proyectos!$AP763="","",Portafolio_Proyectos!$A763),"")</f>
        <v/>
      </c>
      <c r="H2288" s="5" t="str">
        <f>IFERROR(IF(Portafolio_Proyectos!$AP763="","",Portafolio_Proyectos!$E763),"")</f>
        <v/>
      </c>
    </row>
    <row r="2289" spans="1:8" x14ac:dyDescent="0.35">
      <c r="A2289" s="5" t="str">
        <f>IFERROR(IF(Portafolio_Proyectos!$AQ763="","","CAP-"&amp;ROW()-1),"")</f>
        <v/>
      </c>
      <c r="B2289" s="5" t="str">
        <f>IFERROR(IF(Portafolio_Proyectos!$AQ763="","",Portafolio_Proyectos!$AQ763),"")</f>
        <v/>
      </c>
      <c r="C2289" s="5" t="str">
        <f>IFERROR(IF(Portafolio_Proyectos!$AQ763="","","Consolidada"),"")</f>
        <v/>
      </c>
      <c r="D2289" s="5" t="str">
        <f>IFERROR(IF(Portafolio_Proyectos!$AQ763="","",Portafolio_Proyectos!$C763),"")</f>
        <v/>
      </c>
      <c r="E2289" s="5" t="str">
        <f>IFERROR(IF(Portafolio_Proyectos!$AQ763="","",Portafolio_Proyectos!$B763),"")</f>
        <v/>
      </c>
      <c r="F2289" s="5" t="str">
        <f>IFERROR(IF(Portafolio_Proyectos!$AQ763="","",Portafolio_Proyectos!$D763),"")</f>
        <v/>
      </c>
      <c r="G2289" s="5" t="str">
        <f>IFERROR(IF(Portafolio_Proyectos!$AQ763="","",Portafolio_Proyectos!$A763),"")</f>
        <v/>
      </c>
      <c r="H2289" s="5" t="str">
        <f>IFERROR(IF(Portafolio_Proyectos!$AQ763="","",Portafolio_Proyectos!$E763),"")</f>
        <v/>
      </c>
    </row>
    <row r="2290" spans="1:8" x14ac:dyDescent="0.35">
      <c r="A2290" s="5" t="str">
        <f>IFERROR(IF(Portafolio_Proyectos!$AR763="","","CAP-"&amp;ROW()-1),"")</f>
        <v/>
      </c>
      <c r="B2290" s="5" t="str">
        <f>IFERROR(IF(Portafolio_Proyectos!$AR763="","",Portafolio_Proyectos!$AR763),"")</f>
        <v/>
      </c>
      <c r="C2290" s="5" t="str">
        <f>IFERROR(IF(Portafolio_Proyectos!$AR763="","","Distintiva"),"")</f>
        <v/>
      </c>
      <c r="D2290" s="5" t="str">
        <f>IFERROR(IF(Portafolio_Proyectos!$AR763="","",Portafolio_Proyectos!$C763),"")</f>
        <v/>
      </c>
      <c r="E2290" s="5" t="str">
        <f>IFERROR(IF(Portafolio_Proyectos!$AR763="","",Portafolio_Proyectos!$B763),"")</f>
        <v/>
      </c>
      <c r="F2290" s="5" t="str">
        <f>IFERROR(IF(Portafolio_Proyectos!$AR763="","",Portafolio_Proyectos!$D763),"")</f>
        <v/>
      </c>
      <c r="G2290" s="5" t="str">
        <f>IFERROR(IF(Portafolio_Proyectos!$AR763="","",Portafolio_Proyectos!$A763),"")</f>
        <v/>
      </c>
      <c r="H2290" s="5" t="str">
        <f>IFERROR(IF(Portafolio_Proyectos!$AR763="","",Portafolio_Proyectos!$E763),"")</f>
        <v/>
      </c>
    </row>
    <row r="2291" spans="1:8" x14ac:dyDescent="0.35">
      <c r="A2291" s="5" t="str">
        <f>IFERROR(IF(Portafolio_Proyectos!$AP764="","","CAP-"&amp;ROW()-1),"")</f>
        <v/>
      </c>
      <c r="B2291" s="5" t="str">
        <f>IFERROR(IF(Portafolio_Proyectos!$AP764="","",Portafolio_Proyectos!$AP764),"")</f>
        <v/>
      </c>
      <c r="C2291" s="5" t="str">
        <f>IFERROR(IF(Portafolio_Proyectos!$AP764="","","Emergente"),"")</f>
        <v/>
      </c>
      <c r="D2291" s="5" t="str">
        <f>IFERROR(IF(Portafolio_Proyectos!$AP764="","",Portafolio_Proyectos!$C764),"")</f>
        <v/>
      </c>
      <c r="E2291" s="5" t="str">
        <f>IFERROR(IF(Portafolio_Proyectos!$AP764="","",Portafolio_Proyectos!$B764),"")</f>
        <v/>
      </c>
      <c r="F2291" s="5" t="str">
        <f>IFERROR(IF(Portafolio_Proyectos!$AP764="","",Portafolio_Proyectos!$D764),"")</f>
        <v/>
      </c>
      <c r="G2291" s="5" t="str">
        <f>IFERROR(IF(Portafolio_Proyectos!$AP764="","",Portafolio_Proyectos!$A764),"")</f>
        <v/>
      </c>
      <c r="H2291" s="5" t="str">
        <f>IFERROR(IF(Portafolio_Proyectos!$AP764="","",Portafolio_Proyectos!$E764),"")</f>
        <v/>
      </c>
    </row>
    <row r="2292" spans="1:8" x14ac:dyDescent="0.35">
      <c r="A2292" s="5" t="str">
        <f>IFERROR(IF(Portafolio_Proyectos!$AQ764="","","CAP-"&amp;ROW()-1),"")</f>
        <v/>
      </c>
      <c r="B2292" s="5" t="str">
        <f>IFERROR(IF(Portafolio_Proyectos!$AQ764="","",Portafolio_Proyectos!$AQ764),"")</f>
        <v/>
      </c>
      <c r="C2292" s="5" t="str">
        <f>IFERROR(IF(Portafolio_Proyectos!$AQ764="","","Consolidada"),"")</f>
        <v/>
      </c>
      <c r="D2292" s="5" t="str">
        <f>IFERROR(IF(Portafolio_Proyectos!$AQ764="","",Portafolio_Proyectos!$C764),"")</f>
        <v/>
      </c>
      <c r="E2292" s="5" t="str">
        <f>IFERROR(IF(Portafolio_Proyectos!$AQ764="","",Portafolio_Proyectos!$B764),"")</f>
        <v/>
      </c>
      <c r="F2292" s="5" t="str">
        <f>IFERROR(IF(Portafolio_Proyectos!$AQ764="","",Portafolio_Proyectos!$D764),"")</f>
        <v/>
      </c>
      <c r="G2292" s="5" t="str">
        <f>IFERROR(IF(Portafolio_Proyectos!$AQ764="","",Portafolio_Proyectos!$A764),"")</f>
        <v/>
      </c>
      <c r="H2292" s="5" t="str">
        <f>IFERROR(IF(Portafolio_Proyectos!$AQ764="","",Portafolio_Proyectos!$E764),"")</f>
        <v/>
      </c>
    </row>
    <row r="2293" spans="1:8" x14ac:dyDescent="0.35">
      <c r="A2293" s="5" t="str">
        <f>IFERROR(IF(Portafolio_Proyectos!$AR764="","","CAP-"&amp;ROW()-1),"")</f>
        <v/>
      </c>
      <c r="B2293" s="5" t="str">
        <f>IFERROR(IF(Portafolio_Proyectos!$AR764="","",Portafolio_Proyectos!$AR764),"")</f>
        <v/>
      </c>
      <c r="C2293" s="5" t="str">
        <f>IFERROR(IF(Portafolio_Proyectos!$AR764="","","Distintiva"),"")</f>
        <v/>
      </c>
      <c r="D2293" s="5" t="str">
        <f>IFERROR(IF(Portafolio_Proyectos!$AR764="","",Portafolio_Proyectos!$C764),"")</f>
        <v/>
      </c>
      <c r="E2293" s="5" t="str">
        <f>IFERROR(IF(Portafolio_Proyectos!$AR764="","",Portafolio_Proyectos!$B764),"")</f>
        <v/>
      </c>
      <c r="F2293" s="5" t="str">
        <f>IFERROR(IF(Portafolio_Proyectos!$AR764="","",Portafolio_Proyectos!$D764),"")</f>
        <v/>
      </c>
      <c r="G2293" s="5" t="str">
        <f>IFERROR(IF(Portafolio_Proyectos!$AR764="","",Portafolio_Proyectos!$A764),"")</f>
        <v/>
      </c>
      <c r="H2293" s="5" t="str">
        <f>IFERROR(IF(Portafolio_Proyectos!$AR764="","",Portafolio_Proyectos!$E764),"")</f>
        <v/>
      </c>
    </row>
    <row r="2294" spans="1:8" x14ac:dyDescent="0.35">
      <c r="A2294" s="5" t="str">
        <f>IFERROR(IF(Portafolio_Proyectos!$AP765="","","CAP-"&amp;ROW()-1),"")</f>
        <v/>
      </c>
      <c r="B2294" s="5" t="str">
        <f>IFERROR(IF(Portafolio_Proyectos!$AP765="","",Portafolio_Proyectos!$AP765),"")</f>
        <v/>
      </c>
      <c r="C2294" s="5" t="str">
        <f>IFERROR(IF(Portafolio_Proyectos!$AP765="","","Emergente"),"")</f>
        <v/>
      </c>
      <c r="D2294" s="5" t="str">
        <f>IFERROR(IF(Portafolio_Proyectos!$AP765="","",Portafolio_Proyectos!$C765),"")</f>
        <v/>
      </c>
      <c r="E2294" s="5" t="str">
        <f>IFERROR(IF(Portafolio_Proyectos!$AP765="","",Portafolio_Proyectos!$B765),"")</f>
        <v/>
      </c>
      <c r="F2294" s="5" t="str">
        <f>IFERROR(IF(Portafolio_Proyectos!$AP765="","",Portafolio_Proyectos!$D765),"")</f>
        <v/>
      </c>
      <c r="G2294" s="5" t="str">
        <f>IFERROR(IF(Portafolio_Proyectos!$AP765="","",Portafolio_Proyectos!$A765),"")</f>
        <v/>
      </c>
      <c r="H2294" s="5" t="str">
        <f>IFERROR(IF(Portafolio_Proyectos!$AP765="","",Portafolio_Proyectos!$E765),"")</f>
        <v/>
      </c>
    </row>
    <row r="2295" spans="1:8" x14ac:dyDescent="0.35">
      <c r="A2295" s="5" t="str">
        <f>IFERROR(IF(Portafolio_Proyectos!$AQ765="","","CAP-"&amp;ROW()-1),"")</f>
        <v/>
      </c>
      <c r="B2295" s="5" t="str">
        <f>IFERROR(IF(Portafolio_Proyectos!$AQ765="","",Portafolio_Proyectos!$AQ765),"")</f>
        <v/>
      </c>
      <c r="C2295" s="5" t="str">
        <f>IFERROR(IF(Portafolio_Proyectos!$AQ765="","","Consolidada"),"")</f>
        <v/>
      </c>
      <c r="D2295" s="5" t="str">
        <f>IFERROR(IF(Portafolio_Proyectos!$AQ765="","",Portafolio_Proyectos!$C765),"")</f>
        <v/>
      </c>
      <c r="E2295" s="5" t="str">
        <f>IFERROR(IF(Portafolio_Proyectos!$AQ765="","",Portafolio_Proyectos!$B765),"")</f>
        <v/>
      </c>
      <c r="F2295" s="5" t="str">
        <f>IFERROR(IF(Portafolio_Proyectos!$AQ765="","",Portafolio_Proyectos!$D765),"")</f>
        <v/>
      </c>
      <c r="G2295" s="5" t="str">
        <f>IFERROR(IF(Portafolio_Proyectos!$AQ765="","",Portafolio_Proyectos!$A765),"")</f>
        <v/>
      </c>
      <c r="H2295" s="5" t="str">
        <f>IFERROR(IF(Portafolio_Proyectos!$AQ765="","",Portafolio_Proyectos!$E765),"")</f>
        <v/>
      </c>
    </row>
    <row r="2296" spans="1:8" x14ac:dyDescent="0.35">
      <c r="A2296" s="5" t="str">
        <f>IFERROR(IF(Portafolio_Proyectos!$AR765="","","CAP-"&amp;ROW()-1),"")</f>
        <v/>
      </c>
      <c r="B2296" s="5" t="str">
        <f>IFERROR(IF(Portafolio_Proyectos!$AR765="","",Portafolio_Proyectos!$AR765),"")</f>
        <v/>
      </c>
      <c r="C2296" s="5" t="str">
        <f>IFERROR(IF(Portafolio_Proyectos!$AR765="","","Distintiva"),"")</f>
        <v/>
      </c>
      <c r="D2296" s="5" t="str">
        <f>IFERROR(IF(Portafolio_Proyectos!$AR765="","",Portafolio_Proyectos!$C765),"")</f>
        <v/>
      </c>
      <c r="E2296" s="5" t="str">
        <f>IFERROR(IF(Portafolio_Proyectos!$AR765="","",Portafolio_Proyectos!$B765),"")</f>
        <v/>
      </c>
      <c r="F2296" s="5" t="str">
        <f>IFERROR(IF(Portafolio_Proyectos!$AR765="","",Portafolio_Proyectos!$D765),"")</f>
        <v/>
      </c>
      <c r="G2296" s="5" t="str">
        <f>IFERROR(IF(Portafolio_Proyectos!$AR765="","",Portafolio_Proyectos!$A765),"")</f>
        <v/>
      </c>
      <c r="H2296" s="5" t="str">
        <f>IFERROR(IF(Portafolio_Proyectos!$AR765="","",Portafolio_Proyectos!$E765),"")</f>
        <v/>
      </c>
    </row>
    <row r="2297" spans="1:8" x14ac:dyDescent="0.35">
      <c r="A2297" s="5" t="str">
        <f>IFERROR(IF(Portafolio_Proyectos!$AP766="","","CAP-"&amp;ROW()-1),"")</f>
        <v/>
      </c>
      <c r="B2297" s="5" t="str">
        <f>IFERROR(IF(Portafolio_Proyectos!$AP766="","",Portafolio_Proyectos!$AP766),"")</f>
        <v/>
      </c>
      <c r="C2297" s="5" t="str">
        <f>IFERROR(IF(Portafolio_Proyectos!$AP766="","","Emergente"),"")</f>
        <v/>
      </c>
      <c r="D2297" s="5" t="str">
        <f>IFERROR(IF(Portafolio_Proyectos!$AP766="","",Portafolio_Proyectos!$C766),"")</f>
        <v/>
      </c>
      <c r="E2297" s="5" t="str">
        <f>IFERROR(IF(Portafolio_Proyectos!$AP766="","",Portafolio_Proyectos!$B766),"")</f>
        <v/>
      </c>
      <c r="F2297" s="5" t="str">
        <f>IFERROR(IF(Portafolio_Proyectos!$AP766="","",Portafolio_Proyectos!$D766),"")</f>
        <v/>
      </c>
      <c r="G2297" s="5" t="str">
        <f>IFERROR(IF(Portafolio_Proyectos!$AP766="","",Portafolio_Proyectos!$A766),"")</f>
        <v/>
      </c>
      <c r="H2297" s="5" t="str">
        <f>IFERROR(IF(Portafolio_Proyectos!$AP766="","",Portafolio_Proyectos!$E766),"")</f>
        <v/>
      </c>
    </row>
    <row r="2298" spans="1:8" x14ac:dyDescent="0.35">
      <c r="A2298" s="5" t="str">
        <f>IFERROR(IF(Portafolio_Proyectos!$AQ766="","","CAP-"&amp;ROW()-1),"")</f>
        <v/>
      </c>
      <c r="B2298" s="5" t="str">
        <f>IFERROR(IF(Portafolio_Proyectos!$AQ766="","",Portafolio_Proyectos!$AQ766),"")</f>
        <v/>
      </c>
      <c r="C2298" s="5" t="str">
        <f>IFERROR(IF(Portafolio_Proyectos!$AQ766="","","Consolidada"),"")</f>
        <v/>
      </c>
      <c r="D2298" s="5" t="str">
        <f>IFERROR(IF(Portafolio_Proyectos!$AQ766="","",Portafolio_Proyectos!$C766),"")</f>
        <v/>
      </c>
      <c r="E2298" s="5" t="str">
        <f>IFERROR(IF(Portafolio_Proyectos!$AQ766="","",Portafolio_Proyectos!$B766),"")</f>
        <v/>
      </c>
      <c r="F2298" s="5" t="str">
        <f>IFERROR(IF(Portafolio_Proyectos!$AQ766="","",Portafolio_Proyectos!$D766),"")</f>
        <v/>
      </c>
      <c r="G2298" s="5" t="str">
        <f>IFERROR(IF(Portafolio_Proyectos!$AQ766="","",Portafolio_Proyectos!$A766),"")</f>
        <v/>
      </c>
      <c r="H2298" s="5" t="str">
        <f>IFERROR(IF(Portafolio_Proyectos!$AQ766="","",Portafolio_Proyectos!$E766),"")</f>
        <v/>
      </c>
    </row>
    <row r="2299" spans="1:8" x14ac:dyDescent="0.35">
      <c r="A2299" s="5" t="str">
        <f>IFERROR(IF(Portafolio_Proyectos!$AR766="","","CAP-"&amp;ROW()-1),"")</f>
        <v/>
      </c>
      <c r="B2299" s="5" t="str">
        <f>IFERROR(IF(Portafolio_Proyectos!$AR766="","",Portafolio_Proyectos!$AR766),"")</f>
        <v/>
      </c>
      <c r="C2299" s="5" t="str">
        <f>IFERROR(IF(Portafolio_Proyectos!$AR766="","","Distintiva"),"")</f>
        <v/>
      </c>
      <c r="D2299" s="5" t="str">
        <f>IFERROR(IF(Portafolio_Proyectos!$AR766="","",Portafolio_Proyectos!$C766),"")</f>
        <v/>
      </c>
      <c r="E2299" s="5" t="str">
        <f>IFERROR(IF(Portafolio_Proyectos!$AR766="","",Portafolio_Proyectos!$B766),"")</f>
        <v/>
      </c>
      <c r="F2299" s="5" t="str">
        <f>IFERROR(IF(Portafolio_Proyectos!$AR766="","",Portafolio_Proyectos!$D766),"")</f>
        <v/>
      </c>
      <c r="G2299" s="5" t="str">
        <f>IFERROR(IF(Portafolio_Proyectos!$AR766="","",Portafolio_Proyectos!$A766),"")</f>
        <v/>
      </c>
      <c r="H2299" s="5" t="str">
        <f>IFERROR(IF(Portafolio_Proyectos!$AR766="","",Portafolio_Proyectos!$E766),"")</f>
        <v/>
      </c>
    </row>
    <row r="2300" spans="1:8" x14ac:dyDescent="0.35">
      <c r="A2300" s="5" t="str">
        <f>IFERROR(IF(Portafolio_Proyectos!$AP767="","","CAP-"&amp;ROW()-1),"")</f>
        <v/>
      </c>
      <c r="B2300" s="5" t="str">
        <f>IFERROR(IF(Portafolio_Proyectos!$AP767="","",Portafolio_Proyectos!$AP767),"")</f>
        <v/>
      </c>
      <c r="C2300" s="5" t="str">
        <f>IFERROR(IF(Portafolio_Proyectos!$AP767="","","Emergente"),"")</f>
        <v/>
      </c>
      <c r="D2300" s="5" t="str">
        <f>IFERROR(IF(Portafolio_Proyectos!$AP767="","",Portafolio_Proyectos!$C767),"")</f>
        <v/>
      </c>
      <c r="E2300" s="5" t="str">
        <f>IFERROR(IF(Portafolio_Proyectos!$AP767="","",Portafolio_Proyectos!$B767),"")</f>
        <v/>
      </c>
      <c r="F2300" s="5" t="str">
        <f>IFERROR(IF(Portafolio_Proyectos!$AP767="","",Portafolio_Proyectos!$D767),"")</f>
        <v/>
      </c>
      <c r="G2300" s="5" t="str">
        <f>IFERROR(IF(Portafolio_Proyectos!$AP767="","",Portafolio_Proyectos!$A767),"")</f>
        <v/>
      </c>
      <c r="H2300" s="5" t="str">
        <f>IFERROR(IF(Portafolio_Proyectos!$AP767="","",Portafolio_Proyectos!$E767),"")</f>
        <v/>
      </c>
    </row>
    <row r="2301" spans="1:8" x14ac:dyDescent="0.35">
      <c r="A2301" s="5" t="str">
        <f>IFERROR(IF(Portafolio_Proyectos!$AQ767="","","CAP-"&amp;ROW()-1),"")</f>
        <v/>
      </c>
      <c r="B2301" s="5" t="str">
        <f>IFERROR(IF(Portafolio_Proyectos!$AQ767="","",Portafolio_Proyectos!$AQ767),"")</f>
        <v/>
      </c>
      <c r="C2301" s="5" t="str">
        <f>IFERROR(IF(Portafolio_Proyectos!$AQ767="","","Consolidada"),"")</f>
        <v/>
      </c>
      <c r="D2301" s="5" t="str">
        <f>IFERROR(IF(Portafolio_Proyectos!$AQ767="","",Portafolio_Proyectos!$C767),"")</f>
        <v/>
      </c>
      <c r="E2301" s="5" t="str">
        <f>IFERROR(IF(Portafolio_Proyectos!$AQ767="","",Portafolio_Proyectos!$B767),"")</f>
        <v/>
      </c>
      <c r="F2301" s="5" t="str">
        <f>IFERROR(IF(Portafolio_Proyectos!$AQ767="","",Portafolio_Proyectos!$D767),"")</f>
        <v/>
      </c>
      <c r="G2301" s="5" t="str">
        <f>IFERROR(IF(Portafolio_Proyectos!$AQ767="","",Portafolio_Proyectos!$A767),"")</f>
        <v/>
      </c>
      <c r="H2301" s="5" t="str">
        <f>IFERROR(IF(Portafolio_Proyectos!$AQ767="","",Portafolio_Proyectos!$E767),"")</f>
        <v/>
      </c>
    </row>
    <row r="2302" spans="1:8" x14ac:dyDescent="0.35">
      <c r="A2302" s="5" t="str">
        <f>IFERROR(IF(Portafolio_Proyectos!$AR767="","","CAP-"&amp;ROW()-1),"")</f>
        <v/>
      </c>
      <c r="B2302" s="5" t="str">
        <f>IFERROR(IF(Portafolio_Proyectos!$AR767="","",Portafolio_Proyectos!$AR767),"")</f>
        <v/>
      </c>
      <c r="C2302" s="5" t="str">
        <f>IFERROR(IF(Portafolio_Proyectos!$AR767="","","Distintiva"),"")</f>
        <v/>
      </c>
      <c r="D2302" s="5" t="str">
        <f>IFERROR(IF(Portafolio_Proyectos!$AR767="","",Portafolio_Proyectos!$C767),"")</f>
        <v/>
      </c>
      <c r="E2302" s="5" t="str">
        <f>IFERROR(IF(Portafolio_Proyectos!$AR767="","",Portafolio_Proyectos!$B767),"")</f>
        <v/>
      </c>
      <c r="F2302" s="5" t="str">
        <f>IFERROR(IF(Portafolio_Proyectos!$AR767="","",Portafolio_Proyectos!$D767),"")</f>
        <v/>
      </c>
      <c r="G2302" s="5" t="str">
        <f>IFERROR(IF(Portafolio_Proyectos!$AR767="","",Portafolio_Proyectos!$A767),"")</f>
        <v/>
      </c>
      <c r="H2302" s="5" t="str">
        <f>IFERROR(IF(Portafolio_Proyectos!$AR767="","",Portafolio_Proyectos!$E767),"")</f>
        <v/>
      </c>
    </row>
    <row r="2303" spans="1:8" x14ac:dyDescent="0.35">
      <c r="A2303" s="5" t="str">
        <f>IFERROR(IF(Portafolio_Proyectos!$AP768="","","CAP-"&amp;ROW()-1),"")</f>
        <v/>
      </c>
      <c r="B2303" s="5" t="str">
        <f>IFERROR(IF(Portafolio_Proyectos!$AP768="","",Portafolio_Proyectos!$AP768),"")</f>
        <v/>
      </c>
      <c r="C2303" s="5" t="str">
        <f>IFERROR(IF(Portafolio_Proyectos!$AP768="","","Emergente"),"")</f>
        <v/>
      </c>
      <c r="D2303" s="5" t="str">
        <f>IFERROR(IF(Portafolio_Proyectos!$AP768="","",Portafolio_Proyectos!$C768),"")</f>
        <v/>
      </c>
      <c r="E2303" s="5" t="str">
        <f>IFERROR(IF(Portafolio_Proyectos!$AP768="","",Portafolio_Proyectos!$B768),"")</f>
        <v/>
      </c>
      <c r="F2303" s="5" t="str">
        <f>IFERROR(IF(Portafolio_Proyectos!$AP768="","",Portafolio_Proyectos!$D768),"")</f>
        <v/>
      </c>
      <c r="G2303" s="5" t="str">
        <f>IFERROR(IF(Portafolio_Proyectos!$AP768="","",Portafolio_Proyectos!$A768),"")</f>
        <v/>
      </c>
      <c r="H2303" s="5" t="str">
        <f>IFERROR(IF(Portafolio_Proyectos!$AP768="","",Portafolio_Proyectos!$E768),"")</f>
        <v/>
      </c>
    </row>
    <row r="2304" spans="1:8" x14ac:dyDescent="0.35">
      <c r="A2304" s="5" t="str">
        <f>IFERROR(IF(Portafolio_Proyectos!$AQ768="","","CAP-"&amp;ROW()-1),"")</f>
        <v/>
      </c>
      <c r="B2304" s="5" t="str">
        <f>IFERROR(IF(Portafolio_Proyectos!$AQ768="","",Portafolio_Proyectos!$AQ768),"")</f>
        <v/>
      </c>
      <c r="C2304" s="5" t="str">
        <f>IFERROR(IF(Portafolio_Proyectos!$AQ768="","","Consolidada"),"")</f>
        <v/>
      </c>
      <c r="D2304" s="5" t="str">
        <f>IFERROR(IF(Portafolio_Proyectos!$AQ768="","",Portafolio_Proyectos!$C768),"")</f>
        <v/>
      </c>
      <c r="E2304" s="5" t="str">
        <f>IFERROR(IF(Portafolio_Proyectos!$AQ768="","",Portafolio_Proyectos!$B768),"")</f>
        <v/>
      </c>
      <c r="F2304" s="5" t="str">
        <f>IFERROR(IF(Portafolio_Proyectos!$AQ768="","",Portafolio_Proyectos!$D768),"")</f>
        <v/>
      </c>
      <c r="G2304" s="5" t="str">
        <f>IFERROR(IF(Portafolio_Proyectos!$AQ768="","",Portafolio_Proyectos!$A768),"")</f>
        <v/>
      </c>
      <c r="H2304" s="5" t="str">
        <f>IFERROR(IF(Portafolio_Proyectos!$AQ768="","",Portafolio_Proyectos!$E768),"")</f>
        <v/>
      </c>
    </row>
    <row r="2305" spans="1:8" x14ac:dyDescent="0.35">
      <c r="A2305" s="5" t="str">
        <f>IFERROR(IF(Portafolio_Proyectos!$AR768="","","CAP-"&amp;ROW()-1),"")</f>
        <v/>
      </c>
      <c r="B2305" s="5" t="str">
        <f>IFERROR(IF(Portafolio_Proyectos!$AR768="","",Portafolio_Proyectos!$AR768),"")</f>
        <v/>
      </c>
      <c r="C2305" s="5" t="str">
        <f>IFERROR(IF(Portafolio_Proyectos!$AR768="","","Distintiva"),"")</f>
        <v/>
      </c>
      <c r="D2305" s="5" t="str">
        <f>IFERROR(IF(Portafolio_Proyectos!$AR768="","",Portafolio_Proyectos!$C768),"")</f>
        <v/>
      </c>
      <c r="E2305" s="5" t="str">
        <f>IFERROR(IF(Portafolio_Proyectos!$AR768="","",Portafolio_Proyectos!$B768),"")</f>
        <v/>
      </c>
      <c r="F2305" s="5" t="str">
        <f>IFERROR(IF(Portafolio_Proyectos!$AR768="","",Portafolio_Proyectos!$D768),"")</f>
        <v/>
      </c>
      <c r="G2305" s="5" t="str">
        <f>IFERROR(IF(Portafolio_Proyectos!$AR768="","",Portafolio_Proyectos!$A768),"")</f>
        <v/>
      </c>
      <c r="H2305" s="5" t="str">
        <f>IFERROR(IF(Portafolio_Proyectos!$AR768="","",Portafolio_Proyectos!$E768),"")</f>
        <v/>
      </c>
    </row>
    <row r="2306" spans="1:8" x14ac:dyDescent="0.35">
      <c r="A2306" s="5" t="str">
        <f>IFERROR(IF(Portafolio_Proyectos!$AP769="","","CAP-"&amp;ROW()-1),"")</f>
        <v/>
      </c>
      <c r="B2306" s="5" t="str">
        <f>IFERROR(IF(Portafolio_Proyectos!$AP769="","",Portafolio_Proyectos!$AP769),"")</f>
        <v/>
      </c>
      <c r="C2306" s="5" t="str">
        <f>IFERROR(IF(Portafolio_Proyectos!$AP769="","","Emergente"),"")</f>
        <v/>
      </c>
      <c r="D2306" s="5" t="str">
        <f>IFERROR(IF(Portafolio_Proyectos!$AP769="","",Portafolio_Proyectos!$C769),"")</f>
        <v/>
      </c>
      <c r="E2306" s="5" t="str">
        <f>IFERROR(IF(Portafolio_Proyectos!$AP769="","",Portafolio_Proyectos!$B769),"")</f>
        <v/>
      </c>
      <c r="F2306" s="5" t="str">
        <f>IFERROR(IF(Portafolio_Proyectos!$AP769="","",Portafolio_Proyectos!$D769),"")</f>
        <v/>
      </c>
      <c r="G2306" s="5" t="str">
        <f>IFERROR(IF(Portafolio_Proyectos!$AP769="","",Portafolio_Proyectos!$A769),"")</f>
        <v/>
      </c>
      <c r="H2306" s="5" t="str">
        <f>IFERROR(IF(Portafolio_Proyectos!$AP769="","",Portafolio_Proyectos!$E769),"")</f>
        <v/>
      </c>
    </row>
    <row r="2307" spans="1:8" x14ac:dyDescent="0.35">
      <c r="A2307" s="5" t="str">
        <f>IFERROR(IF(Portafolio_Proyectos!$AQ769="","","CAP-"&amp;ROW()-1),"")</f>
        <v/>
      </c>
      <c r="B2307" s="5" t="str">
        <f>IFERROR(IF(Portafolio_Proyectos!$AQ769="","",Portafolio_Proyectos!$AQ769),"")</f>
        <v/>
      </c>
      <c r="C2307" s="5" t="str">
        <f>IFERROR(IF(Portafolio_Proyectos!$AQ769="","","Consolidada"),"")</f>
        <v/>
      </c>
      <c r="D2307" s="5" t="str">
        <f>IFERROR(IF(Portafolio_Proyectos!$AQ769="","",Portafolio_Proyectos!$C769),"")</f>
        <v/>
      </c>
      <c r="E2307" s="5" t="str">
        <f>IFERROR(IF(Portafolio_Proyectos!$AQ769="","",Portafolio_Proyectos!$B769),"")</f>
        <v/>
      </c>
      <c r="F2307" s="5" t="str">
        <f>IFERROR(IF(Portafolio_Proyectos!$AQ769="","",Portafolio_Proyectos!$D769),"")</f>
        <v/>
      </c>
      <c r="G2307" s="5" t="str">
        <f>IFERROR(IF(Portafolio_Proyectos!$AQ769="","",Portafolio_Proyectos!$A769),"")</f>
        <v/>
      </c>
      <c r="H2307" s="5" t="str">
        <f>IFERROR(IF(Portafolio_Proyectos!$AQ769="","",Portafolio_Proyectos!$E769),"")</f>
        <v/>
      </c>
    </row>
    <row r="2308" spans="1:8" x14ac:dyDescent="0.35">
      <c r="A2308" s="5" t="str">
        <f>IFERROR(IF(Portafolio_Proyectos!$AR769="","","CAP-"&amp;ROW()-1),"")</f>
        <v/>
      </c>
      <c r="B2308" s="5" t="str">
        <f>IFERROR(IF(Portafolio_Proyectos!$AR769="","",Portafolio_Proyectos!$AR769),"")</f>
        <v/>
      </c>
      <c r="C2308" s="5" t="str">
        <f>IFERROR(IF(Portafolio_Proyectos!$AR769="","","Distintiva"),"")</f>
        <v/>
      </c>
      <c r="D2308" s="5" t="str">
        <f>IFERROR(IF(Portafolio_Proyectos!$AR769="","",Portafolio_Proyectos!$C769),"")</f>
        <v/>
      </c>
      <c r="E2308" s="5" t="str">
        <f>IFERROR(IF(Portafolio_Proyectos!$AR769="","",Portafolio_Proyectos!$B769),"")</f>
        <v/>
      </c>
      <c r="F2308" s="5" t="str">
        <f>IFERROR(IF(Portafolio_Proyectos!$AR769="","",Portafolio_Proyectos!$D769),"")</f>
        <v/>
      </c>
      <c r="G2308" s="5" t="str">
        <f>IFERROR(IF(Portafolio_Proyectos!$AR769="","",Portafolio_Proyectos!$A769),"")</f>
        <v/>
      </c>
      <c r="H2308" s="5" t="str">
        <f>IFERROR(IF(Portafolio_Proyectos!$AR769="","",Portafolio_Proyectos!$E769),"")</f>
        <v/>
      </c>
    </row>
    <row r="2309" spans="1:8" x14ac:dyDescent="0.35">
      <c r="A2309" s="5" t="str">
        <f>IFERROR(IF(Portafolio_Proyectos!$AP770="","","CAP-"&amp;ROW()-1),"")</f>
        <v/>
      </c>
      <c r="B2309" s="5" t="str">
        <f>IFERROR(IF(Portafolio_Proyectos!$AP770="","",Portafolio_Proyectos!$AP770),"")</f>
        <v/>
      </c>
      <c r="C2309" s="5" t="str">
        <f>IFERROR(IF(Portafolio_Proyectos!$AP770="","","Emergente"),"")</f>
        <v/>
      </c>
      <c r="D2309" s="5" t="str">
        <f>IFERROR(IF(Portafolio_Proyectos!$AP770="","",Portafolio_Proyectos!$C770),"")</f>
        <v/>
      </c>
      <c r="E2309" s="5" t="str">
        <f>IFERROR(IF(Portafolio_Proyectos!$AP770="","",Portafolio_Proyectos!$B770),"")</f>
        <v/>
      </c>
      <c r="F2309" s="5" t="str">
        <f>IFERROR(IF(Portafolio_Proyectos!$AP770="","",Portafolio_Proyectos!$D770),"")</f>
        <v/>
      </c>
      <c r="G2309" s="5" t="str">
        <f>IFERROR(IF(Portafolio_Proyectos!$AP770="","",Portafolio_Proyectos!$A770),"")</f>
        <v/>
      </c>
      <c r="H2309" s="5" t="str">
        <f>IFERROR(IF(Portafolio_Proyectos!$AP770="","",Portafolio_Proyectos!$E770),"")</f>
        <v/>
      </c>
    </row>
    <row r="2310" spans="1:8" x14ac:dyDescent="0.35">
      <c r="A2310" s="5" t="str">
        <f>IFERROR(IF(Portafolio_Proyectos!$AQ770="","","CAP-"&amp;ROW()-1),"")</f>
        <v/>
      </c>
      <c r="B2310" s="5" t="str">
        <f>IFERROR(IF(Portafolio_Proyectos!$AQ770="","",Portafolio_Proyectos!$AQ770),"")</f>
        <v/>
      </c>
      <c r="C2310" s="5" t="str">
        <f>IFERROR(IF(Portafolio_Proyectos!$AQ770="","","Consolidada"),"")</f>
        <v/>
      </c>
      <c r="D2310" s="5" t="str">
        <f>IFERROR(IF(Portafolio_Proyectos!$AQ770="","",Portafolio_Proyectos!$C770),"")</f>
        <v/>
      </c>
      <c r="E2310" s="5" t="str">
        <f>IFERROR(IF(Portafolio_Proyectos!$AQ770="","",Portafolio_Proyectos!$B770),"")</f>
        <v/>
      </c>
      <c r="F2310" s="5" t="str">
        <f>IFERROR(IF(Portafolio_Proyectos!$AQ770="","",Portafolio_Proyectos!$D770),"")</f>
        <v/>
      </c>
      <c r="G2310" s="5" t="str">
        <f>IFERROR(IF(Portafolio_Proyectos!$AQ770="","",Portafolio_Proyectos!$A770),"")</f>
        <v/>
      </c>
      <c r="H2310" s="5" t="str">
        <f>IFERROR(IF(Portafolio_Proyectos!$AQ770="","",Portafolio_Proyectos!$E770),"")</f>
        <v/>
      </c>
    </row>
    <row r="2311" spans="1:8" x14ac:dyDescent="0.35">
      <c r="A2311" s="5" t="str">
        <f>IFERROR(IF(Portafolio_Proyectos!$AR770="","","CAP-"&amp;ROW()-1),"")</f>
        <v/>
      </c>
      <c r="B2311" s="5" t="str">
        <f>IFERROR(IF(Portafolio_Proyectos!$AR770="","",Portafolio_Proyectos!$AR770),"")</f>
        <v/>
      </c>
      <c r="C2311" s="5" t="str">
        <f>IFERROR(IF(Portafolio_Proyectos!$AR770="","","Distintiva"),"")</f>
        <v/>
      </c>
      <c r="D2311" s="5" t="str">
        <f>IFERROR(IF(Portafolio_Proyectos!$AR770="","",Portafolio_Proyectos!$C770),"")</f>
        <v/>
      </c>
      <c r="E2311" s="5" t="str">
        <f>IFERROR(IF(Portafolio_Proyectos!$AR770="","",Portafolio_Proyectos!$B770),"")</f>
        <v/>
      </c>
      <c r="F2311" s="5" t="str">
        <f>IFERROR(IF(Portafolio_Proyectos!$AR770="","",Portafolio_Proyectos!$D770),"")</f>
        <v/>
      </c>
      <c r="G2311" s="5" t="str">
        <f>IFERROR(IF(Portafolio_Proyectos!$AR770="","",Portafolio_Proyectos!$A770),"")</f>
        <v/>
      </c>
      <c r="H2311" s="5" t="str">
        <f>IFERROR(IF(Portafolio_Proyectos!$AR770="","",Portafolio_Proyectos!$E770),"")</f>
        <v/>
      </c>
    </row>
    <row r="2312" spans="1:8" x14ac:dyDescent="0.35">
      <c r="A2312" s="5" t="str">
        <f>IFERROR(IF(Portafolio_Proyectos!$AP771="","","CAP-"&amp;ROW()-1),"")</f>
        <v/>
      </c>
      <c r="B2312" s="5" t="str">
        <f>IFERROR(IF(Portafolio_Proyectos!$AP771="","",Portafolio_Proyectos!$AP771),"")</f>
        <v/>
      </c>
      <c r="C2312" s="5" t="str">
        <f>IFERROR(IF(Portafolio_Proyectos!$AP771="","","Emergente"),"")</f>
        <v/>
      </c>
      <c r="D2312" s="5" t="str">
        <f>IFERROR(IF(Portafolio_Proyectos!$AP771="","",Portafolio_Proyectos!$C771),"")</f>
        <v/>
      </c>
      <c r="E2312" s="5" t="str">
        <f>IFERROR(IF(Portafolio_Proyectos!$AP771="","",Portafolio_Proyectos!$B771),"")</f>
        <v/>
      </c>
      <c r="F2312" s="5" t="str">
        <f>IFERROR(IF(Portafolio_Proyectos!$AP771="","",Portafolio_Proyectos!$D771),"")</f>
        <v/>
      </c>
      <c r="G2312" s="5" t="str">
        <f>IFERROR(IF(Portafolio_Proyectos!$AP771="","",Portafolio_Proyectos!$A771),"")</f>
        <v/>
      </c>
      <c r="H2312" s="5" t="str">
        <f>IFERROR(IF(Portafolio_Proyectos!$AP771="","",Portafolio_Proyectos!$E771),"")</f>
        <v/>
      </c>
    </row>
    <row r="2313" spans="1:8" x14ac:dyDescent="0.35">
      <c r="A2313" s="5" t="str">
        <f>IFERROR(IF(Portafolio_Proyectos!$AQ771="","","CAP-"&amp;ROW()-1),"")</f>
        <v/>
      </c>
      <c r="B2313" s="5" t="str">
        <f>IFERROR(IF(Portafolio_Proyectos!$AQ771="","",Portafolio_Proyectos!$AQ771),"")</f>
        <v/>
      </c>
      <c r="C2313" s="5" t="str">
        <f>IFERROR(IF(Portafolio_Proyectos!$AQ771="","","Consolidada"),"")</f>
        <v/>
      </c>
      <c r="D2313" s="5" t="str">
        <f>IFERROR(IF(Portafolio_Proyectos!$AQ771="","",Portafolio_Proyectos!$C771),"")</f>
        <v/>
      </c>
      <c r="E2313" s="5" t="str">
        <f>IFERROR(IF(Portafolio_Proyectos!$AQ771="","",Portafolio_Proyectos!$B771),"")</f>
        <v/>
      </c>
      <c r="F2313" s="5" t="str">
        <f>IFERROR(IF(Portafolio_Proyectos!$AQ771="","",Portafolio_Proyectos!$D771),"")</f>
        <v/>
      </c>
      <c r="G2313" s="5" t="str">
        <f>IFERROR(IF(Portafolio_Proyectos!$AQ771="","",Portafolio_Proyectos!$A771),"")</f>
        <v/>
      </c>
      <c r="H2313" s="5" t="str">
        <f>IFERROR(IF(Portafolio_Proyectos!$AQ771="","",Portafolio_Proyectos!$E771),"")</f>
        <v/>
      </c>
    </row>
    <row r="2314" spans="1:8" x14ac:dyDescent="0.35">
      <c r="A2314" s="5" t="str">
        <f>IFERROR(IF(Portafolio_Proyectos!$AR771="","","CAP-"&amp;ROW()-1),"")</f>
        <v/>
      </c>
      <c r="B2314" s="5" t="str">
        <f>IFERROR(IF(Portafolio_Proyectos!$AR771="","",Portafolio_Proyectos!$AR771),"")</f>
        <v/>
      </c>
      <c r="C2314" s="5" t="str">
        <f>IFERROR(IF(Portafolio_Proyectos!$AR771="","","Distintiva"),"")</f>
        <v/>
      </c>
      <c r="D2314" s="5" t="str">
        <f>IFERROR(IF(Portafolio_Proyectos!$AR771="","",Portafolio_Proyectos!$C771),"")</f>
        <v/>
      </c>
      <c r="E2314" s="5" t="str">
        <f>IFERROR(IF(Portafolio_Proyectos!$AR771="","",Portafolio_Proyectos!$B771),"")</f>
        <v/>
      </c>
      <c r="F2314" s="5" t="str">
        <f>IFERROR(IF(Portafolio_Proyectos!$AR771="","",Portafolio_Proyectos!$D771),"")</f>
        <v/>
      </c>
      <c r="G2314" s="5" t="str">
        <f>IFERROR(IF(Portafolio_Proyectos!$AR771="","",Portafolio_Proyectos!$A771),"")</f>
        <v/>
      </c>
      <c r="H2314" s="5" t="str">
        <f>IFERROR(IF(Portafolio_Proyectos!$AR771="","",Portafolio_Proyectos!$E771),"")</f>
        <v/>
      </c>
    </row>
    <row r="2315" spans="1:8" x14ac:dyDescent="0.35">
      <c r="A2315" s="5" t="str">
        <f>IFERROR(IF(Portafolio_Proyectos!$AP772="","","CAP-"&amp;ROW()-1),"")</f>
        <v/>
      </c>
      <c r="B2315" s="5" t="str">
        <f>IFERROR(IF(Portafolio_Proyectos!$AP772="","",Portafolio_Proyectos!$AP772),"")</f>
        <v/>
      </c>
      <c r="C2315" s="5" t="str">
        <f>IFERROR(IF(Portafolio_Proyectos!$AP772="","","Emergente"),"")</f>
        <v/>
      </c>
      <c r="D2315" s="5" t="str">
        <f>IFERROR(IF(Portafolio_Proyectos!$AP772="","",Portafolio_Proyectos!$C772),"")</f>
        <v/>
      </c>
      <c r="E2315" s="5" t="str">
        <f>IFERROR(IF(Portafolio_Proyectos!$AP772="","",Portafolio_Proyectos!$B772),"")</f>
        <v/>
      </c>
      <c r="F2315" s="5" t="str">
        <f>IFERROR(IF(Portafolio_Proyectos!$AP772="","",Portafolio_Proyectos!$D772),"")</f>
        <v/>
      </c>
      <c r="G2315" s="5" t="str">
        <f>IFERROR(IF(Portafolio_Proyectos!$AP772="","",Portafolio_Proyectos!$A772),"")</f>
        <v/>
      </c>
      <c r="H2315" s="5" t="str">
        <f>IFERROR(IF(Portafolio_Proyectos!$AP772="","",Portafolio_Proyectos!$E772),"")</f>
        <v/>
      </c>
    </row>
    <row r="2316" spans="1:8" x14ac:dyDescent="0.35">
      <c r="A2316" s="5" t="str">
        <f>IFERROR(IF(Portafolio_Proyectos!$AQ772="","","CAP-"&amp;ROW()-1),"")</f>
        <v/>
      </c>
      <c r="B2316" s="5" t="str">
        <f>IFERROR(IF(Portafolio_Proyectos!$AQ772="","",Portafolio_Proyectos!$AQ772),"")</f>
        <v/>
      </c>
      <c r="C2316" s="5" t="str">
        <f>IFERROR(IF(Portafolio_Proyectos!$AQ772="","","Consolidada"),"")</f>
        <v/>
      </c>
      <c r="D2316" s="5" t="str">
        <f>IFERROR(IF(Portafolio_Proyectos!$AQ772="","",Portafolio_Proyectos!$C772),"")</f>
        <v/>
      </c>
      <c r="E2316" s="5" t="str">
        <f>IFERROR(IF(Portafolio_Proyectos!$AQ772="","",Portafolio_Proyectos!$B772),"")</f>
        <v/>
      </c>
      <c r="F2316" s="5" t="str">
        <f>IFERROR(IF(Portafolio_Proyectos!$AQ772="","",Portafolio_Proyectos!$D772),"")</f>
        <v/>
      </c>
      <c r="G2316" s="5" t="str">
        <f>IFERROR(IF(Portafolio_Proyectos!$AQ772="","",Portafolio_Proyectos!$A772),"")</f>
        <v/>
      </c>
      <c r="H2316" s="5" t="str">
        <f>IFERROR(IF(Portafolio_Proyectos!$AQ772="","",Portafolio_Proyectos!$E772),"")</f>
        <v/>
      </c>
    </row>
    <row r="2317" spans="1:8" x14ac:dyDescent="0.35">
      <c r="A2317" s="5" t="str">
        <f>IFERROR(IF(Portafolio_Proyectos!$AR772="","","CAP-"&amp;ROW()-1),"")</f>
        <v/>
      </c>
      <c r="B2317" s="5" t="str">
        <f>IFERROR(IF(Portafolio_Proyectos!$AR772="","",Portafolio_Proyectos!$AR772),"")</f>
        <v/>
      </c>
      <c r="C2317" s="5" t="str">
        <f>IFERROR(IF(Portafolio_Proyectos!$AR772="","","Distintiva"),"")</f>
        <v/>
      </c>
      <c r="D2317" s="5" t="str">
        <f>IFERROR(IF(Portafolio_Proyectos!$AR772="","",Portafolio_Proyectos!$C772),"")</f>
        <v/>
      </c>
      <c r="E2317" s="5" t="str">
        <f>IFERROR(IF(Portafolio_Proyectos!$AR772="","",Portafolio_Proyectos!$B772),"")</f>
        <v/>
      </c>
      <c r="F2317" s="5" t="str">
        <f>IFERROR(IF(Portafolio_Proyectos!$AR772="","",Portafolio_Proyectos!$D772),"")</f>
        <v/>
      </c>
      <c r="G2317" s="5" t="str">
        <f>IFERROR(IF(Portafolio_Proyectos!$AR772="","",Portafolio_Proyectos!$A772),"")</f>
        <v/>
      </c>
      <c r="H2317" s="5" t="str">
        <f>IFERROR(IF(Portafolio_Proyectos!$AR772="","",Portafolio_Proyectos!$E772),"")</f>
        <v/>
      </c>
    </row>
    <row r="2318" spans="1:8" x14ac:dyDescent="0.35">
      <c r="A2318" s="5" t="str">
        <f>IFERROR(IF(Portafolio_Proyectos!$AP773="","","CAP-"&amp;ROW()-1),"")</f>
        <v/>
      </c>
      <c r="B2318" s="5" t="str">
        <f>IFERROR(IF(Portafolio_Proyectos!$AP773="","",Portafolio_Proyectos!$AP773),"")</f>
        <v/>
      </c>
      <c r="C2318" s="5" t="str">
        <f>IFERROR(IF(Portafolio_Proyectos!$AP773="","","Emergente"),"")</f>
        <v/>
      </c>
      <c r="D2318" s="5" t="str">
        <f>IFERROR(IF(Portafolio_Proyectos!$AP773="","",Portafolio_Proyectos!$C773),"")</f>
        <v/>
      </c>
      <c r="E2318" s="5" t="str">
        <f>IFERROR(IF(Portafolio_Proyectos!$AP773="","",Portafolio_Proyectos!$B773),"")</f>
        <v/>
      </c>
      <c r="F2318" s="5" t="str">
        <f>IFERROR(IF(Portafolio_Proyectos!$AP773="","",Portafolio_Proyectos!$D773),"")</f>
        <v/>
      </c>
      <c r="G2318" s="5" t="str">
        <f>IFERROR(IF(Portafolio_Proyectos!$AP773="","",Portafolio_Proyectos!$A773),"")</f>
        <v/>
      </c>
      <c r="H2318" s="5" t="str">
        <f>IFERROR(IF(Portafolio_Proyectos!$AP773="","",Portafolio_Proyectos!$E773),"")</f>
        <v/>
      </c>
    </row>
    <row r="2319" spans="1:8" x14ac:dyDescent="0.35">
      <c r="A2319" s="5" t="str">
        <f>IFERROR(IF(Portafolio_Proyectos!$AQ773="","","CAP-"&amp;ROW()-1),"")</f>
        <v/>
      </c>
      <c r="B2319" s="5" t="str">
        <f>IFERROR(IF(Portafolio_Proyectos!$AQ773="","",Portafolio_Proyectos!$AQ773),"")</f>
        <v/>
      </c>
      <c r="C2319" s="5" t="str">
        <f>IFERROR(IF(Portafolio_Proyectos!$AQ773="","","Consolidada"),"")</f>
        <v/>
      </c>
      <c r="D2319" s="5" t="str">
        <f>IFERROR(IF(Portafolio_Proyectos!$AQ773="","",Portafolio_Proyectos!$C773),"")</f>
        <v/>
      </c>
      <c r="E2319" s="5" t="str">
        <f>IFERROR(IF(Portafolio_Proyectos!$AQ773="","",Portafolio_Proyectos!$B773),"")</f>
        <v/>
      </c>
      <c r="F2319" s="5" t="str">
        <f>IFERROR(IF(Portafolio_Proyectos!$AQ773="","",Portafolio_Proyectos!$D773),"")</f>
        <v/>
      </c>
      <c r="G2319" s="5" t="str">
        <f>IFERROR(IF(Portafolio_Proyectos!$AQ773="","",Portafolio_Proyectos!$A773),"")</f>
        <v/>
      </c>
      <c r="H2319" s="5" t="str">
        <f>IFERROR(IF(Portafolio_Proyectos!$AQ773="","",Portafolio_Proyectos!$E773),"")</f>
        <v/>
      </c>
    </row>
    <row r="2320" spans="1:8" x14ac:dyDescent="0.35">
      <c r="A2320" s="5" t="str">
        <f>IFERROR(IF(Portafolio_Proyectos!$AR773="","","CAP-"&amp;ROW()-1),"")</f>
        <v/>
      </c>
      <c r="B2320" s="5" t="str">
        <f>IFERROR(IF(Portafolio_Proyectos!$AR773="","",Portafolio_Proyectos!$AR773),"")</f>
        <v/>
      </c>
      <c r="C2320" s="5" t="str">
        <f>IFERROR(IF(Portafolio_Proyectos!$AR773="","","Distintiva"),"")</f>
        <v/>
      </c>
      <c r="D2320" s="5" t="str">
        <f>IFERROR(IF(Portafolio_Proyectos!$AR773="","",Portafolio_Proyectos!$C773),"")</f>
        <v/>
      </c>
      <c r="E2320" s="5" t="str">
        <f>IFERROR(IF(Portafolio_Proyectos!$AR773="","",Portafolio_Proyectos!$B773),"")</f>
        <v/>
      </c>
      <c r="F2320" s="5" t="str">
        <f>IFERROR(IF(Portafolio_Proyectos!$AR773="","",Portafolio_Proyectos!$D773),"")</f>
        <v/>
      </c>
      <c r="G2320" s="5" t="str">
        <f>IFERROR(IF(Portafolio_Proyectos!$AR773="","",Portafolio_Proyectos!$A773),"")</f>
        <v/>
      </c>
      <c r="H2320" s="5" t="str">
        <f>IFERROR(IF(Portafolio_Proyectos!$AR773="","",Portafolio_Proyectos!$E773),"")</f>
        <v/>
      </c>
    </row>
    <row r="2321" spans="1:8" x14ac:dyDescent="0.35">
      <c r="A2321" s="5" t="str">
        <f>IFERROR(IF(Portafolio_Proyectos!$AP774="","","CAP-"&amp;ROW()-1),"")</f>
        <v/>
      </c>
      <c r="B2321" s="5" t="str">
        <f>IFERROR(IF(Portafolio_Proyectos!$AP774="","",Portafolio_Proyectos!$AP774),"")</f>
        <v/>
      </c>
      <c r="C2321" s="5" t="str">
        <f>IFERROR(IF(Portafolio_Proyectos!$AP774="","","Emergente"),"")</f>
        <v/>
      </c>
      <c r="D2321" s="5" t="str">
        <f>IFERROR(IF(Portafolio_Proyectos!$AP774="","",Portafolio_Proyectos!$C774),"")</f>
        <v/>
      </c>
      <c r="E2321" s="5" t="str">
        <f>IFERROR(IF(Portafolio_Proyectos!$AP774="","",Portafolio_Proyectos!$B774),"")</f>
        <v/>
      </c>
      <c r="F2321" s="5" t="str">
        <f>IFERROR(IF(Portafolio_Proyectos!$AP774="","",Portafolio_Proyectos!$D774),"")</f>
        <v/>
      </c>
      <c r="G2321" s="5" t="str">
        <f>IFERROR(IF(Portafolio_Proyectos!$AP774="","",Portafolio_Proyectos!$A774),"")</f>
        <v/>
      </c>
      <c r="H2321" s="5" t="str">
        <f>IFERROR(IF(Portafolio_Proyectos!$AP774="","",Portafolio_Proyectos!$E774),"")</f>
        <v/>
      </c>
    </row>
    <row r="2322" spans="1:8" x14ac:dyDescent="0.35">
      <c r="A2322" s="5" t="str">
        <f>IFERROR(IF(Portafolio_Proyectos!$AQ774="","","CAP-"&amp;ROW()-1),"")</f>
        <v/>
      </c>
      <c r="B2322" s="5" t="str">
        <f>IFERROR(IF(Portafolio_Proyectos!$AQ774="","",Portafolio_Proyectos!$AQ774),"")</f>
        <v/>
      </c>
      <c r="C2322" s="5" t="str">
        <f>IFERROR(IF(Portafolio_Proyectos!$AQ774="","","Consolidada"),"")</f>
        <v/>
      </c>
      <c r="D2322" s="5" t="str">
        <f>IFERROR(IF(Portafolio_Proyectos!$AQ774="","",Portafolio_Proyectos!$C774),"")</f>
        <v/>
      </c>
      <c r="E2322" s="5" t="str">
        <f>IFERROR(IF(Portafolio_Proyectos!$AQ774="","",Portafolio_Proyectos!$B774),"")</f>
        <v/>
      </c>
      <c r="F2322" s="5" t="str">
        <f>IFERROR(IF(Portafolio_Proyectos!$AQ774="","",Portafolio_Proyectos!$D774),"")</f>
        <v/>
      </c>
      <c r="G2322" s="5" t="str">
        <f>IFERROR(IF(Portafolio_Proyectos!$AQ774="","",Portafolio_Proyectos!$A774),"")</f>
        <v/>
      </c>
      <c r="H2322" s="5" t="str">
        <f>IFERROR(IF(Portafolio_Proyectos!$AQ774="","",Portafolio_Proyectos!$E774),"")</f>
        <v/>
      </c>
    </row>
    <row r="2323" spans="1:8" x14ac:dyDescent="0.35">
      <c r="A2323" s="5" t="str">
        <f>IFERROR(IF(Portafolio_Proyectos!$AR774="","","CAP-"&amp;ROW()-1),"")</f>
        <v/>
      </c>
      <c r="B2323" s="5" t="str">
        <f>IFERROR(IF(Portafolio_Proyectos!$AR774="","",Portafolio_Proyectos!$AR774),"")</f>
        <v/>
      </c>
      <c r="C2323" s="5" t="str">
        <f>IFERROR(IF(Portafolio_Proyectos!$AR774="","","Distintiva"),"")</f>
        <v/>
      </c>
      <c r="D2323" s="5" t="str">
        <f>IFERROR(IF(Portafolio_Proyectos!$AR774="","",Portafolio_Proyectos!$C774),"")</f>
        <v/>
      </c>
      <c r="E2323" s="5" t="str">
        <f>IFERROR(IF(Portafolio_Proyectos!$AR774="","",Portafolio_Proyectos!$B774),"")</f>
        <v/>
      </c>
      <c r="F2323" s="5" t="str">
        <f>IFERROR(IF(Portafolio_Proyectos!$AR774="","",Portafolio_Proyectos!$D774),"")</f>
        <v/>
      </c>
      <c r="G2323" s="5" t="str">
        <f>IFERROR(IF(Portafolio_Proyectos!$AR774="","",Portafolio_Proyectos!$A774),"")</f>
        <v/>
      </c>
      <c r="H2323" s="5" t="str">
        <f>IFERROR(IF(Portafolio_Proyectos!$AR774="","",Portafolio_Proyectos!$E774),"")</f>
        <v/>
      </c>
    </row>
    <row r="2324" spans="1:8" x14ac:dyDescent="0.35">
      <c r="A2324" s="5" t="str">
        <f>IFERROR(IF(Portafolio_Proyectos!$AP775="","","CAP-"&amp;ROW()-1),"")</f>
        <v/>
      </c>
      <c r="B2324" s="5" t="str">
        <f>IFERROR(IF(Portafolio_Proyectos!$AP775="","",Portafolio_Proyectos!$AP775),"")</f>
        <v/>
      </c>
      <c r="C2324" s="5" t="str">
        <f>IFERROR(IF(Portafolio_Proyectos!$AP775="","","Emergente"),"")</f>
        <v/>
      </c>
      <c r="D2324" s="5" t="str">
        <f>IFERROR(IF(Portafolio_Proyectos!$AP775="","",Portafolio_Proyectos!$C775),"")</f>
        <v/>
      </c>
      <c r="E2324" s="5" t="str">
        <f>IFERROR(IF(Portafolio_Proyectos!$AP775="","",Portafolio_Proyectos!$B775),"")</f>
        <v/>
      </c>
      <c r="F2324" s="5" t="str">
        <f>IFERROR(IF(Portafolio_Proyectos!$AP775="","",Portafolio_Proyectos!$D775),"")</f>
        <v/>
      </c>
      <c r="G2324" s="5" t="str">
        <f>IFERROR(IF(Portafolio_Proyectos!$AP775="","",Portafolio_Proyectos!$A775),"")</f>
        <v/>
      </c>
      <c r="H2324" s="5" t="str">
        <f>IFERROR(IF(Portafolio_Proyectos!$AP775="","",Portafolio_Proyectos!$E775),"")</f>
        <v/>
      </c>
    </row>
    <row r="2325" spans="1:8" x14ac:dyDescent="0.35">
      <c r="A2325" s="5" t="str">
        <f>IFERROR(IF(Portafolio_Proyectos!$AQ775="","","CAP-"&amp;ROW()-1),"")</f>
        <v/>
      </c>
      <c r="B2325" s="5" t="str">
        <f>IFERROR(IF(Portafolio_Proyectos!$AQ775="","",Portafolio_Proyectos!$AQ775),"")</f>
        <v/>
      </c>
      <c r="C2325" s="5" t="str">
        <f>IFERROR(IF(Portafolio_Proyectos!$AQ775="","","Consolidada"),"")</f>
        <v/>
      </c>
      <c r="D2325" s="5" t="str">
        <f>IFERROR(IF(Portafolio_Proyectos!$AQ775="","",Portafolio_Proyectos!$C775),"")</f>
        <v/>
      </c>
      <c r="E2325" s="5" t="str">
        <f>IFERROR(IF(Portafolio_Proyectos!$AQ775="","",Portafolio_Proyectos!$B775),"")</f>
        <v/>
      </c>
      <c r="F2325" s="5" t="str">
        <f>IFERROR(IF(Portafolio_Proyectos!$AQ775="","",Portafolio_Proyectos!$D775),"")</f>
        <v/>
      </c>
      <c r="G2325" s="5" t="str">
        <f>IFERROR(IF(Portafolio_Proyectos!$AQ775="","",Portafolio_Proyectos!$A775),"")</f>
        <v/>
      </c>
      <c r="H2325" s="5" t="str">
        <f>IFERROR(IF(Portafolio_Proyectos!$AQ775="","",Portafolio_Proyectos!$E775),"")</f>
        <v/>
      </c>
    </row>
    <row r="2326" spans="1:8" x14ac:dyDescent="0.35">
      <c r="A2326" s="5" t="str">
        <f>IFERROR(IF(Portafolio_Proyectos!$AR775="","","CAP-"&amp;ROW()-1),"")</f>
        <v/>
      </c>
      <c r="B2326" s="5" t="str">
        <f>IFERROR(IF(Portafolio_Proyectos!$AR775="","",Portafolio_Proyectos!$AR775),"")</f>
        <v/>
      </c>
      <c r="C2326" s="5" t="str">
        <f>IFERROR(IF(Portafolio_Proyectos!$AR775="","","Distintiva"),"")</f>
        <v/>
      </c>
      <c r="D2326" s="5" t="str">
        <f>IFERROR(IF(Portafolio_Proyectos!$AR775="","",Portafolio_Proyectos!$C775),"")</f>
        <v/>
      </c>
      <c r="E2326" s="5" t="str">
        <f>IFERROR(IF(Portafolio_Proyectos!$AR775="","",Portafolio_Proyectos!$B775),"")</f>
        <v/>
      </c>
      <c r="F2326" s="5" t="str">
        <f>IFERROR(IF(Portafolio_Proyectos!$AR775="","",Portafolio_Proyectos!$D775),"")</f>
        <v/>
      </c>
      <c r="G2326" s="5" t="str">
        <f>IFERROR(IF(Portafolio_Proyectos!$AR775="","",Portafolio_Proyectos!$A775),"")</f>
        <v/>
      </c>
      <c r="H2326" s="5" t="str">
        <f>IFERROR(IF(Portafolio_Proyectos!$AR775="","",Portafolio_Proyectos!$E775),"")</f>
        <v/>
      </c>
    </row>
    <row r="2327" spans="1:8" x14ac:dyDescent="0.35">
      <c r="A2327" s="5" t="str">
        <f>IFERROR(IF(Portafolio_Proyectos!$AP776="","","CAP-"&amp;ROW()-1),"")</f>
        <v/>
      </c>
      <c r="B2327" s="5" t="str">
        <f>IFERROR(IF(Portafolio_Proyectos!$AP776="","",Portafolio_Proyectos!$AP776),"")</f>
        <v/>
      </c>
      <c r="C2327" s="5" t="str">
        <f>IFERROR(IF(Portafolio_Proyectos!$AP776="","","Emergente"),"")</f>
        <v/>
      </c>
      <c r="D2327" s="5" t="str">
        <f>IFERROR(IF(Portafolio_Proyectos!$AP776="","",Portafolio_Proyectos!$C776),"")</f>
        <v/>
      </c>
      <c r="E2327" s="5" t="str">
        <f>IFERROR(IF(Portafolio_Proyectos!$AP776="","",Portafolio_Proyectos!$B776),"")</f>
        <v/>
      </c>
      <c r="F2327" s="5" t="str">
        <f>IFERROR(IF(Portafolio_Proyectos!$AP776="","",Portafolio_Proyectos!$D776),"")</f>
        <v/>
      </c>
      <c r="G2327" s="5" t="str">
        <f>IFERROR(IF(Portafolio_Proyectos!$AP776="","",Portafolio_Proyectos!$A776),"")</f>
        <v/>
      </c>
      <c r="H2327" s="5" t="str">
        <f>IFERROR(IF(Portafolio_Proyectos!$AP776="","",Portafolio_Proyectos!$E776),"")</f>
        <v/>
      </c>
    </row>
    <row r="2328" spans="1:8" x14ac:dyDescent="0.35">
      <c r="A2328" s="5" t="str">
        <f>IFERROR(IF(Portafolio_Proyectos!$AQ776="","","CAP-"&amp;ROW()-1),"")</f>
        <v/>
      </c>
      <c r="B2328" s="5" t="str">
        <f>IFERROR(IF(Portafolio_Proyectos!$AQ776="","",Portafolio_Proyectos!$AQ776),"")</f>
        <v/>
      </c>
      <c r="C2328" s="5" t="str">
        <f>IFERROR(IF(Portafolio_Proyectos!$AQ776="","","Consolidada"),"")</f>
        <v/>
      </c>
      <c r="D2328" s="5" t="str">
        <f>IFERROR(IF(Portafolio_Proyectos!$AQ776="","",Portafolio_Proyectos!$C776),"")</f>
        <v/>
      </c>
      <c r="E2328" s="5" t="str">
        <f>IFERROR(IF(Portafolio_Proyectos!$AQ776="","",Portafolio_Proyectos!$B776),"")</f>
        <v/>
      </c>
      <c r="F2328" s="5" t="str">
        <f>IFERROR(IF(Portafolio_Proyectos!$AQ776="","",Portafolio_Proyectos!$D776),"")</f>
        <v/>
      </c>
      <c r="G2328" s="5" t="str">
        <f>IFERROR(IF(Portafolio_Proyectos!$AQ776="","",Portafolio_Proyectos!$A776),"")</f>
        <v/>
      </c>
      <c r="H2328" s="5" t="str">
        <f>IFERROR(IF(Portafolio_Proyectos!$AQ776="","",Portafolio_Proyectos!$E776),"")</f>
        <v/>
      </c>
    </row>
    <row r="2329" spans="1:8" x14ac:dyDescent="0.35">
      <c r="A2329" s="5" t="str">
        <f>IFERROR(IF(Portafolio_Proyectos!$AR776="","","CAP-"&amp;ROW()-1),"")</f>
        <v/>
      </c>
      <c r="B2329" s="5" t="str">
        <f>IFERROR(IF(Portafolio_Proyectos!$AR776="","",Portafolio_Proyectos!$AR776),"")</f>
        <v/>
      </c>
      <c r="C2329" s="5" t="str">
        <f>IFERROR(IF(Portafolio_Proyectos!$AR776="","","Distintiva"),"")</f>
        <v/>
      </c>
      <c r="D2329" s="5" t="str">
        <f>IFERROR(IF(Portafolio_Proyectos!$AR776="","",Portafolio_Proyectos!$C776),"")</f>
        <v/>
      </c>
      <c r="E2329" s="5" t="str">
        <f>IFERROR(IF(Portafolio_Proyectos!$AR776="","",Portafolio_Proyectos!$B776),"")</f>
        <v/>
      </c>
      <c r="F2329" s="5" t="str">
        <f>IFERROR(IF(Portafolio_Proyectos!$AR776="","",Portafolio_Proyectos!$D776),"")</f>
        <v/>
      </c>
      <c r="G2329" s="5" t="str">
        <f>IFERROR(IF(Portafolio_Proyectos!$AR776="","",Portafolio_Proyectos!$A776),"")</f>
        <v/>
      </c>
      <c r="H2329" s="5" t="str">
        <f>IFERROR(IF(Portafolio_Proyectos!$AR776="","",Portafolio_Proyectos!$E776),"")</f>
        <v/>
      </c>
    </row>
    <row r="2330" spans="1:8" x14ac:dyDescent="0.35">
      <c r="A2330" s="5" t="str">
        <f>IFERROR(IF(Portafolio_Proyectos!$AP777="","","CAP-"&amp;ROW()-1),"")</f>
        <v/>
      </c>
      <c r="B2330" s="5" t="str">
        <f>IFERROR(IF(Portafolio_Proyectos!$AP777="","",Portafolio_Proyectos!$AP777),"")</f>
        <v/>
      </c>
      <c r="C2330" s="5" t="str">
        <f>IFERROR(IF(Portafolio_Proyectos!$AP777="","","Emergente"),"")</f>
        <v/>
      </c>
      <c r="D2330" s="5" t="str">
        <f>IFERROR(IF(Portafolio_Proyectos!$AP777="","",Portafolio_Proyectos!$C777),"")</f>
        <v/>
      </c>
      <c r="E2330" s="5" t="str">
        <f>IFERROR(IF(Portafolio_Proyectos!$AP777="","",Portafolio_Proyectos!$B777),"")</f>
        <v/>
      </c>
      <c r="F2330" s="5" t="str">
        <f>IFERROR(IF(Portafolio_Proyectos!$AP777="","",Portafolio_Proyectos!$D777),"")</f>
        <v/>
      </c>
      <c r="G2330" s="5" t="str">
        <f>IFERROR(IF(Portafolio_Proyectos!$AP777="","",Portafolio_Proyectos!$A777),"")</f>
        <v/>
      </c>
      <c r="H2330" s="5" t="str">
        <f>IFERROR(IF(Portafolio_Proyectos!$AP777="","",Portafolio_Proyectos!$E777),"")</f>
        <v/>
      </c>
    </row>
    <row r="2331" spans="1:8" x14ac:dyDescent="0.35">
      <c r="A2331" s="5" t="str">
        <f>IFERROR(IF(Portafolio_Proyectos!$AQ777="","","CAP-"&amp;ROW()-1),"")</f>
        <v/>
      </c>
      <c r="B2331" s="5" t="str">
        <f>IFERROR(IF(Portafolio_Proyectos!$AQ777="","",Portafolio_Proyectos!$AQ777),"")</f>
        <v/>
      </c>
      <c r="C2331" s="5" t="str">
        <f>IFERROR(IF(Portafolio_Proyectos!$AQ777="","","Consolidada"),"")</f>
        <v/>
      </c>
      <c r="D2331" s="5" t="str">
        <f>IFERROR(IF(Portafolio_Proyectos!$AQ777="","",Portafolio_Proyectos!$C777),"")</f>
        <v/>
      </c>
      <c r="E2331" s="5" t="str">
        <f>IFERROR(IF(Portafolio_Proyectos!$AQ777="","",Portafolio_Proyectos!$B777),"")</f>
        <v/>
      </c>
      <c r="F2331" s="5" t="str">
        <f>IFERROR(IF(Portafolio_Proyectos!$AQ777="","",Portafolio_Proyectos!$D777),"")</f>
        <v/>
      </c>
      <c r="G2331" s="5" t="str">
        <f>IFERROR(IF(Portafolio_Proyectos!$AQ777="","",Portafolio_Proyectos!$A777),"")</f>
        <v/>
      </c>
      <c r="H2331" s="5" t="str">
        <f>IFERROR(IF(Portafolio_Proyectos!$AQ777="","",Portafolio_Proyectos!$E777),"")</f>
        <v/>
      </c>
    </row>
    <row r="2332" spans="1:8" x14ac:dyDescent="0.35">
      <c r="A2332" s="5" t="str">
        <f>IFERROR(IF(Portafolio_Proyectos!$AR777="","","CAP-"&amp;ROW()-1),"")</f>
        <v/>
      </c>
      <c r="B2332" s="5" t="str">
        <f>IFERROR(IF(Portafolio_Proyectos!$AR777="","",Portafolio_Proyectos!$AR777),"")</f>
        <v/>
      </c>
      <c r="C2332" s="5" t="str">
        <f>IFERROR(IF(Portafolio_Proyectos!$AR777="","","Distintiva"),"")</f>
        <v/>
      </c>
      <c r="D2332" s="5" t="str">
        <f>IFERROR(IF(Portafolio_Proyectos!$AR777="","",Portafolio_Proyectos!$C777),"")</f>
        <v/>
      </c>
      <c r="E2332" s="5" t="str">
        <f>IFERROR(IF(Portafolio_Proyectos!$AR777="","",Portafolio_Proyectos!$B777),"")</f>
        <v/>
      </c>
      <c r="F2332" s="5" t="str">
        <f>IFERROR(IF(Portafolio_Proyectos!$AR777="","",Portafolio_Proyectos!$D777),"")</f>
        <v/>
      </c>
      <c r="G2332" s="5" t="str">
        <f>IFERROR(IF(Portafolio_Proyectos!$AR777="","",Portafolio_Proyectos!$A777),"")</f>
        <v/>
      </c>
      <c r="H2332" s="5" t="str">
        <f>IFERROR(IF(Portafolio_Proyectos!$AR777="","",Portafolio_Proyectos!$E777),"")</f>
        <v/>
      </c>
    </row>
    <row r="2333" spans="1:8" x14ac:dyDescent="0.35">
      <c r="A2333" s="5" t="str">
        <f>IFERROR(IF(Portafolio_Proyectos!$AP778="","","CAP-"&amp;ROW()-1),"")</f>
        <v/>
      </c>
      <c r="B2333" s="5" t="str">
        <f>IFERROR(IF(Portafolio_Proyectos!$AP778="","",Portafolio_Proyectos!$AP778),"")</f>
        <v/>
      </c>
      <c r="C2333" s="5" t="str">
        <f>IFERROR(IF(Portafolio_Proyectos!$AP778="","","Emergente"),"")</f>
        <v/>
      </c>
      <c r="D2333" s="5" t="str">
        <f>IFERROR(IF(Portafolio_Proyectos!$AP778="","",Portafolio_Proyectos!$C778),"")</f>
        <v/>
      </c>
      <c r="E2333" s="5" t="str">
        <f>IFERROR(IF(Portafolio_Proyectos!$AP778="","",Portafolio_Proyectos!$B778),"")</f>
        <v/>
      </c>
      <c r="F2333" s="5" t="str">
        <f>IFERROR(IF(Portafolio_Proyectos!$AP778="","",Portafolio_Proyectos!$D778),"")</f>
        <v/>
      </c>
      <c r="G2333" s="5" t="str">
        <f>IFERROR(IF(Portafolio_Proyectos!$AP778="","",Portafolio_Proyectos!$A778),"")</f>
        <v/>
      </c>
      <c r="H2333" s="5" t="str">
        <f>IFERROR(IF(Portafolio_Proyectos!$AP778="","",Portafolio_Proyectos!$E778),"")</f>
        <v/>
      </c>
    </row>
    <row r="2334" spans="1:8" x14ac:dyDescent="0.35">
      <c r="A2334" s="5" t="str">
        <f>IFERROR(IF(Portafolio_Proyectos!$AQ778="","","CAP-"&amp;ROW()-1),"")</f>
        <v/>
      </c>
      <c r="B2334" s="5" t="str">
        <f>IFERROR(IF(Portafolio_Proyectos!$AQ778="","",Portafolio_Proyectos!$AQ778),"")</f>
        <v/>
      </c>
      <c r="C2334" s="5" t="str">
        <f>IFERROR(IF(Portafolio_Proyectos!$AQ778="","","Consolidada"),"")</f>
        <v/>
      </c>
      <c r="D2334" s="5" t="str">
        <f>IFERROR(IF(Portafolio_Proyectos!$AQ778="","",Portafolio_Proyectos!$C778),"")</f>
        <v/>
      </c>
      <c r="E2334" s="5" t="str">
        <f>IFERROR(IF(Portafolio_Proyectos!$AQ778="","",Portafolio_Proyectos!$B778),"")</f>
        <v/>
      </c>
      <c r="F2334" s="5" t="str">
        <f>IFERROR(IF(Portafolio_Proyectos!$AQ778="","",Portafolio_Proyectos!$D778),"")</f>
        <v/>
      </c>
      <c r="G2334" s="5" t="str">
        <f>IFERROR(IF(Portafolio_Proyectos!$AQ778="","",Portafolio_Proyectos!$A778),"")</f>
        <v/>
      </c>
      <c r="H2334" s="5" t="str">
        <f>IFERROR(IF(Portafolio_Proyectos!$AQ778="","",Portafolio_Proyectos!$E778),"")</f>
        <v/>
      </c>
    </row>
    <row r="2335" spans="1:8" x14ac:dyDescent="0.35">
      <c r="A2335" s="5" t="str">
        <f>IFERROR(IF(Portafolio_Proyectos!$AR778="","","CAP-"&amp;ROW()-1),"")</f>
        <v/>
      </c>
      <c r="B2335" s="5" t="str">
        <f>IFERROR(IF(Portafolio_Proyectos!$AR778="","",Portafolio_Proyectos!$AR778),"")</f>
        <v/>
      </c>
      <c r="C2335" s="5" t="str">
        <f>IFERROR(IF(Portafolio_Proyectos!$AR778="","","Distintiva"),"")</f>
        <v/>
      </c>
      <c r="D2335" s="5" t="str">
        <f>IFERROR(IF(Portafolio_Proyectos!$AR778="","",Portafolio_Proyectos!$C778),"")</f>
        <v/>
      </c>
      <c r="E2335" s="5" t="str">
        <f>IFERROR(IF(Portafolio_Proyectos!$AR778="","",Portafolio_Proyectos!$B778),"")</f>
        <v/>
      </c>
      <c r="F2335" s="5" t="str">
        <f>IFERROR(IF(Portafolio_Proyectos!$AR778="","",Portafolio_Proyectos!$D778),"")</f>
        <v/>
      </c>
      <c r="G2335" s="5" t="str">
        <f>IFERROR(IF(Portafolio_Proyectos!$AR778="","",Portafolio_Proyectos!$A778),"")</f>
        <v/>
      </c>
      <c r="H2335" s="5" t="str">
        <f>IFERROR(IF(Portafolio_Proyectos!$AR778="","",Portafolio_Proyectos!$E778),"")</f>
        <v/>
      </c>
    </row>
    <row r="2336" spans="1:8" x14ac:dyDescent="0.35">
      <c r="A2336" s="5" t="str">
        <f>IFERROR(IF(Portafolio_Proyectos!$AP779="","","CAP-"&amp;ROW()-1),"")</f>
        <v/>
      </c>
      <c r="B2336" s="5" t="str">
        <f>IFERROR(IF(Portafolio_Proyectos!$AP779="","",Portafolio_Proyectos!$AP779),"")</f>
        <v/>
      </c>
      <c r="C2336" s="5" t="str">
        <f>IFERROR(IF(Portafolio_Proyectos!$AP779="","","Emergente"),"")</f>
        <v/>
      </c>
      <c r="D2336" s="5" t="str">
        <f>IFERROR(IF(Portafolio_Proyectos!$AP779="","",Portafolio_Proyectos!$C779),"")</f>
        <v/>
      </c>
      <c r="E2336" s="5" t="str">
        <f>IFERROR(IF(Portafolio_Proyectos!$AP779="","",Portafolio_Proyectos!$B779),"")</f>
        <v/>
      </c>
      <c r="F2336" s="5" t="str">
        <f>IFERROR(IF(Portafolio_Proyectos!$AP779="","",Portafolio_Proyectos!$D779),"")</f>
        <v/>
      </c>
      <c r="G2336" s="5" t="str">
        <f>IFERROR(IF(Portafolio_Proyectos!$AP779="","",Portafolio_Proyectos!$A779),"")</f>
        <v/>
      </c>
      <c r="H2336" s="5" t="str">
        <f>IFERROR(IF(Portafolio_Proyectos!$AP779="","",Portafolio_Proyectos!$E779),"")</f>
        <v/>
      </c>
    </row>
    <row r="2337" spans="1:8" x14ac:dyDescent="0.35">
      <c r="A2337" s="5" t="str">
        <f>IFERROR(IF(Portafolio_Proyectos!$AQ779="","","CAP-"&amp;ROW()-1),"")</f>
        <v/>
      </c>
      <c r="B2337" s="5" t="str">
        <f>IFERROR(IF(Portafolio_Proyectos!$AQ779="","",Portafolio_Proyectos!$AQ779),"")</f>
        <v/>
      </c>
      <c r="C2337" s="5" t="str">
        <f>IFERROR(IF(Portafolio_Proyectos!$AQ779="","","Consolidada"),"")</f>
        <v/>
      </c>
      <c r="D2337" s="5" t="str">
        <f>IFERROR(IF(Portafolio_Proyectos!$AQ779="","",Portafolio_Proyectos!$C779),"")</f>
        <v/>
      </c>
      <c r="E2337" s="5" t="str">
        <f>IFERROR(IF(Portafolio_Proyectos!$AQ779="","",Portafolio_Proyectos!$B779),"")</f>
        <v/>
      </c>
      <c r="F2337" s="5" t="str">
        <f>IFERROR(IF(Portafolio_Proyectos!$AQ779="","",Portafolio_Proyectos!$D779),"")</f>
        <v/>
      </c>
      <c r="G2337" s="5" t="str">
        <f>IFERROR(IF(Portafolio_Proyectos!$AQ779="","",Portafolio_Proyectos!$A779),"")</f>
        <v/>
      </c>
      <c r="H2337" s="5" t="str">
        <f>IFERROR(IF(Portafolio_Proyectos!$AQ779="","",Portafolio_Proyectos!$E779),"")</f>
        <v/>
      </c>
    </row>
    <row r="2338" spans="1:8" x14ac:dyDescent="0.35">
      <c r="A2338" s="5" t="str">
        <f>IFERROR(IF(Portafolio_Proyectos!$AR779="","","CAP-"&amp;ROW()-1),"")</f>
        <v/>
      </c>
      <c r="B2338" s="5" t="str">
        <f>IFERROR(IF(Portafolio_Proyectos!$AR779="","",Portafolio_Proyectos!$AR779),"")</f>
        <v/>
      </c>
      <c r="C2338" s="5" t="str">
        <f>IFERROR(IF(Portafolio_Proyectos!$AR779="","","Distintiva"),"")</f>
        <v/>
      </c>
      <c r="D2338" s="5" t="str">
        <f>IFERROR(IF(Portafolio_Proyectos!$AR779="","",Portafolio_Proyectos!$C779),"")</f>
        <v/>
      </c>
      <c r="E2338" s="5" t="str">
        <f>IFERROR(IF(Portafolio_Proyectos!$AR779="","",Portafolio_Proyectos!$B779),"")</f>
        <v/>
      </c>
      <c r="F2338" s="5" t="str">
        <f>IFERROR(IF(Portafolio_Proyectos!$AR779="","",Portafolio_Proyectos!$D779),"")</f>
        <v/>
      </c>
      <c r="G2338" s="5" t="str">
        <f>IFERROR(IF(Portafolio_Proyectos!$AR779="","",Portafolio_Proyectos!$A779),"")</f>
        <v/>
      </c>
      <c r="H2338" s="5" t="str">
        <f>IFERROR(IF(Portafolio_Proyectos!$AR779="","",Portafolio_Proyectos!$E779),"")</f>
        <v/>
      </c>
    </row>
    <row r="2339" spans="1:8" x14ac:dyDescent="0.35">
      <c r="A2339" s="5" t="str">
        <f>IFERROR(IF(Portafolio_Proyectos!$AP780="","","CAP-"&amp;ROW()-1),"")</f>
        <v/>
      </c>
      <c r="B2339" s="5" t="str">
        <f>IFERROR(IF(Portafolio_Proyectos!$AP780="","",Portafolio_Proyectos!$AP780),"")</f>
        <v/>
      </c>
      <c r="C2339" s="5" t="str">
        <f>IFERROR(IF(Portafolio_Proyectos!$AP780="","","Emergente"),"")</f>
        <v/>
      </c>
      <c r="D2339" s="5" t="str">
        <f>IFERROR(IF(Portafolio_Proyectos!$AP780="","",Portafolio_Proyectos!$C780),"")</f>
        <v/>
      </c>
      <c r="E2339" s="5" t="str">
        <f>IFERROR(IF(Portafolio_Proyectos!$AP780="","",Portafolio_Proyectos!$B780),"")</f>
        <v/>
      </c>
      <c r="F2339" s="5" t="str">
        <f>IFERROR(IF(Portafolio_Proyectos!$AP780="","",Portafolio_Proyectos!$D780),"")</f>
        <v/>
      </c>
      <c r="G2339" s="5" t="str">
        <f>IFERROR(IF(Portafolio_Proyectos!$AP780="","",Portafolio_Proyectos!$A780),"")</f>
        <v/>
      </c>
      <c r="H2339" s="5" t="str">
        <f>IFERROR(IF(Portafolio_Proyectos!$AP780="","",Portafolio_Proyectos!$E780),"")</f>
        <v/>
      </c>
    </row>
    <row r="2340" spans="1:8" x14ac:dyDescent="0.35">
      <c r="A2340" s="5" t="str">
        <f>IFERROR(IF(Portafolio_Proyectos!$AQ780="","","CAP-"&amp;ROW()-1),"")</f>
        <v/>
      </c>
      <c r="B2340" s="5" t="str">
        <f>IFERROR(IF(Portafolio_Proyectos!$AQ780="","",Portafolio_Proyectos!$AQ780),"")</f>
        <v/>
      </c>
      <c r="C2340" s="5" t="str">
        <f>IFERROR(IF(Portafolio_Proyectos!$AQ780="","","Consolidada"),"")</f>
        <v/>
      </c>
      <c r="D2340" s="5" t="str">
        <f>IFERROR(IF(Portafolio_Proyectos!$AQ780="","",Portafolio_Proyectos!$C780),"")</f>
        <v/>
      </c>
      <c r="E2340" s="5" t="str">
        <f>IFERROR(IF(Portafolio_Proyectos!$AQ780="","",Portafolio_Proyectos!$B780),"")</f>
        <v/>
      </c>
      <c r="F2340" s="5" t="str">
        <f>IFERROR(IF(Portafolio_Proyectos!$AQ780="","",Portafolio_Proyectos!$D780),"")</f>
        <v/>
      </c>
      <c r="G2340" s="5" t="str">
        <f>IFERROR(IF(Portafolio_Proyectos!$AQ780="","",Portafolio_Proyectos!$A780),"")</f>
        <v/>
      </c>
      <c r="H2340" s="5" t="str">
        <f>IFERROR(IF(Portafolio_Proyectos!$AQ780="","",Portafolio_Proyectos!$E780),"")</f>
        <v/>
      </c>
    </row>
    <row r="2341" spans="1:8" x14ac:dyDescent="0.35">
      <c r="A2341" s="5" t="str">
        <f>IFERROR(IF(Portafolio_Proyectos!$AR780="","","CAP-"&amp;ROW()-1),"")</f>
        <v/>
      </c>
      <c r="B2341" s="5" t="str">
        <f>IFERROR(IF(Portafolio_Proyectos!$AR780="","",Portafolio_Proyectos!$AR780),"")</f>
        <v/>
      </c>
      <c r="C2341" s="5" t="str">
        <f>IFERROR(IF(Portafolio_Proyectos!$AR780="","","Distintiva"),"")</f>
        <v/>
      </c>
      <c r="D2341" s="5" t="str">
        <f>IFERROR(IF(Portafolio_Proyectos!$AR780="","",Portafolio_Proyectos!$C780),"")</f>
        <v/>
      </c>
      <c r="E2341" s="5" t="str">
        <f>IFERROR(IF(Portafolio_Proyectos!$AR780="","",Portafolio_Proyectos!$B780),"")</f>
        <v/>
      </c>
      <c r="F2341" s="5" t="str">
        <f>IFERROR(IF(Portafolio_Proyectos!$AR780="","",Portafolio_Proyectos!$D780),"")</f>
        <v/>
      </c>
      <c r="G2341" s="5" t="str">
        <f>IFERROR(IF(Portafolio_Proyectos!$AR780="","",Portafolio_Proyectos!$A780),"")</f>
        <v/>
      </c>
      <c r="H2341" s="5" t="str">
        <f>IFERROR(IF(Portafolio_Proyectos!$AR780="","",Portafolio_Proyectos!$E780),"")</f>
        <v/>
      </c>
    </row>
    <row r="2342" spans="1:8" x14ac:dyDescent="0.35">
      <c r="A2342" s="5" t="str">
        <f>IFERROR(IF(Portafolio_Proyectos!$AP781="","","CAP-"&amp;ROW()-1),"")</f>
        <v/>
      </c>
      <c r="B2342" s="5" t="str">
        <f>IFERROR(IF(Portafolio_Proyectos!$AP781="","",Portafolio_Proyectos!$AP781),"")</f>
        <v/>
      </c>
      <c r="C2342" s="5" t="str">
        <f>IFERROR(IF(Portafolio_Proyectos!$AP781="","","Emergente"),"")</f>
        <v/>
      </c>
      <c r="D2342" s="5" t="str">
        <f>IFERROR(IF(Portafolio_Proyectos!$AP781="","",Portafolio_Proyectos!$C781),"")</f>
        <v/>
      </c>
      <c r="E2342" s="5" t="str">
        <f>IFERROR(IF(Portafolio_Proyectos!$AP781="","",Portafolio_Proyectos!$B781),"")</f>
        <v/>
      </c>
      <c r="F2342" s="5" t="str">
        <f>IFERROR(IF(Portafolio_Proyectos!$AP781="","",Portafolio_Proyectos!$D781),"")</f>
        <v/>
      </c>
      <c r="G2342" s="5" t="str">
        <f>IFERROR(IF(Portafolio_Proyectos!$AP781="","",Portafolio_Proyectos!$A781),"")</f>
        <v/>
      </c>
      <c r="H2342" s="5" t="str">
        <f>IFERROR(IF(Portafolio_Proyectos!$AP781="","",Portafolio_Proyectos!$E781),"")</f>
        <v/>
      </c>
    </row>
    <row r="2343" spans="1:8" x14ac:dyDescent="0.35">
      <c r="A2343" s="5" t="str">
        <f>IFERROR(IF(Portafolio_Proyectos!$AQ781="","","CAP-"&amp;ROW()-1),"")</f>
        <v/>
      </c>
      <c r="B2343" s="5" t="str">
        <f>IFERROR(IF(Portafolio_Proyectos!$AQ781="","",Portafolio_Proyectos!$AQ781),"")</f>
        <v/>
      </c>
      <c r="C2343" s="5" t="str">
        <f>IFERROR(IF(Portafolio_Proyectos!$AQ781="","","Consolidada"),"")</f>
        <v/>
      </c>
      <c r="D2343" s="5" t="str">
        <f>IFERROR(IF(Portafolio_Proyectos!$AQ781="","",Portafolio_Proyectos!$C781),"")</f>
        <v/>
      </c>
      <c r="E2343" s="5" t="str">
        <f>IFERROR(IF(Portafolio_Proyectos!$AQ781="","",Portafolio_Proyectos!$B781),"")</f>
        <v/>
      </c>
      <c r="F2343" s="5" t="str">
        <f>IFERROR(IF(Portafolio_Proyectos!$AQ781="","",Portafolio_Proyectos!$D781),"")</f>
        <v/>
      </c>
      <c r="G2343" s="5" t="str">
        <f>IFERROR(IF(Portafolio_Proyectos!$AQ781="","",Portafolio_Proyectos!$A781),"")</f>
        <v/>
      </c>
      <c r="H2343" s="5" t="str">
        <f>IFERROR(IF(Portafolio_Proyectos!$AQ781="","",Portafolio_Proyectos!$E781),"")</f>
        <v/>
      </c>
    </row>
    <row r="2344" spans="1:8" x14ac:dyDescent="0.35">
      <c r="A2344" s="5" t="str">
        <f>IFERROR(IF(Portafolio_Proyectos!$AR781="","","CAP-"&amp;ROW()-1),"")</f>
        <v/>
      </c>
      <c r="B2344" s="5" t="str">
        <f>IFERROR(IF(Portafolio_Proyectos!$AR781="","",Portafolio_Proyectos!$AR781),"")</f>
        <v/>
      </c>
      <c r="C2344" s="5" t="str">
        <f>IFERROR(IF(Portafolio_Proyectos!$AR781="","","Distintiva"),"")</f>
        <v/>
      </c>
      <c r="D2344" s="5" t="str">
        <f>IFERROR(IF(Portafolio_Proyectos!$AR781="","",Portafolio_Proyectos!$C781),"")</f>
        <v/>
      </c>
      <c r="E2344" s="5" t="str">
        <f>IFERROR(IF(Portafolio_Proyectos!$AR781="","",Portafolio_Proyectos!$B781),"")</f>
        <v/>
      </c>
      <c r="F2344" s="5" t="str">
        <f>IFERROR(IF(Portafolio_Proyectos!$AR781="","",Portafolio_Proyectos!$D781),"")</f>
        <v/>
      </c>
      <c r="G2344" s="5" t="str">
        <f>IFERROR(IF(Portafolio_Proyectos!$AR781="","",Portafolio_Proyectos!$A781),"")</f>
        <v/>
      </c>
      <c r="H2344" s="5" t="str">
        <f>IFERROR(IF(Portafolio_Proyectos!$AR781="","",Portafolio_Proyectos!$E781),"")</f>
        <v/>
      </c>
    </row>
    <row r="2345" spans="1:8" x14ac:dyDescent="0.35">
      <c r="A2345" s="5" t="str">
        <f>IFERROR(IF(Portafolio_Proyectos!$AP782="","","CAP-"&amp;ROW()-1),"")</f>
        <v/>
      </c>
      <c r="B2345" s="5" t="str">
        <f>IFERROR(IF(Portafolio_Proyectos!$AP782="","",Portafolio_Proyectos!$AP782),"")</f>
        <v/>
      </c>
      <c r="C2345" s="5" t="str">
        <f>IFERROR(IF(Portafolio_Proyectos!$AP782="","","Emergente"),"")</f>
        <v/>
      </c>
      <c r="D2345" s="5" t="str">
        <f>IFERROR(IF(Portafolio_Proyectos!$AP782="","",Portafolio_Proyectos!$C782),"")</f>
        <v/>
      </c>
      <c r="E2345" s="5" t="str">
        <f>IFERROR(IF(Portafolio_Proyectos!$AP782="","",Portafolio_Proyectos!$B782),"")</f>
        <v/>
      </c>
      <c r="F2345" s="5" t="str">
        <f>IFERROR(IF(Portafolio_Proyectos!$AP782="","",Portafolio_Proyectos!$D782),"")</f>
        <v/>
      </c>
      <c r="G2345" s="5" t="str">
        <f>IFERROR(IF(Portafolio_Proyectos!$AP782="","",Portafolio_Proyectos!$A782),"")</f>
        <v/>
      </c>
      <c r="H2345" s="5" t="str">
        <f>IFERROR(IF(Portafolio_Proyectos!$AP782="","",Portafolio_Proyectos!$E782),"")</f>
        <v/>
      </c>
    </row>
    <row r="2346" spans="1:8" x14ac:dyDescent="0.35">
      <c r="A2346" s="5" t="str">
        <f>IFERROR(IF(Portafolio_Proyectos!$AQ782="","","CAP-"&amp;ROW()-1),"")</f>
        <v/>
      </c>
      <c r="B2346" s="5" t="str">
        <f>IFERROR(IF(Portafolio_Proyectos!$AQ782="","",Portafolio_Proyectos!$AQ782),"")</f>
        <v/>
      </c>
      <c r="C2346" s="5" t="str">
        <f>IFERROR(IF(Portafolio_Proyectos!$AQ782="","","Consolidada"),"")</f>
        <v/>
      </c>
      <c r="D2346" s="5" t="str">
        <f>IFERROR(IF(Portafolio_Proyectos!$AQ782="","",Portafolio_Proyectos!$C782),"")</f>
        <v/>
      </c>
      <c r="E2346" s="5" t="str">
        <f>IFERROR(IF(Portafolio_Proyectos!$AQ782="","",Portafolio_Proyectos!$B782),"")</f>
        <v/>
      </c>
      <c r="F2346" s="5" t="str">
        <f>IFERROR(IF(Portafolio_Proyectos!$AQ782="","",Portafolio_Proyectos!$D782),"")</f>
        <v/>
      </c>
      <c r="G2346" s="5" t="str">
        <f>IFERROR(IF(Portafolio_Proyectos!$AQ782="","",Portafolio_Proyectos!$A782),"")</f>
        <v/>
      </c>
      <c r="H2346" s="5" t="str">
        <f>IFERROR(IF(Portafolio_Proyectos!$AQ782="","",Portafolio_Proyectos!$E782),"")</f>
        <v/>
      </c>
    </row>
    <row r="2347" spans="1:8" x14ac:dyDescent="0.35">
      <c r="A2347" s="5" t="str">
        <f>IFERROR(IF(Portafolio_Proyectos!$AR782="","","CAP-"&amp;ROW()-1),"")</f>
        <v/>
      </c>
      <c r="B2347" s="5" t="str">
        <f>IFERROR(IF(Portafolio_Proyectos!$AR782="","",Portafolio_Proyectos!$AR782),"")</f>
        <v/>
      </c>
      <c r="C2347" s="5" t="str">
        <f>IFERROR(IF(Portafolio_Proyectos!$AR782="","","Distintiva"),"")</f>
        <v/>
      </c>
      <c r="D2347" s="5" t="str">
        <f>IFERROR(IF(Portafolio_Proyectos!$AR782="","",Portafolio_Proyectos!$C782),"")</f>
        <v/>
      </c>
      <c r="E2347" s="5" t="str">
        <f>IFERROR(IF(Portafolio_Proyectos!$AR782="","",Portafolio_Proyectos!$B782),"")</f>
        <v/>
      </c>
      <c r="F2347" s="5" t="str">
        <f>IFERROR(IF(Portafolio_Proyectos!$AR782="","",Portafolio_Proyectos!$D782),"")</f>
        <v/>
      </c>
      <c r="G2347" s="5" t="str">
        <f>IFERROR(IF(Portafolio_Proyectos!$AR782="","",Portafolio_Proyectos!$A782),"")</f>
        <v/>
      </c>
      <c r="H2347" s="5" t="str">
        <f>IFERROR(IF(Portafolio_Proyectos!$AR782="","",Portafolio_Proyectos!$E782),"")</f>
        <v/>
      </c>
    </row>
    <row r="2348" spans="1:8" x14ac:dyDescent="0.35">
      <c r="A2348" s="5" t="str">
        <f>IFERROR(IF(Portafolio_Proyectos!$AP783="","","CAP-"&amp;ROW()-1),"")</f>
        <v/>
      </c>
      <c r="B2348" s="5" t="str">
        <f>IFERROR(IF(Portafolio_Proyectos!$AP783="","",Portafolio_Proyectos!$AP783),"")</f>
        <v/>
      </c>
      <c r="C2348" s="5" t="str">
        <f>IFERROR(IF(Portafolio_Proyectos!$AP783="","","Emergente"),"")</f>
        <v/>
      </c>
      <c r="D2348" s="5" t="str">
        <f>IFERROR(IF(Portafolio_Proyectos!$AP783="","",Portafolio_Proyectos!$C783),"")</f>
        <v/>
      </c>
      <c r="E2348" s="5" t="str">
        <f>IFERROR(IF(Portafolio_Proyectos!$AP783="","",Portafolio_Proyectos!$B783),"")</f>
        <v/>
      </c>
      <c r="F2348" s="5" t="str">
        <f>IFERROR(IF(Portafolio_Proyectos!$AP783="","",Portafolio_Proyectos!$D783),"")</f>
        <v/>
      </c>
      <c r="G2348" s="5" t="str">
        <f>IFERROR(IF(Portafolio_Proyectos!$AP783="","",Portafolio_Proyectos!$A783),"")</f>
        <v/>
      </c>
      <c r="H2348" s="5" t="str">
        <f>IFERROR(IF(Portafolio_Proyectos!$AP783="","",Portafolio_Proyectos!$E783),"")</f>
        <v/>
      </c>
    </row>
    <row r="2349" spans="1:8" x14ac:dyDescent="0.35">
      <c r="A2349" s="5" t="str">
        <f>IFERROR(IF(Portafolio_Proyectos!$AQ783="","","CAP-"&amp;ROW()-1),"")</f>
        <v/>
      </c>
      <c r="B2349" s="5" t="str">
        <f>IFERROR(IF(Portafolio_Proyectos!$AQ783="","",Portafolio_Proyectos!$AQ783),"")</f>
        <v/>
      </c>
      <c r="C2349" s="5" t="str">
        <f>IFERROR(IF(Portafolio_Proyectos!$AQ783="","","Consolidada"),"")</f>
        <v/>
      </c>
      <c r="D2349" s="5" t="str">
        <f>IFERROR(IF(Portafolio_Proyectos!$AQ783="","",Portafolio_Proyectos!$C783),"")</f>
        <v/>
      </c>
      <c r="E2349" s="5" t="str">
        <f>IFERROR(IF(Portafolio_Proyectos!$AQ783="","",Portafolio_Proyectos!$B783),"")</f>
        <v/>
      </c>
      <c r="F2349" s="5" t="str">
        <f>IFERROR(IF(Portafolio_Proyectos!$AQ783="","",Portafolio_Proyectos!$D783),"")</f>
        <v/>
      </c>
      <c r="G2349" s="5" t="str">
        <f>IFERROR(IF(Portafolio_Proyectos!$AQ783="","",Portafolio_Proyectos!$A783),"")</f>
        <v/>
      </c>
      <c r="H2349" s="5" t="str">
        <f>IFERROR(IF(Portafolio_Proyectos!$AQ783="","",Portafolio_Proyectos!$E783),"")</f>
        <v/>
      </c>
    </row>
    <row r="2350" spans="1:8" x14ac:dyDescent="0.35">
      <c r="A2350" s="5" t="str">
        <f>IFERROR(IF(Portafolio_Proyectos!$AR783="","","CAP-"&amp;ROW()-1),"")</f>
        <v/>
      </c>
      <c r="B2350" s="5" t="str">
        <f>IFERROR(IF(Portafolio_Proyectos!$AR783="","",Portafolio_Proyectos!$AR783),"")</f>
        <v/>
      </c>
      <c r="C2350" s="5" t="str">
        <f>IFERROR(IF(Portafolio_Proyectos!$AR783="","","Distintiva"),"")</f>
        <v/>
      </c>
      <c r="D2350" s="5" t="str">
        <f>IFERROR(IF(Portafolio_Proyectos!$AR783="","",Portafolio_Proyectos!$C783),"")</f>
        <v/>
      </c>
      <c r="E2350" s="5" t="str">
        <f>IFERROR(IF(Portafolio_Proyectos!$AR783="","",Portafolio_Proyectos!$B783),"")</f>
        <v/>
      </c>
      <c r="F2350" s="5" t="str">
        <f>IFERROR(IF(Portafolio_Proyectos!$AR783="","",Portafolio_Proyectos!$D783),"")</f>
        <v/>
      </c>
      <c r="G2350" s="5" t="str">
        <f>IFERROR(IF(Portafolio_Proyectos!$AR783="","",Portafolio_Proyectos!$A783),"")</f>
        <v/>
      </c>
      <c r="H2350" s="5" t="str">
        <f>IFERROR(IF(Portafolio_Proyectos!$AR783="","",Portafolio_Proyectos!$E783),"")</f>
        <v/>
      </c>
    </row>
    <row r="2351" spans="1:8" x14ac:dyDescent="0.35">
      <c r="A2351" s="5" t="str">
        <f>IFERROR(IF(Portafolio_Proyectos!$AP784="","","CAP-"&amp;ROW()-1),"")</f>
        <v/>
      </c>
      <c r="B2351" s="5" t="str">
        <f>IFERROR(IF(Portafolio_Proyectos!$AP784="","",Portafolio_Proyectos!$AP784),"")</f>
        <v/>
      </c>
      <c r="C2351" s="5" t="str">
        <f>IFERROR(IF(Portafolio_Proyectos!$AP784="","","Emergente"),"")</f>
        <v/>
      </c>
      <c r="D2351" s="5" t="str">
        <f>IFERROR(IF(Portafolio_Proyectos!$AP784="","",Portafolio_Proyectos!$C784),"")</f>
        <v/>
      </c>
      <c r="E2351" s="5" t="str">
        <f>IFERROR(IF(Portafolio_Proyectos!$AP784="","",Portafolio_Proyectos!$B784),"")</f>
        <v/>
      </c>
      <c r="F2351" s="5" t="str">
        <f>IFERROR(IF(Portafolio_Proyectos!$AP784="","",Portafolio_Proyectos!$D784),"")</f>
        <v/>
      </c>
      <c r="G2351" s="5" t="str">
        <f>IFERROR(IF(Portafolio_Proyectos!$AP784="","",Portafolio_Proyectos!$A784),"")</f>
        <v/>
      </c>
      <c r="H2351" s="5" t="str">
        <f>IFERROR(IF(Portafolio_Proyectos!$AP784="","",Portafolio_Proyectos!$E784),"")</f>
        <v/>
      </c>
    </row>
    <row r="2352" spans="1:8" x14ac:dyDescent="0.35">
      <c r="A2352" s="5" t="str">
        <f>IFERROR(IF(Portafolio_Proyectos!$AQ784="","","CAP-"&amp;ROW()-1),"")</f>
        <v/>
      </c>
      <c r="B2352" s="5" t="str">
        <f>IFERROR(IF(Portafolio_Proyectos!$AQ784="","",Portafolio_Proyectos!$AQ784),"")</f>
        <v/>
      </c>
      <c r="C2352" s="5" t="str">
        <f>IFERROR(IF(Portafolio_Proyectos!$AQ784="","","Consolidada"),"")</f>
        <v/>
      </c>
      <c r="D2352" s="5" t="str">
        <f>IFERROR(IF(Portafolio_Proyectos!$AQ784="","",Portafolio_Proyectos!$C784),"")</f>
        <v/>
      </c>
      <c r="E2352" s="5" t="str">
        <f>IFERROR(IF(Portafolio_Proyectos!$AQ784="","",Portafolio_Proyectos!$B784),"")</f>
        <v/>
      </c>
      <c r="F2352" s="5" t="str">
        <f>IFERROR(IF(Portafolio_Proyectos!$AQ784="","",Portafolio_Proyectos!$D784),"")</f>
        <v/>
      </c>
      <c r="G2352" s="5" t="str">
        <f>IFERROR(IF(Portafolio_Proyectos!$AQ784="","",Portafolio_Proyectos!$A784),"")</f>
        <v/>
      </c>
      <c r="H2352" s="5" t="str">
        <f>IFERROR(IF(Portafolio_Proyectos!$AQ784="","",Portafolio_Proyectos!$E784),"")</f>
        <v/>
      </c>
    </row>
    <row r="2353" spans="1:8" x14ac:dyDescent="0.35">
      <c r="A2353" s="5" t="str">
        <f>IFERROR(IF(Portafolio_Proyectos!$AR784="","","CAP-"&amp;ROW()-1),"")</f>
        <v/>
      </c>
      <c r="B2353" s="5" t="str">
        <f>IFERROR(IF(Portafolio_Proyectos!$AR784="","",Portafolio_Proyectos!$AR784),"")</f>
        <v/>
      </c>
      <c r="C2353" s="5" t="str">
        <f>IFERROR(IF(Portafolio_Proyectos!$AR784="","","Distintiva"),"")</f>
        <v/>
      </c>
      <c r="D2353" s="5" t="str">
        <f>IFERROR(IF(Portafolio_Proyectos!$AR784="","",Portafolio_Proyectos!$C784),"")</f>
        <v/>
      </c>
      <c r="E2353" s="5" t="str">
        <f>IFERROR(IF(Portafolio_Proyectos!$AR784="","",Portafolio_Proyectos!$B784),"")</f>
        <v/>
      </c>
      <c r="F2353" s="5" t="str">
        <f>IFERROR(IF(Portafolio_Proyectos!$AR784="","",Portafolio_Proyectos!$D784),"")</f>
        <v/>
      </c>
      <c r="G2353" s="5" t="str">
        <f>IFERROR(IF(Portafolio_Proyectos!$AR784="","",Portafolio_Proyectos!$A784),"")</f>
        <v/>
      </c>
      <c r="H2353" s="5" t="str">
        <f>IFERROR(IF(Portafolio_Proyectos!$AR784="","",Portafolio_Proyectos!$E784),"")</f>
        <v/>
      </c>
    </row>
    <row r="2354" spans="1:8" x14ac:dyDescent="0.35">
      <c r="A2354" s="5" t="str">
        <f>IFERROR(IF(Portafolio_Proyectos!$AP785="","","CAP-"&amp;ROW()-1),"")</f>
        <v/>
      </c>
      <c r="B2354" s="5" t="str">
        <f>IFERROR(IF(Portafolio_Proyectos!$AP785="","",Portafolio_Proyectos!$AP785),"")</f>
        <v/>
      </c>
      <c r="C2354" s="5" t="str">
        <f>IFERROR(IF(Portafolio_Proyectos!$AP785="","","Emergente"),"")</f>
        <v/>
      </c>
      <c r="D2354" s="5" t="str">
        <f>IFERROR(IF(Portafolio_Proyectos!$AP785="","",Portafolio_Proyectos!$C785),"")</f>
        <v/>
      </c>
      <c r="E2354" s="5" t="str">
        <f>IFERROR(IF(Portafolio_Proyectos!$AP785="","",Portafolio_Proyectos!$B785),"")</f>
        <v/>
      </c>
      <c r="F2354" s="5" t="str">
        <f>IFERROR(IF(Portafolio_Proyectos!$AP785="","",Portafolio_Proyectos!$D785),"")</f>
        <v/>
      </c>
      <c r="G2354" s="5" t="str">
        <f>IFERROR(IF(Portafolio_Proyectos!$AP785="","",Portafolio_Proyectos!$A785),"")</f>
        <v/>
      </c>
      <c r="H2354" s="5" t="str">
        <f>IFERROR(IF(Portafolio_Proyectos!$AP785="","",Portafolio_Proyectos!$E785),"")</f>
        <v/>
      </c>
    </row>
    <row r="2355" spans="1:8" x14ac:dyDescent="0.35">
      <c r="A2355" s="5" t="str">
        <f>IFERROR(IF(Portafolio_Proyectos!$AQ785="","","CAP-"&amp;ROW()-1),"")</f>
        <v/>
      </c>
      <c r="B2355" s="5" t="str">
        <f>IFERROR(IF(Portafolio_Proyectos!$AQ785="","",Portafolio_Proyectos!$AQ785),"")</f>
        <v/>
      </c>
      <c r="C2355" s="5" t="str">
        <f>IFERROR(IF(Portafolio_Proyectos!$AQ785="","","Consolidada"),"")</f>
        <v/>
      </c>
      <c r="D2355" s="5" t="str">
        <f>IFERROR(IF(Portafolio_Proyectos!$AQ785="","",Portafolio_Proyectos!$C785),"")</f>
        <v/>
      </c>
      <c r="E2355" s="5" t="str">
        <f>IFERROR(IF(Portafolio_Proyectos!$AQ785="","",Portafolio_Proyectos!$B785),"")</f>
        <v/>
      </c>
      <c r="F2355" s="5" t="str">
        <f>IFERROR(IF(Portafolio_Proyectos!$AQ785="","",Portafolio_Proyectos!$D785),"")</f>
        <v/>
      </c>
      <c r="G2355" s="5" t="str">
        <f>IFERROR(IF(Portafolio_Proyectos!$AQ785="","",Portafolio_Proyectos!$A785),"")</f>
        <v/>
      </c>
      <c r="H2355" s="5" t="str">
        <f>IFERROR(IF(Portafolio_Proyectos!$AQ785="","",Portafolio_Proyectos!$E785),"")</f>
        <v/>
      </c>
    </row>
    <row r="2356" spans="1:8" x14ac:dyDescent="0.35">
      <c r="A2356" s="5" t="str">
        <f>IFERROR(IF(Portafolio_Proyectos!$AR785="","","CAP-"&amp;ROW()-1),"")</f>
        <v/>
      </c>
      <c r="B2356" s="5" t="str">
        <f>IFERROR(IF(Portafolio_Proyectos!$AR785="","",Portafolio_Proyectos!$AR785),"")</f>
        <v/>
      </c>
      <c r="C2356" s="5" t="str">
        <f>IFERROR(IF(Portafolio_Proyectos!$AR785="","","Distintiva"),"")</f>
        <v/>
      </c>
      <c r="D2356" s="5" t="str">
        <f>IFERROR(IF(Portafolio_Proyectos!$AR785="","",Portafolio_Proyectos!$C785),"")</f>
        <v/>
      </c>
      <c r="E2356" s="5" t="str">
        <f>IFERROR(IF(Portafolio_Proyectos!$AR785="","",Portafolio_Proyectos!$B785),"")</f>
        <v/>
      </c>
      <c r="F2356" s="5" t="str">
        <f>IFERROR(IF(Portafolio_Proyectos!$AR785="","",Portafolio_Proyectos!$D785),"")</f>
        <v/>
      </c>
      <c r="G2356" s="5" t="str">
        <f>IFERROR(IF(Portafolio_Proyectos!$AR785="","",Portafolio_Proyectos!$A785),"")</f>
        <v/>
      </c>
      <c r="H2356" s="5" t="str">
        <f>IFERROR(IF(Portafolio_Proyectos!$AR785="","",Portafolio_Proyectos!$E785),"")</f>
        <v/>
      </c>
    </row>
    <row r="2357" spans="1:8" x14ac:dyDescent="0.35">
      <c r="A2357" s="5" t="str">
        <f>IFERROR(IF(Portafolio_Proyectos!$AP786="","","CAP-"&amp;ROW()-1),"")</f>
        <v/>
      </c>
      <c r="B2357" s="5" t="str">
        <f>IFERROR(IF(Portafolio_Proyectos!$AP786="","",Portafolio_Proyectos!$AP786),"")</f>
        <v/>
      </c>
      <c r="C2357" s="5" t="str">
        <f>IFERROR(IF(Portafolio_Proyectos!$AP786="","","Emergente"),"")</f>
        <v/>
      </c>
      <c r="D2357" s="5" t="str">
        <f>IFERROR(IF(Portafolio_Proyectos!$AP786="","",Portafolio_Proyectos!$C786),"")</f>
        <v/>
      </c>
      <c r="E2357" s="5" t="str">
        <f>IFERROR(IF(Portafolio_Proyectos!$AP786="","",Portafolio_Proyectos!$B786),"")</f>
        <v/>
      </c>
      <c r="F2357" s="5" t="str">
        <f>IFERROR(IF(Portafolio_Proyectos!$AP786="","",Portafolio_Proyectos!$D786),"")</f>
        <v/>
      </c>
      <c r="G2357" s="5" t="str">
        <f>IFERROR(IF(Portafolio_Proyectos!$AP786="","",Portafolio_Proyectos!$A786),"")</f>
        <v/>
      </c>
      <c r="H2357" s="5" t="str">
        <f>IFERROR(IF(Portafolio_Proyectos!$AP786="","",Portafolio_Proyectos!$E786),"")</f>
        <v/>
      </c>
    </row>
    <row r="2358" spans="1:8" x14ac:dyDescent="0.35">
      <c r="A2358" s="5" t="str">
        <f>IFERROR(IF(Portafolio_Proyectos!$AQ786="","","CAP-"&amp;ROW()-1),"")</f>
        <v/>
      </c>
      <c r="B2358" s="5" t="str">
        <f>IFERROR(IF(Portafolio_Proyectos!$AQ786="","",Portafolio_Proyectos!$AQ786),"")</f>
        <v/>
      </c>
      <c r="C2358" s="5" t="str">
        <f>IFERROR(IF(Portafolio_Proyectos!$AQ786="","","Consolidada"),"")</f>
        <v/>
      </c>
      <c r="D2358" s="5" t="str">
        <f>IFERROR(IF(Portafolio_Proyectos!$AQ786="","",Portafolio_Proyectos!$C786),"")</f>
        <v/>
      </c>
      <c r="E2358" s="5" t="str">
        <f>IFERROR(IF(Portafolio_Proyectos!$AQ786="","",Portafolio_Proyectos!$B786),"")</f>
        <v/>
      </c>
      <c r="F2358" s="5" t="str">
        <f>IFERROR(IF(Portafolio_Proyectos!$AQ786="","",Portafolio_Proyectos!$D786),"")</f>
        <v/>
      </c>
      <c r="G2358" s="5" t="str">
        <f>IFERROR(IF(Portafolio_Proyectos!$AQ786="","",Portafolio_Proyectos!$A786),"")</f>
        <v/>
      </c>
      <c r="H2358" s="5" t="str">
        <f>IFERROR(IF(Portafolio_Proyectos!$AQ786="","",Portafolio_Proyectos!$E786),"")</f>
        <v/>
      </c>
    </row>
    <row r="2359" spans="1:8" x14ac:dyDescent="0.35">
      <c r="A2359" s="5" t="str">
        <f>IFERROR(IF(Portafolio_Proyectos!$AR786="","","CAP-"&amp;ROW()-1),"")</f>
        <v/>
      </c>
      <c r="B2359" s="5" t="str">
        <f>IFERROR(IF(Portafolio_Proyectos!$AR786="","",Portafolio_Proyectos!$AR786),"")</f>
        <v/>
      </c>
      <c r="C2359" s="5" t="str">
        <f>IFERROR(IF(Portafolio_Proyectos!$AR786="","","Distintiva"),"")</f>
        <v/>
      </c>
      <c r="D2359" s="5" t="str">
        <f>IFERROR(IF(Portafolio_Proyectos!$AR786="","",Portafolio_Proyectos!$C786),"")</f>
        <v/>
      </c>
      <c r="E2359" s="5" t="str">
        <f>IFERROR(IF(Portafolio_Proyectos!$AR786="","",Portafolio_Proyectos!$B786),"")</f>
        <v/>
      </c>
      <c r="F2359" s="5" t="str">
        <f>IFERROR(IF(Portafolio_Proyectos!$AR786="","",Portafolio_Proyectos!$D786),"")</f>
        <v/>
      </c>
      <c r="G2359" s="5" t="str">
        <f>IFERROR(IF(Portafolio_Proyectos!$AR786="","",Portafolio_Proyectos!$A786),"")</f>
        <v/>
      </c>
      <c r="H2359" s="5" t="str">
        <f>IFERROR(IF(Portafolio_Proyectos!$AR786="","",Portafolio_Proyectos!$E786),"")</f>
        <v/>
      </c>
    </row>
    <row r="2360" spans="1:8" x14ac:dyDescent="0.35">
      <c r="A2360" s="5" t="str">
        <f>IFERROR(IF(Portafolio_Proyectos!$AP787="","","CAP-"&amp;ROW()-1),"")</f>
        <v/>
      </c>
      <c r="B2360" s="5" t="str">
        <f>IFERROR(IF(Portafolio_Proyectos!$AP787="","",Portafolio_Proyectos!$AP787),"")</f>
        <v/>
      </c>
      <c r="C2360" s="5" t="str">
        <f>IFERROR(IF(Portafolio_Proyectos!$AP787="","","Emergente"),"")</f>
        <v/>
      </c>
      <c r="D2360" s="5" t="str">
        <f>IFERROR(IF(Portafolio_Proyectos!$AP787="","",Portafolio_Proyectos!$C787),"")</f>
        <v/>
      </c>
      <c r="E2360" s="5" t="str">
        <f>IFERROR(IF(Portafolio_Proyectos!$AP787="","",Portafolio_Proyectos!$B787),"")</f>
        <v/>
      </c>
      <c r="F2360" s="5" t="str">
        <f>IFERROR(IF(Portafolio_Proyectos!$AP787="","",Portafolio_Proyectos!$D787),"")</f>
        <v/>
      </c>
      <c r="G2360" s="5" t="str">
        <f>IFERROR(IF(Portafolio_Proyectos!$AP787="","",Portafolio_Proyectos!$A787),"")</f>
        <v/>
      </c>
      <c r="H2360" s="5" t="str">
        <f>IFERROR(IF(Portafolio_Proyectos!$AP787="","",Portafolio_Proyectos!$E787),"")</f>
        <v/>
      </c>
    </row>
    <row r="2361" spans="1:8" x14ac:dyDescent="0.35">
      <c r="A2361" s="5" t="str">
        <f>IFERROR(IF(Portafolio_Proyectos!$AQ787="","","CAP-"&amp;ROW()-1),"")</f>
        <v/>
      </c>
      <c r="B2361" s="5" t="str">
        <f>IFERROR(IF(Portafolio_Proyectos!$AQ787="","",Portafolio_Proyectos!$AQ787),"")</f>
        <v/>
      </c>
      <c r="C2361" s="5" t="str">
        <f>IFERROR(IF(Portafolio_Proyectos!$AQ787="","","Consolidada"),"")</f>
        <v/>
      </c>
      <c r="D2361" s="5" t="str">
        <f>IFERROR(IF(Portafolio_Proyectos!$AQ787="","",Portafolio_Proyectos!$C787),"")</f>
        <v/>
      </c>
      <c r="E2361" s="5" t="str">
        <f>IFERROR(IF(Portafolio_Proyectos!$AQ787="","",Portafolio_Proyectos!$B787),"")</f>
        <v/>
      </c>
      <c r="F2361" s="5" t="str">
        <f>IFERROR(IF(Portafolio_Proyectos!$AQ787="","",Portafolio_Proyectos!$D787),"")</f>
        <v/>
      </c>
      <c r="G2361" s="5" t="str">
        <f>IFERROR(IF(Portafolio_Proyectos!$AQ787="","",Portafolio_Proyectos!$A787),"")</f>
        <v/>
      </c>
      <c r="H2361" s="5" t="str">
        <f>IFERROR(IF(Portafolio_Proyectos!$AQ787="","",Portafolio_Proyectos!$E787),"")</f>
        <v/>
      </c>
    </row>
    <row r="2362" spans="1:8" x14ac:dyDescent="0.35">
      <c r="A2362" s="5" t="str">
        <f>IFERROR(IF(Portafolio_Proyectos!$AR787="","","CAP-"&amp;ROW()-1),"")</f>
        <v/>
      </c>
      <c r="B2362" s="5" t="str">
        <f>IFERROR(IF(Portafolio_Proyectos!$AR787="","",Portafolio_Proyectos!$AR787),"")</f>
        <v/>
      </c>
      <c r="C2362" s="5" t="str">
        <f>IFERROR(IF(Portafolio_Proyectos!$AR787="","","Distintiva"),"")</f>
        <v/>
      </c>
      <c r="D2362" s="5" t="str">
        <f>IFERROR(IF(Portafolio_Proyectos!$AR787="","",Portafolio_Proyectos!$C787),"")</f>
        <v/>
      </c>
      <c r="E2362" s="5" t="str">
        <f>IFERROR(IF(Portafolio_Proyectos!$AR787="","",Portafolio_Proyectos!$B787),"")</f>
        <v/>
      </c>
      <c r="F2362" s="5" t="str">
        <f>IFERROR(IF(Portafolio_Proyectos!$AR787="","",Portafolio_Proyectos!$D787),"")</f>
        <v/>
      </c>
      <c r="G2362" s="5" t="str">
        <f>IFERROR(IF(Portafolio_Proyectos!$AR787="","",Portafolio_Proyectos!$A787),"")</f>
        <v/>
      </c>
      <c r="H2362" s="5" t="str">
        <f>IFERROR(IF(Portafolio_Proyectos!$AR787="","",Portafolio_Proyectos!$E787),"")</f>
        <v/>
      </c>
    </row>
    <row r="2363" spans="1:8" x14ac:dyDescent="0.35">
      <c r="A2363" s="5" t="str">
        <f>IFERROR(IF(Portafolio_Proyectos!$AP788="","","CAP-"&amp;ROW()-1),"")</f>
        <v/>
      </c>
      <c r="B2363" s="5" t="str">
        <f>IFERROR(IF(Portafolio_Proyectos!$AP788="","",Portafolio_Proyectos!$AP788),"")</f>
        <v/>
      </c>
      <c r="C2363" s="5" t="str">
        <f>IFERROR(IF(Portafolio_Proyectos!$AP788="","","Emergente"),"")</f>
        <v/>
      </c>
      <c r="D2363" s="5" t="str">
        <f>IFERROR(IF(Portafolio_Proyectos!$AP788="","",Portafolio_Proyectos!$C788),"")</f>
        <v/>
      </c>
      <c r="E2363" s="5" t="str">
        <f>IFERROR(IF(Portafolio_Proyectos!$AP788="","",Portafolio_Proyectos!$B788),"")</f>
        <v/>
      </c>
      <c r="F2363" s="5" t="str">
        <f>IFERROR(IF(Portafolio_Proyectos!$AP788="","",Portafolio_Proyectos!$D788),"")</f>
        <v/>
      </c>
      <c r="G2363" s="5" t="str">
        <f>IFERROR(IF(Portafolio_Proyectos!$AP788="","",Portafolio_Proyectos!$A788),"")</f>
        <v/>
      </c>
      <c r="H2363" s="5" t="str">
        <f>IFERROR(IF(Portafolio_Proyectos!$AP788="","",Portafolio_Proyectos!$E788),"")</f>
        <v/>
      </c>
    </row>
    <row r="2364" spans="1:8" x14ac:dyDescent="0.35">
      <c r="A2364" s="5" t="str">
        <f>IFERROR(IF(Portafolio_Proyectos!$AQ788="","","CAP-"&amp;ROW()-1),"")</f>
        <v/>
      </c>
      <c r="B2364" s="5" t="str">
        <f>IFERROR(IF(Portafolio_Proyectos!$AQ788="","",Portafolio_Proyectos!$AQ788),"")</f>
        <v/>
      </c>
      <c r="C2364" s="5" t="str">
        <f>IFERROR(IF(Portafolio_Proyectos!$AQ788="","","Consolidada"),"")</f>
        <v/>
      </c>
      <c r="D2364" s="5" t="str">
        <f>IFERROR(IF(Portafolio_Proyectos!$AQ788="","",Portafolio_Proyectos!$C788),"")</f>
        <v/>
      </c>
      <c r="E2364" s="5" t="str">
        <f>IFERROR(IF(Portafolio_Proyectos!$AQ788="","",Portafolio_Proyectos!$B788),"")</f>
        <v/>
      </c>
      <c r="F2364" s="5" t="str">
        <f>IFERROR(IF(Portafolio_Proyectos!$AQ788="","",Portafolio_Proyectos!$D788),"")</f>
        <v/>
      </c>
      <c r="G2364" s="5" t="str">
        <f>IFERROR(IF(Portafolio_Proyectos!$AQ788="","",Portafolio_Proyectos!$A788),"")</f>
        <v/>
      </c>
      <c r="H2364" s="5" t="str">
        <f>IFERROR(IF(Portafolio_Proyectos!$AQ788="","",Portafolio_Proyectos!$E788),"")</f>
        <v/>
      </c>
    </row>
    <row r="2365" spans="1:8" x14ac:dyDescent="0.35">
      <c r="A2365" s="5" t="str">
        <f>IFERROR(IF(Portafolio_Proyectos!$AR788="","","CAP-"&amp;ROW()-1),"")</f>
        <v/>
      </c>
      <c r="B2365" s="5" t="str">
        <f>IFERROR(IF(Portafolio_Proyectos!$AR788="","",Portafolio_Proyectos!$AR788),"")</f>
        <v/>
      </c>
      <c r="C2365" s="5" t="str">
        <f>IFERROR(IF(Portafolio_Proyectos!$AR788="","","Distintiva"),"")</f>
        <v/>
      </c>
      <c r="D2365" s="5" t="str">
        <f>IFERROR(IF(Portafolio_Proyectos!$AR788="","",Portafolio_Proyectos!$C788),"")</f>
        <v/>
      </c>
      <c r="E2365" s="5" t="str">
        <f>IFERROR(IF(Portafolio_Proyectos!$AR788="","",Portafolio_Proyectos!$B788),"")</f>
        <v/>
      </c>
      <c r="F2365" s="5" t="str">
        <f>IFERROR(IF(Portafolio_Proyectos!$AR788="","",Portafolio_Proyectos!$D788),"")</f>
        <v/>
      </c>
      <c r="G2365" s="5" t="str">
        <f>IFERROR(IF(Portafolio_Proyectos!$AR788="","",Portafolio_Proyectos!$A788),"")</f>
        <v/>
      </c>
      <c r="H2365" s="5" t="str">
        <f>IFERROR(IF(Portafolio_Proyectos!$AR788="","",Portafolio_Proyectos!$E788),"")</f>
        <v/>
      </c>
    </row>
    <row r="2366" spans="1:8" x14ac:dyDescent="0.35">
      <c r="A2366" s="5" t="str">
        <f>IFERROR(IF(Portafolio_Proyectos!$AP789="","","CAP-"&amp;ROW()-1),"")</f>
        <v/>
      </c>
      <c r="B2366" s="5" t="str">
        <f>IFERROR(IF(Portafolio_Proyectos!$AP789="","",Portafolio_Proyectos!$AP789),"")</f>
        <v/>
      </c>
      <c r="C2366" s="5" t="str">
        <f>IFERROR(IF(Portafolio_Proyectos!$AP789="","","Emergente"),"")</f>
        <v/>
      </c>
      <c r="D2366" s="5" t="str">
        <f>IFERROR(IF(Portafolio_Proyectos!$AP789="","",Portafolio_Proyectos!$C789),"")</f>
        <v/>
      </c>
      <c r="E2366" s="5" t="str">
        <f>IFERROR(IF(Portafolio_Proyectos!$AP789="","",Portafolio_Proyectos!$B789),"")</f>
        <v/>
      </c>
      <c r="F2366" s="5" t="str">
        <f>IFERROR(IF(Portafolio_Proyectos!$AP789="","",Portafolio_Proyectos!$D789),"")</f>
        <v/>
      </c>
      <c r="G2366" s="5" t="str">
        <f>IFERROR(IF(Portafolio_Proyectos!$AP789="","",Portafolio_Proyectos!$A789),"")</f>
        <v/>
      </c>
      <c r="H2366" s="5" t="str">
        <f>IFERROR(IF(Portafolio_Proyectos!$AP789="","",Portafolio_Proyectos!$E789),"")</f>
        <v/>
      </c>
    </row>
    <row r="2367" spans="1:8" x14ac:dyDescent="0.35">
      <c r="A2367" s="5" t="str">
        <f>IFERROR(IF(Portafolio_Proyectos!$AQ789="","","CAP-"&amp;ROW()-1),"")</f>
        <v/>
      </c>
      <c r="B2367" s="5" t="str">
        <f>IFERROR(IF(Portafolio_Proyectos!$AQ789="","",Portafolio_Proyectos!$AQ789),"")</f>
        <v/>
      </c>
      <c r="C2367" s="5" t="str">
        <f>IFERROR(IF(Portafolio_Proyectos!$AQ789="","","Consolidada"),"")</f>
        <v/>
      </c>
      <c r="D2367" s="5" t="str">
        <f>IFERROR(IF(Portafolio_Proyectos!$AQ789="","",Portafolio_Proyectos!$C789),"")</f>
        <v/>
      </c>
      <c r="E2367" s="5" t="str">
        <f>IFERROR(IF(Portafolio_Proyectos!$AQ789="","",Portafolio_Proyectos!$B789),"")</f>
        <v/>
      </c>
      <c r="F2367" s="5" t="str">
        <f>IFERROR(IF(Portafolio_Proyectos!$AQ789="","",Portafolio_Proyectos!$D789),"")</f>
        <v/>
      </c>
      <c r="G2367" s="5" t="str">
        <f>IFERROR(IF(Portafolio_Proyectos!$AQ789="","",Portafolio_Proyectos!$A789),"")</f>
        <v/>
      </c>
      <c r="H2367" s="5" t="str">
        <f>IFERROR(IF(Portafolio_Proyectos!$AQ789="","",Portafolio_Proyectos!$E789),"")</f>
        <v/>
      </c>
    </row>
    <row r="2368" spans="1:8" x14ac:dyDescent="0.35">
      <c r="A2368" s="5" t="str">
        <f>IFERROR(IF(Portafolio_Proyectos!$AR789="","","CAP-"&amp;ROW()-1),"")</f>
        <v/>
      </c>
      <c r="B2368" s="5" t="str">
        <f>IFERROR(IF(Portafolio_Proyectos!$AR789="","",Portafolio_Proyectos!$AR789),"")</f>
        <v/>
      </c>
      <c r="C2368" s="5" t="str">
        <f>IFERROR(IF(Portafolio_Proyectos!$AR789="","","Distintiva"),"")</f>
        <v/>
      </c>
      <c r="D2368" s="5" t="str">
        <f>IFERROR(IF(Portafolio_Proyectos!$AR789="","",Portafolio_Proyectos!$C789),"")</f>
        <v/>
      </c>
      <c r="E2368" s="5" t="str">
        <f>IFERROR(IF(Portafolio_Proyectos!$AR789="","",Portafolio_Proyectos!$B789),"")</f>
        <v/>
      </c>
      <c r="F2368" s="5" t="str">
        <f>IFERROR(IF(Portafolio_Proyectos!$AR789="","",Portafolio_Proyectos!$D789),"")</f>
        <v/>
      </c>
      <c r="G2368" s="5" t="str">
        <f>IFERROR(IF(Portafolio_Proyectos!$AR789="","",Portafolio_Proyectos!$A789),"")</f>
        <v/>
      </c>
      <c r="H2368" s="5" t="str">
        <f>IFERROR(IF(Portafolio_Proyectos!$AR789="","",Portafolio_Proyectos!$E789),"")</f>
        <v/>
      </c>
    </row>
    <row r="2369" spans="1:8" x14ac:dyDescent="0.35">
      <c r="A2369" s="5" t="str">
        <f>IFERROR(IF(Portafolio_Proyectos!$AP790="","","CAP-"&amp;ROW()-1),"")</f>
        <v/>
      </c>
      <c r="B2369" s="5" t="str">
        <f>IFERROR(IF(Portafolio_Proyectos!$AP790="","",Portafolio_Proyectos!$AP790),"")</f>
        <v/>
      </c>
      <c r="C2369" s="5" t="str">
        <f>IFERROR(IF(Portafolio_Proyectos!$AP790="","","Emergente"),"")</f>
        <v/>
      </c>
      <c r="D2369" s="5" t="str">
        <f>IFERROR(IF(Portafolio_Proyectos!$AP790="","",Portafolio_Proyectos!$C790),"")</f>
        <v/>
      </c>
      <c r="E2369" s="5" t="str">
        <f>IFERROR(IF(Portafolio_Proyectos!$AP790="","",Portafolio_Proyectos!$B790),"")</f>
        <v/>
      </c>
      <c r="F2369" s="5" t="str">
        <f>IFERROR(IF(Portafolio_Proyectos!$AP790="","",Portafolio_Proyectos!$D790),"")</f>
        <v/>
      </c>
      <c r="G2369" s="5" t="str">
        <f>IFERROR(IF(Portafolio_Proyectos!$AP790="","",Portafolio_Proyectos!$A790),"")</f>
        <v/>
      </c>
      <c r="H2369" s="5" t="str">
        <f>IFERROR(IF(Portafolio_Proyectos!$AP790="","",Portafolio_Proyectos!$E790),"")</f>
        <v/>
      </c>
    </row>
    <row r="2370" spans="1:8" x14ac:dyDescent="0.35">
      <c r="A2370" s="5" t="str">
        <f>IFERROR(IF(Portafolio_Proyectos!$AQ790="","","CAP-"&amp;ROW()-1),"")</f>
        <v/>
      </c>
      <c r="B2370" s="5" t="str">
        <f>IFERROR(IF(Portafolio_Proyectos!$AQ790="","",Portafolio_Proyectos!$AQ790),"")</f>
        <v/>
      </c>
      <c r="C2370" s="5" t="str">
        <f>IFERROR(IF(Portafolio_Proyectos!$AQ790="","","Consolidada"),"")</f>
        <v/>
      </c>
      <c r="D2370" s="5" t="str">
        <f>IFERROR(IF(Portafolio_Proyectos!$AQ790="","",Portafolio_Proyectos!$C790),"")</f>
        <v/>
      </c>
      <c r="E2370" s="5" t="str">
        <f>IFERROR(IF(Portafolio_Proyectos!$AQ790="","",Portafolio_Proyectos!$B790),"")</f>
        <v/>
      </c>
      <c r="F2370" s="5" t="str">
        <f>IFERROR(IF(Portafolio_Proyectos!$AQ790="","",Portafolio_Proyectos!$D790),"")</f>
        <v/>
      </c>
      <c r="G2370" s="5" t="str">
        <f>IFERROR(IF(Portafolio_Proyectos!$AQ790="","",Portafolio_Proyectos!$A790),"")</f>
        <v/>
      </c>
      <c r="H2370" s="5" t="str">
        <f>IFERROR(IF(Portafolio_Proyectos!$AQ790="","",Portafolio_Proyectos!$E790),"")</f>
        <v/>
      </c>
    </row>
    <row r="2371" spans="1:8" x14ac:dyDescent="0.35">
      <c r="A2371" s="5" t="str">
        <f>IFERROR(IF(Portafolio_Proyectos!$AR790="","","CAP-"&amp;ROW()-1),"")</f>
        <v/>
      </c>
      <c r="B2371" s="5" t="str">
        <f>IFERROR(IF(Portafolio_Proyectos!$AR790="","",Portafolio_Proyectos!$AR790),"")</f>
        <v/>
      </c>
      <c r="C2371" s="5" t="str">
        <f>IFERROR(IF(Portafolio_Proyectos!$AR790="","","Distintiva"),"")</f>
        <v/>
      </c>
      <c r="D2371" s="5" t="str">
        <f>IFERROR(IF(Portafolio_Proyectos!$AR790="","",Portafolio_Proyectos!$C790),"")</f>
        <v/>
      </c>
      <c r="E2371" s="5" t="str">
        <f>IFERROR(IF(Portafolio_Proyectos!$AR790="","",Portafolio_Proyectos!$B790),"")</f>
        <v/>
      </c>
      <c r="F2371" s="5" t="str">
        <f>IFERROR(IF(Portafolio_Proyectos!$AR790="","",Portafolio_Proyectos!$D790),"")</f>
        <v/>
      </c>
      <c r="G2371" s="5" t="str">
        <f>IFERROR(IF(Portafolio_Proyectos!$AR790="","",Portafolio_Proyectos!$A790),"")</f>
        <v/>
      </c>
      <c r="H2371" s="5" t="str">
        <f>IFERROR(IF(Portafolio_Proyectos!$AR790="","",Portafolio_Proyectos!$E790),"")</f>
        <v/>
      </c>
    </row>
    <row r="2372" spans="1:8" x14ac:dyDescent="0.35">
      <c r="A2372" s="5" t="str">
        <f>IFERROR(IF(Portafolio_Proyectos!$AP791="","","CAP-"&amp;ROW()-1),"")</f>
        <v/>
      </c>
      <c r="B2372" s="5" t="str">
        <f>IFERROR(IF(Portafolio_Proyectos!$AP791="","",Portafolio_Proyectos!$AP791),"")</f>
        <v/>
      </c>
      <c r="C2372" s="5" t="str">
        <f>IFERROR(IF(Portafolio_Proyectos!$AP791="","","Emergente"),"")</f>
        <v/>
      </c>
      <c r="D2372" s="5" t="str">
        <f>IFERROR(IF(Portafolio_Proyectos!$AP791="","",Portafolio_Proyectos!$C791),"")</f>
        <v/>
      </c>
      <c r="E2372" s="5" t="str">
        <f>IFERROR(IF(Portafolio_Proyectos!$AP791="","",Portafolio_Proyectos!$B791),"")</f>
        <v/>
      </c>
      <c r="F2372" s="5" t="str">
        <f>IFERROR(IF(Portafolio_Proyectos!$AP791="","",Portafolio_Proyectos!$D791),"")</f>
        <v/>
      </c>
      <c r="G2372" s="5" t="str">
        <f>IFERROR(IF(Portafolio_Proyectos!$AP791="","",Portafolio_Proyectos!$A791),"")</f>
        <v/>
      </c>
      <c r="H2372" s="5" t="str">
        <f>IFERROR(IF(Portafolio_Proyectos!$AP791="","",Portafolio_Proyectos!$E791),"")</f>
        <v/>
      </c>
    </row>
    <row r="2373" spans="1:8" x14ac:dyDescent="0.35">
      <c r="A2373" s="5" t="str">
        <f>IFERROR(IF(Portafolio_Proyectos!$AQ791="","","CAP-"&amp;ROW()-1),"")</f>
        <v/>
      </c>
      <c r="B2373" s="5" t="str">
        <f>IFERROR(IF(Portafolio_Proyectos!$AQ791="","",Portafolio_Proyectos!$AQ791),"")</f>
        <v/>
      </c>
      <c r="C2373" s="5" t="str">
        <f>IFERROR(IF(Portafolio_Proyectos!$AQ791="","","Consolidada"),"")</f>
        <v/>
      </c>
      <c r="D2373" s="5" t="str">
        <f>IFERROR(IF(Portafolio_Proyectos!$AQ791="","",Portafolio_Proyectos!$C791),"")</f>
        <v/>
      </c>
      <c r="E2373" s="5" t="str">
        <f>IFERROR(IF(Portafolio_Proyectos!$AQ791="","",Portafolio_Proyectos!$B791),"")</f>
        <v/>
      </c>
      <c r="F2373" s="5" t="str">
        <f>IFERROR(IF(Portafolio_Proyectos!$AQ791="","",Portafolio_Proyectos!$D791),"")</f>
        <v/>
      </c>
      <c r="G2373" s="5" t="str">
        <f>IFERROR(IF(Portafolio_Proyectos!$AQ791="","",Portafolio_Proyectos!$A791),"")</f>
        <v/>
      </c>
      <c r="H2373" s="5" t="str">
        <f>IFERROR(IF(Portafolio_Proyectos!$AQ791="","",Portafolio_Proyectos!$E791),"")</f>
        <v/>
      </c>
    </row>
    <row r="2374" spans="1:8" x14ac:dyDescent="0.35">
      <c r="A2374" s="5" t="str">
        <f>IFERROR(IF(Portafolio_Proyectos!$AR791="","","CAP-"&amp;ROW()-1),"")</f>
        <v/>
      </c>
      <c r="B2374" s="5" t="str">
        <f>IFERROR(IF(Portafolio_Proyectos!$AR791="","",Portafolio_Proyectos!$AR791),"")</f>
        <v/>
      </c>
      <c r="C2374" s="5" t="str">
        <f>IFERROR(IF(Portafolio_Proyectos!$AR791="","","Distintiva"),"")</f>
        <v/>
      </c>
      <c r="D2374" s="5" t="str">
        <f>IFERROR(IF(Portafolio_Proyectos!$AR791="","",Portafolio_Proyectos!$C791),"")</f>
        <v/>
      </c>
      <c r="E2374" s="5" t="str">
        <f>IFERROR(IF(Portafolio_Proyectos!$AR791="","",Portafolio_Proyectos!$B791),"")</f>
        <v/>
      </c>
      <c r="F2374" s="5" t="str">
        <f>IFERROR(IF(Portafolio_Proyectos!$AR791="","",Portafolio_Proyectos!$D791),"")</f>
        <v/>
      </c>
      <c r="G2374" s="5" t="str">
        <f>IFERROR(IF(Portafolio_Proyectos!$AR791="","",Portafolio_Proyectos!$A791),"")</f>
        <v/>
      </c>
      <c r="H2374" s="5" t="str">
        <f>IFERROR(IF(Portafolio_Proyectos!$AR791="","",Portafolio_Proyectos!$E791),"")</f>
        <v/>
      </c>
    </row>
    <row r="2375" spans="1:8" x14ac:dyDescent="0.35">
      <c r="A2375" s="5" t="str">
        <f>IFERROR(IF(Portafolio_Proyectos!$AP792="","","CAP-"&amp;ROW()-1),"")</f>
        <v/>
      </c>
      <c r="B2375" s="5" t="str">
        <f>IFERROR(IF(Portafolio_Proyectos!$AP792="","",Portafolio_Proyectos!$AP792),"")</f>
        <v/>
      </c>
      <c r="C2375" s="5" t="str">
        <f>IFERROR(IF(Portafolio_Proyectos!$AP792="","","Emergente"),"")</f>
        <v/>
      </c>
      <c r="D2375" s="5" t="str">
        <f>IFERROR(IF(Portafolio_Proyectos!$AP792="","",Portafolio_Proyectos!$C792),"")</f>
        <v/>
      </c>
      <c r="E2375" s="5" t="str">
        <f>IFERROR(IF(Portafolio_Proyectos!$AP792="","",Portafolio_Proyectos!$B792),"")</f>
        <v/>
      </c>
      <c r="F2375" s="5" t="str">
        <f>IFERROR(IF(Portafolio_Proyectos!$AP792="","",Portafolio_Proyectos!$D792),"")</f>
        <v/>
      </c>
      <c r="G2375" s="5" t="str">
        <f>IFERROR(IF(Portafolio_Proyectos!$AP792="","",Portafolio_Proyectos!$A792),"")</f>
        <v/>
      </c>
      <c r="H2375" s="5" t="str">
        <f>IFERROR(IF(Portafolio_Proyectos!$AP792="","",Portafolio_Proyectos!$E792),"")</f>
        <v/>
      </c>
    </row>
    <row r="2376" spans="1:8" x14ac:dyDescent="0.35">
      <c r="A2376" s="5" t="str">
        <f>IFERROR(IF(Portafolio_Proyectos!$AQ792="","","CAP-"&amp;ROW()-1),"")</f>
        <v/>
      </c>
      <c r="B2376" s="5" t="str">
        <f>IFERROR(IF(Portafolio_Proyectos!$AQ792="","",Portafolio_Proyectos!$AQ792),"")</f>
        <v/>
      </c>
      <c r="C2376" s="5" t="str">
        <f>IFERROR(IF(Portafolio_Proyectos!$AQ792="","","Consolidada"),"")</f>
        <v/>
      </c>
      <c r="D2376" s="5" t="str">
        <f>IFERROR(IF(Portafolio_Proyectos!$AQ792="","",Portafolio_Proyectos!$C792),"")</f>
        <v/>
      </c>
      <c r="E2376" s="5" t="str">
        <f>IFERROR(IF(Portafolio_Proyectos!$AQ792="","",Portafolio_Proyectos!$B792),"")</f>
        <v/>
      </c>
      <c r="F2376" s="5" t="str">
        <f>IFERROR(IF(Portafolio_Proyectos!$AQ792="","",Portafolio_Proyectos!$D792),"")</f>
        <v/>
      </c>
      <c r="G2376" s="5" t="str">
        <f>IFERROR(IF(Portafolio_Proyectos!$AQ792="","",Portafolio_Proyectos!$A792),"")</f>
        <v/>
      </c>
      <c r="H2376" s="5" t="str">
        <f>IFERROR(IF(Portafolio_Proyectos!$AQ792="","",Portafolio_Proyectos!$E792),"")</f>
        <v/>
      </c>
    </row>
    <row r="2377" spans="1:8" x14ac:dyDescent="0.35">
      <c r="A2377" s="5" t="str">
        <f>IFERROR(IF(Portafolio_Proyectos!$AR792="","","CAP-"&amp;ROW()-1),"")</f>
        <v/>
      </c>
      <c r="B2377" s="5" t="str">
        <f>IFERROR(IF(Portafolio_Proyectos!$AR792="","",Portafolio_Proyectos!$AR792),"")</f>
        <v/>
      </c>
      <c r="C2377" s="5" t="str">
        <f>IFERROR(IF(Portafolio_Proyectos!$AR792="","","Distintiva"),"")</f>
        <v/>
      </c>
      <c r="D2377" s="5" t="str">
        <f>IFERROR(IF(Portafolio_Proyectos!$AR792="","",Portafolio_Proyectos!$C792),"")</f>
        <v/>
      </c>
      <c r="E2377" s="5" t="str">
        <f>IFERROR(IF(Portafolio_Proyectos!$AR792="","",Portafolio_Proyectos!$B792),"")</f>
        <v/>
      </c>
      <c r="F2377" s="5" t="str">
        <f>IFERROR(IF(Portafolio_Proyectos!$AR792="","",Portafolio_Proyectos!$D792),"")</f>
        <v/>
      </c>
      <c r="G2377" s="5" t="str">
        <f>IFERROR(IF(Portafolio_Proyectos!$AR792="","",Portafolio_Proyectos!$A792),"")</f>
        <v/>
      </c>
      <c r="H2377" s="5" t="str">
        <f>IFERROR(IF(Portafolio_Proyectos!$AR792="","",Portafolio_Proyectos!$E792),"")</f>
        <v/>
      </c>
    </row>
    <row r="2378" spans="1:8" x14ac:dyDescent="0.35">
      <c r="A2378" s="5" t="str">
        <f>IFERROR(IF(Portafolio_Proyectos!$AP793="","","CAP-"&amp;ROW()-1),"")</f>
        <v/>
      </c>
      <c r="B2378" s="5" t="str">
        <f>IFERROR(IF(Portafolio_Proyectos!$AP793="","",Portafolio_Proyectos!$AP793),"")</f>
        <v/>
      </c>
      <c r="C2378" s="5" t="str">
        <f>IFERROR(IF(Portafolio_Proyectos!$AP793="","","Emergente"),"")</f>
        <v/>
      </c>
      <c r="D2378" s="5" t="str">
        <f>IFERROR(IF(Portafolio_Proyectos!$AP793="","",Portafolio_Proyectos!$C793),"")</f>
        <v/>
      </c>
      <c r="E2378" s="5" t="str">
        <f>IFERROR(IF(Portafolio_Proyectos!$AP793="","",Portafolio_Proyectos!$B793),"")</f>
        <v/>
      </c>
      <c r="F2378" s="5" t="str">
        <f>IFERROR(IF(Portafolio_Proyectos!$AP793="","",Portafolio_Proyectos!$D793),"")</f>
        <v/>
      </c>
      <c r="G2378" s="5" t="str">
        <f>IFERROR(IF(Portafolio_Proyectos!$AP793="","",Portafolio_Proyectos!$A793),"")</f>
        <v/>
      </c>
      <c r="H2378" s="5" t="str">
        <f>IFERROR(IF(Portafolio_Proyectos!$AP793="","",Portafolio_Proyectos!$E793),"")</f>
        <v/>
      </c>
    </row>
    <row r="2379" spans="1:8" x14ac:dyDescent="0.35">
      <c r="A2379" s="5" t="str">
        <f>IFERROR(IF(Portafolio_Proyectos!$AQ793="","","CAP-"&amp;ROW()-1),"")</f>
        <v/>
      </c>
      <c r="B2379" s="5" t="str">
        <f>IFERROR(IF(Portafolio_Proyectos!$AQ793="","",Portafolio_Proyectos!$AQ793),"")</f>
        <v/>
      </c>
      <c r="C2379" s="5" t="str">
        <f>IFERROR(IF(Portafolio_Proyectos!$AQ793="","","Consolidada"),"")</f>
        <v/>
      </c>
      <c r="D2379" s="5" t="str">
        <f>IFERROR(IF(Portafolio_Proyectos!$AQ793="","",Portafolio_Proyectos!$C793),"")</f>
        <v/>
      </c>
      <c r="E2379" s="5" t="str">
        <f>IFERROR(IF(Portafolio_Proyectos!$AQ793="","",Portafolio_Proyectos!$B793),"")</f>
        <v/>
      </c>
      <c r="F2379" s="5" t="str">
        <f>IFERROR(IF(Portafolio_Proyectos!$AQ793="","",Portafolio_Proyectos!$D793),"")</f>
        <v/>
      </c>
      <c r="G2379" s="5" t="str">
        <f>IFERROR(IF(Portafolio_Proyectos!$AQ793="","",Portafolio_Proyectos!$A793),"")</f>
        <v/>
      </c>
      <c r="H2379" s="5" t="str">
        <f>IFERROR(IF(Portafolio_Proyectos!$AQ793="","",Portafolio_Proyectos!$E793),"")</f>
        <v/>
      </c>
    </row>
    <row r="2380" spans="1:8" x14ac:dyDescent="0.35">
      <c r="A2380" s="5" t="str">
        <f>IFERROR(IF(Portafolio_Proyectos!$AR793="","","CAP-"&amp;ROW()-1),"")</f>
        <v/>
      </c>
      <c r="B2380" s="5" t="str">
        <f>IFERROR(IF(Portafolio_Proyectos!$AR793="","",Portafolio_Proyectos!$AR793),"")</f>
        <v/>
      </c>
      <c r="C2380" s="5" t="str">
        <f>IFERROR(IF(Portafolio_Proyectos!$AR793="","","Distintiva"),"")</f>
        <v/>
      </c>
      <c r="D2380" s="5" t="str">
        <f>IFERROR(IF(Portafolio_Proyectos!$AR793="","",Portafolio_Proyectos!$C793),"")</f>
        <v/>
      </c>
      <c r="E2380" s="5" t="str">
        <f>IFERROR(IF(Portafolio_Proyectos!$AR793="","",Portafolio_Proyectos!$B793),"")</f>
        <v/>
      </c>
      <c r="F2380" s="5" t="str">
        <f>IFERROR(IF(Portafolio_Proyectos!$AR793="","",Portafolio_Proyectos!$D793),"")</f>
        <v/>
      </c>
      <c r="G2380" s="5" t="str">
        <f>IFERROR(IF(Portafolio_Proyectos!$AR793="","",Portafolio_Proyectos!$A793),"")</f>
        <v/>
      </c>
      <c r="H2380" s="5" t="str">
        <f>IFERROR(IF(Portafolio_Proyectos!$AR793="","",Portafolio_Proyectos!$E793),"")</f>
        <v/>
      </c>
    </row>
    <row r="2381" spans="1:8" x14ac:dyDescent="0.35">
      <c r="A2381" s="5" t="str">
        <f>IFERROR(IF(Portafolio_Proyectos!$AP794="","","CAP-"&amp;ROW()-1),"")</f>
        <v/>
      </c>
      <c r="B2381" s="5" t="str">
        <f>IFERROR(IF(Portafolio_Proyectos!$AP794="","",Portafolio_Proyectos!$AP794),"")</f>
        <v/>
      </c>
      <c r="C2381" s="5" t="str">
        <f>IFERROR(IF(Portafolio_Proyectos!$AP794="","","Emergente"),"")</f>
        <v/>
      </c>
      <c r="D2381" s="5" t="str">
        <f>IFERROR(IF(Portafolio_Proyectos!$AP794="","",Portafolio_Proyectos!$C794),"")</f>
        <v/>
      </c>
      <c r="E2381" s="5" t="str">
        <f>IFERROR(IF(Portafolio_Proyectos!$AP794="","",Portafolio_Proyectos!$B794),"")</f>
        <v/>
      </c>
      <c r="F2381" s="5" t="str">
        <f>IFERROR(IF(Portafolio_Proyectos!$AP794="","",Portafolio_Proyectos!$D794),"")</f>
        <v/>
      </c>
      <c r="G2381" s="5" t="str">
        <f>IFERROR(IF(Portafolio_Proyectos!$AP794="","",Portafolio_Proyectos!$A794),"")</f>
        <v/>
      </c>
      <c r="H2381" s="5" t="str">
        <f>IFERROR(IF(Portafolio_Proyectos!$AP794="","",Portafolio_Proyectos!$E794),"")</f>
        <v/>
      </c>
    </row>
    <row r="2382" spans="1:8" x14ac:dyDescent="0.35">
      <c r="A2382" s="5" t="str">
        <f>IFERROR(IF(Portafolio_Proyectos!$AQ794="","","CAP-"&amp;ROW()-1),"")</f>
        <v/>
      </c>
      <c r="B2382" s="5" t="str">
        <f>IFERROR(IF(Portafolio_Proyectos!$AQ794="","",Portafolio_Proyectos!$AQ794),"")</f>
        <v/>
      </c>
      <c r="C2382" s="5" t="str">
        <f>IFERROR(IF(Portafolio_Proyectos!$AQ794="","","Consolidada"),"")</f>
        <v/>
      </c>
      <c r="D2382" s="5" t="str">
        <f>IFERROR(IF(Portafolio_Proyectos!$AQ794="","",Portafolio_Proyectos!$C794),"")</f>
        <v/>
      </c>
      <c r="E2382" s="5" t="str">
        <f>IFERROR(IF(Portafolio_Proyectos!$AQ794="","",Portafolio_Proyectos!$B794),"")</f>
        <v/>
      </c>
      <c r="F2382" s="5" t="str">
        <f>IFERROR(IF(Portafolio_Proyectos!$AQ794="","",Portafolio_Proyectos!$D794),"")</f>
        <v/>
      </c>
      <c r="G2382" s="5" t="str">
        <f>IFERROR(IF(Portafolio_Proyectos!$AQ794="","",Portafolio_Proyectos!$A794),"")</f>
        <v/>
      </c>
      <c r="H2382" s="5" t="str">
        <f>IFERROR(IF(Portafolio_Proyectos!$AQ794="","",Portafolio_Proyectos!$E794),"")</f>
        <v/>
      </c>
    </row>
    <row r="2383" spans="1:8" x14ac:dyDescent="0.35">
      <c r="A2383" s="5" t="str">
        <f>IFERROR(IF(Portafolio_Proyectos!$AR794="","","CAP-"&amp;ROW()-1),"")</f>
        <v/>
      </c>
      <c r="B2383" s="5" t="str">
        <f>IFERROR(IF(Portafolio_Proyectos!$AR794="","",Portafolio_Proyectos!$AR794),"")</f>
        <v/>
      </c>
      <c r="C2383" s="5" t="str">
        <f>IFERROR(IF(Portafolio_Proyectos!$AR794="","","Distintiva"),"")</f>
        <v/>
      </c>
      <c r="D2383" s="5" t="str">
        <f>IFERROR(IF(Portafolio_Proyectos!$AR794="","",Portafolio_Proyectos!$C794),"")</f>
        <v/>
      </c>
      <c r="E2383" s="5" t="str">
        <f>IFERROR(IF(Portafolio_Proyectos!$AR794="","",Portafolio_Proyectos!$B794),"")</f>
        <v/>
      </c>
      <c r="F2383" s="5" t="str">
        <f>IFERROR(IF(Portafolio_Proyectos!$AR794="","",Portafolio_Proyectos!$D794),"")</f>
        <v/>
      </c>
      <c r="G2383" s="5" t="str">
        <f>IFERROR(IF(Portafolio_Proyectos!$AR794="","",Portafolio_Proyectos!$A794),"")</f>
        <v/>
      </c>
      <c r="H2383" s="5" t="str">
        <f>IFERROR(IF(Portafolio_Proyectos!$AR794="","",Portafolio_Proyectos!$E794),"")</f>
        <v/>
      </c>
    </row>
    <row r="2384" spans="1:8" x14ac:dyDescent="0.35">
      <c r="A2384" s="5" t="str">
        <f>IFERROR(IF(Portafolio_Proyectos!$AP795="","","CAP-"&amp;ROW()-1),"")</f>
        <v/>
      </c>
      <c r="B2384" s="5" t="str">
        <f>IFERROR(IF(Portafolio_Proyectos!$AP795="","",Portafolio_Proyectos!$AP795),"")</f>
        <v/>
      </c>
      <c r="C2384" s="5" t="str">
        <f>IFERROR(IF(Portafolio_Proyectos!$AP795="","","Emergente"),"")</f>
        <v/>
      </c>
      <c r="D2384" s="5" t="str">
        <f>IFERROR(IF(Portafolio_Proyectos!$AP795="","",Portafolio_Proyectos!$C795),"")</f>
        <v/>
      </c>
      <c r="E2384" s="5" t="str">
        <f>IFERROR(IF(Portafolio_Proyectos!$AP795="","",Portafolio_Proyectos!$B795),"")</f>
        <v/>
      </c>
      <c r="F2384" s="5" t="str">
        <f>IFERROR(IF(Portafolio_Proyectos!$AP795="","",Portafolio_Proyectos!$D795),"")</f>
        <v/>
      </c>
      <c r="G2384" s="5" t="str">
        <f>IFERROR(IF(Portafolio_Proyectos!$AP795="","",Portafolio_Proyectos!$A795),"")</f>
        <v/>
      </c>
      <c r="H2384" s="5" t="str">
        <f>IFERROR(IF(Portafolio_Proyectos!$AP795="","",Portafolio_Proyectos!$E795),"")</f>
        <v/>
      </c>
    </row>
    <row r="2385" spans="1:8" x14ac:dyDescent="0.35">
      <c r="A2385" s="5" t="str">
        <f>IFERROR(IF(Portafolio_Proyectos!$AQ795="","","CAP-"&amp;ROW()-1),"")</f>
        <v/>
      </c>
      <c r="B2385" s="5" t="str">
        <f>IFERROR(IF(Portafolio_Proyectos!$AQ795="","",Portafolio_Proyectos!$AQ795),"")</f>
        <v/>
      </c>
      <c r="C2385" s="5" t="str">
        <f>IFERROR(IF(Portafolio_Proyectos!$AQ795="","","Consolidada"),"")</f>
        <v/>
      </c>
      <c r="D2385" s="5" t="str">
        <f>IFERROR(IF(Portafolio_Proyectos!$AQ795="","",Portafolio_Proyectos!$C795),"")</f>
        <v/>
      </c>
      <c r="E2385" s="5" t="str">
        <f>IFERROR(IF(Portafolio_Proyectos!$AQ795="","",Portafolio_Proyectos!$B795),"")</f>
        <v/>
      </c>
      <c r="F2385" s="5" t="str">
        <f>IFERROR(IF(Portafolio_Proyectos!$AQ795="","",Portafolio_Proyectos!$D795),"")</f>
        <v/>
      </c>
      <c r="G2385" s="5" t="str">
        <f>IFERROR(IF(Portafolio_Proyectos!$AQ795="","",Portafolio_Proyectos!$A795),"")</f>
        <v/>
      </c>
      <c r="H2385" s="5" t="str">
        <f>IFERROR(IF(Portafolio_Proyectos!$AQ795="","",Portafolio_Proyectos!$E795),"")</f>
        <v/>
      </c>
    </row>
    <row r="2386" spans="1:8" x14ac:dyDescent="0.35">
      <c r="A2386" s="5" t="str">
        <f>IFERROR(IF(Portafolio_Proyectos!$AR795="","","CAP-"&amp;ROW()-1),"")</f>
        <v/>
      </c>
      <c r="B2386" s="5" t="str">
        <f>IFERROR(IF(Portafolio_Proyectos!$AR795="","",Portafolio_Proyectos!$AR795),"")</f>
        <v/>
      </c>
      <c r="C2386" s="5" t="str">
        <f>IFERROR(IF(Portafolio_Proyectos!$AR795="","","Distintiva"),"")</f>
        <v/>
      </c>
      <c r="D2386" s="5" t="str">
        <f>IFERROR(IF(Portafolio_Proyectos!$AR795="","",Portafolio_Proyectos!$C795),"")</f>
        <v/>
      </c>
      <c r="E2386" s="5" t="str">
        <f>IFERROR(IF(Portafolio_Proyectos!$AR795="","",Portafolio_Proyectos!$B795),"")</f>
        <v/>
      </c>
      <c r="F2386" s="5" t="str">
        <f>IFERROR(IF(Portafolio_Proyectos!$AR795="","",Portafolio_Proyectos!$D795),"")</f>
        <v/>
      </c>
      <c r="G2386" s="5" t="str">
        <f>IFERROR(IF(Portafolio_Proyectos!$AR795="","",Portafolio_Proyectos!$A795),"")</f>
        <v/>
      </c>
      <c r="H2386" s="5" t="str">
        <f>IFERROR(IF(Portafolio_Proyectos!$AR795="","",Portafolio_Proyectos!$E795),"")</f>
        <v/>
      </c>
    </row>
    <row r="2387" spans="1:8" x14ac:dyDescent="0.35">
      <c r="A2387" s="5" t="str">
        <f>IFERROR(IF(Portafolio_Proyectos!$AP796="","","CAP-"&amp;ROW()-1),"")</f>
        <v/>
      </c>
      <c r="B2387" s="5" t="str">
        <f>IFERROR(IF(Portafolio_Proyectos!$AP796="","",Portafolio_Proyectos!$AP796),"")</f>
        <v/>
      </c>
      <c r="C2387" s="5" t="str">
        <f>IFERROR(IF(Portafolio_Proyectos!$AP796="","","Emergente"),"")</f>
        <v/>
      </c>
      <c r="D2387" s="5" t="str">
        <f>IFERROR(IF(Portafolio_Proyectos!$AP796="","",Portafolio_Proyectos!$C796),"")</f>
        <v/>
      </c>
      <c r="E2387" s="5" t="str">
        <f>IFERROR(IF(Portafolio_Proyectos!$AP796="","",Portafolio_Proyectos!$B796),"")</f>
        <v/>
      </c>
      <c r="F2387" s="5" t="str">
        <f>IFERROR(IF(Portafolio_Proyectos!$AP796="","",Portafolio_Proyectos!$D796),"")</f>
        <v/>
      </c>
      <c r="G2387" s="5" t="str">
        <f>IFERROR(IF(Portafolio_Proyectos!$AP796="","",Portafolio_Proyectos!$A796),"")</f>
        <v/>
      </c>
      <c r="H2387" s="5" t="str">
        <f>IFERROR(IF(Portafolio_Proyectos!$AP796="","",Portafolio_Proyectos!$E796),"")</f>
        <v/>
      </c>
    </row>
    <row r="2388" spans="1:8" x14ac:dyDescent="0.35">
      <c r="A2388" s="5" t="str">
        <f>IFERROR(IF(Portafolio_Proyectos!$AQ796="","","CAP-"&amp;ROW()-1),"")</f>
        <v/>
      </c>
      <c r="B2388" s="5" t="str">
        <f>IFERROR(IF(Portafolio_Proyectos!$AQ796="","",Portafolio_Proyectos!$AQ796),"")</f>
        <v/>
      </c>
      <c r="C2388" s="5" t="str">
        <f>IFERROR(IF(Portafolio_Proyectos!$AQ796="","","Consolidada"),"")</f>
        <v/>
      </c>
      <c r="D2388" s="5" t="str">
        <f>IFERROR(IF(Portafolio_Proyectos!$AQ796="","",Portafolio_Proyectos!$C796),"")</f>
        <v/>
      </c>
      <c r="E2388" s="5" t="str">
        <f>IFERROR(IF(Portafolio_Proyectos!$AQ796="","",Portafolio_Proyectos!$B796),"")</f>
        <v/>
      </c>
      <c r="F2388" s="5" t="str">
        <f>IFERROR(IF(Portafolio_Proyectos!$AQ796="","",Portafolio_Proyectos!$D796),"")</f>
        <v/>
      </c>
      <c r="G2388" s="5" t="str">
        <f>IFERROR(IF(Portafolio_Proyectos!$AQ796="","",Portafolio_Proyectos!$A796),"")</f>
        <v/>
      </c>
      <c r="H2388" s="5" t="str">
        <f>IFERROR(IF(Portafolio_Proyectos!$AQ796="","",Portafolio_Proyectos!$E796),"")</f>
        <v/>
      </c>
    </row>
    <row r="2389" spans="1:8" x14ac:dyDescent="0.35">
      <c r="A2389" s="5" t="str">
        <f>IFERROR(IF(Portafolio_Proyectos!$AR796="","","CAP-"&amp;ROW()-1),"")</f>
        <v/>
      </c>
      <c r="B2389" s="5" t="str">
        <f>IFERROR(IF(Portafolio_Proyectos!$AR796="","",Portafolio_Proyectos!$AR796),"")</f>
        <v/>
      </c>
      <c r="C2389" s="5" t="str">
        <f>IFERROR(IF(Portafolio_Proyectos!$AR796="","","Distintiva"),"")</f>
        <v/>
      </c>
      <c r="D2389" s="5" t="str">
        <f>IFERROR(IF(Portafolio_Proyectos!$AR796="","",Portafolio_Proyectos!$C796),"")</f>
        <v/>
      </c>
      <c r="E2389" s="5" t="str">
        <f>IFERROR(IF(Portafolio_Proyectos!$AR796="","",Portafolio_Proyectos!$B796),"")</f>
        <v/>
      </c>
      <c r="F2389" s="5" t="str">
        <f>IFERROR(IF(Portafolio_Proyectos!$AR796="","",Portafolio_Proyectos!$D796),"")</f>
        <v/>
      </c>
      <c r="G2389" s="5" t="str">
        <f>IFERROR(IF(Portafolio_Proyectos!$AR796="","",Portafolio_Proyectos!$A796),"")</f>
        <v/>
      </c>
      <c r="H2389" s="5" t="str">
        <f>IFERROR(IF(Portafolio_Proyectos!$AR796="","",Portafolio_Proyectos!$E796),"")</f>
        <v/>
      </c>
    </row>
    <row r="2390" spans="1:8" x14ac:dyDescent="0.35">
      <c r="A2390" s="5" t="str">
        <f>IFERROR(IF(Portafolio_Proyectos!$AP797="","","CAP-"&amp;ROW()-1),"")</f>
        <v/>
      </c>
      <c r="B2390" s="5" t="str">
        <f>IFERROR(IF(Portafolio_Proyectos!$AP797="","",Portafolio_Proyectos!$AP797),"")</f>
        <v/>
      </c>
      <c r="C2390" s="5" t="str">
        <f>IFERROR(IF(Portafolio_Proyectos!$AP797="","","Emergente"),"")</f>
        <v/>
      </c>
      <c r="D2390" s="5" t="str">
        <f>IFERROR(IF(Portafolio_Proyectos!$AP797="","",Portafolio_Proyectos!$C797),"")</f>
        <v/>
      </c>
      <c r="E2390" s="5" t="str">
        <f>IFERROR(IF(Portafolio_Proyectos!$AP797="","",Portafolio_Proyectos!$B797),"")</f>
        <v/>
      </c>
      <c r="F2390" s="5" t="str">
        <f>IFERROR(IF(Portafolio_Proyectos!$AP797="","",Portafolio_Proyectos!$D797),"")</f>
        <v/>
      </c>
      <c r="G2390" s="5" t="str">
        <f>IFERROR(IF(Portafolio_Proyectos!$AP797="","",Portafolio_Proyectos!$A797),"")</f>
        <v/>
      </c>
      <c r="H2390" s="5" t="str">
        <f>IFERROR(IF(Portafolio_Proyectos!$AP797="","",Portafolio_Proyectos!$E797),"")</f>
        <v/>
      </c>
    </row>
    <row r="2391" spans="1:8" x14ac:dyDescent="0.35">
      <c r="A2391" s="5" t="str">
        <f>IFERROR(IF(Portafolio_Proyectos!$AQ797="","","CAP-"&amp;ROW()-1),"")</f>
        <v/>
      </c>
      <c r="B2391" s="5" t="str">
        <f>IFERROR(IF(Portafolio_Proyectos!$AQ797="","",Portafolio_Proyectos!$AQ797),"")</f>
        <v/>
      </c>
      <c r="C2391" s="5" t="str">
        <f>IFERROR(IF(Portafolio_Proyectos!$AQ797="","","Consolidada"),"")</f>
        <v/>
      </c>
      <c r="D2391" s="5" t="str">
        <f>IFERROR(IF(Portafolio_Proyectos!$AQ797="","",Portafolio_Proyectos!$C797),"")</f>
        <v/>
      </c>
      <c r="E2391" s="5" t="str">
        <f>IFERROR(IF(Portafolio_Proyectos!$AQ797="","",Portafolio_Proyectos!$B797),"")</f>
        <v/>
      </c>
      <c r="F2391" s="5" t="str">
        <f>IFERROR(IF(Portafolio_Proyectos!$AQ797="","",Portafolio_Proyectos!$D797),"")</f>
        <v/>
      </c>
      <c r="G2391" s="5" t="str">
        <f>IFERROR(IF(Portafolio_Proyectos!$AQ797="","",Portafolio_Proyectos!$A797),"")</f>
        <v/>
      </c>
      <c r="H2391" s="5" t="str">
        <f>IFERROR(IF(Portafolio_Proyectos!$AQ797="","",Portafolio_Proyectos!$E797),"")</f>
        <v/>
      </c>
    </row>
    <row r="2392" spans="1:8" x14ac:dyDescent="0.35">
      <c r="A2392" s="5" t="str">
        <f>IFERROR(IF(Portafolio_Proyectos!$AR797="","","CAP-"&amp;ROW()-1),"")</f>
        <v/>
      </c>
      <c r="B2392" s="5" t="str">
        <f>IFERROR(IF(Portafolio_Proyectos!$AR797="","",Portafolio_Proyectos!$AR797),"")</f>
        <v/>
      </c>
      <c r="C2392" s="5" t="str">
        <f>IFERROR(IF(Portafolio_Proyectos!$AR797="","","Distintiva"),"")</f>
        <v/>
      </c>
      <c r="D2392" s="5" t="str">
        <f>IFERROR(IF(Portafolio_Proyectos!$AR797="","",Portafolio_Proyectos!$C797),"")</f>
        <v/>
      </c>
      <c r="E2392" s="5" t="str">
        <f>IFERROR(IF(Portafolio_Proyectos!$AR797="","",Portafolio_Proyectos!$B797),"")</f>
        <v/>
      </c>
      <c r="F2392" s="5" t="str">
        <f>IFERROR(IF(Portafolio_Proyectos!$AR797="","",Portafolio_Proyectos!$D797),"")</f>
        <v/>
      </c>
      <c r="G2392" s="5" t="str">
        <f>IFERROR(IF(Portafolio_Proyectos!$AR797="","",Portafolio_Proyectos!$A797),"")</f>
        <v/>
      </c>
      <c r="H2392" s="5" t="str">
        <f>IFERROR(IF(Portafolio_Proyectos!$AR797="","",Portafolio_Proyectos!$E797),"")</f>
        <v/>
      </c>
    </row>
    <row r="2393" spans="1:8" x14ac:dyDescent="0.35">
      <c r="A2393" s="5" t="str">
        <f>IFERROR(IF(Portafolio_Proyectos!$AP798="","","CAP-"&amp;ROW()-1),"")</f>
        <v/>
      </c>
      <c r="B2393" s="5" t="str">
        <f>IFERROR(IF(Portafolio_Proyectos!$AP798="","",Portafolio_Proyectos!$AP798),"")</f>
        <v/>
      </c>
      <c r="C2393" s="5" t="str">
        <f>IFERROR(IF(Portafolio_Proyectos!$AP798="","","Emergente"),"")</f>
        <v/>
      </c>
      <c r="D2393" s="5" t="str">
        <f>IFERROR(IF(Portafolio_Proyectos!$AP798="","",Portafolio_Proyectos!$C798),"")</f>
        <v/>
      </c>
      <c r="E2393" s="5" t="str">
        <f>IFERROR(IF(Portafolio_Proyectos!$AP798="","",Portafolio_Proyectos!$B798),"")</f>
        <v/>
      </c>
      <c r="F2393" s="5" t="str">
        <f>IFERROR(IF(Portafolio_Proyectos!$AP798="","",Portafolio_Proyectos!$D798),"")</f>
        <v/>
      </c>
      <c r="G2393" s="5" t="str">
        <f>IFERROR(IF(Portafolio_Proyectos!$AP798="","",Portafolio_Proyectos!$A798),"")</f>
        <v/>
      </c>
      <c r="H2393" s="5" t="str">
        <f>IFERROR(IF(Portafolio_Proyectos!$AP798="","",Portafolio_Proyectos!$E798),"")</f>
        <v/>
      </c>
    </row>
    <row r="2394" spans="1:8" x14ac:dyDescent="0.35">
      <c r="A2394" s="5" t="str">
        <f>IFERROR(IF(Portafolio_Proyectos!$AQ798="","","CAP-"&amp;ROW()-1),"")</f>
        <v/>
      </c>
      <c r="B2394" s="5" t="str">
        <f>IFERROR(IF(Portafolio_Proyectos!$AQ798="","",Portafolio_Proyectos!$AQ798),"")</f>
        <v/>
      </c>
      <c r="C2394" s="5" t="str">
        <f>IFERROR(IF(Portafolio_Proyectos!$AQ798="","","Consolidada"),"")</f>
        <v/>
      </c>
      <c r="D2394" s="5" t="str">
        <f>IFERROR(IF(Portafolio_Proyectos!$AQ798="","",Portafolio_Proyectos!$C798),"")</f>
        <v/>
      </c>
      <c r="E2394" s="5" t="str">
        <f>IFERROR(IF(Portafolio_Proyectos!$AQ798="","",Portafolio_Proyectos!$B798),"")</f>
        <v/>
      </c>
      <c r="F2394" s="5" t="str">
        <f>IFERROR(IF(Portafolio_Proyectos!$AQ798="","",Portafolio_Proyectos!$D798),"")</f>
        <v/>
      </c>
      <c r="G2394" s="5" t="str">
        <f>IFERROR(IF(Portafolio_Proyectos!$AQ798="","",Portafolio_Proyectos!$A798),"")</f>
        <v/>
      </c>
      <c r="H2394" s="5" t="str">
        <f>IFERROR(IF(Portafolio_Proyectos!$AQ798="","",Portafolio_Proyectos!$E798),"")</f>
        <v/>
      </c>
    </row>
    <row r="2395" spans="1:8" x14ac:dyDescent="0.35">
      <c r="A2395" s="5" t="str">
        <f>IFERROR(IF(Portafolio_Proyectos!$AR798="","","CAP-"&amp;ROW()-1),"")</f>
        <v/>
      </c>
      <c r="B2395" s="5" t="str">
        <f>IFERROR(IF(Portafolio_Proyectos!$AR798="","",Portafolio_Proyectos!$AR798),"")</f>
        <v/>
      </c>
      <c r="C2395" s="5" t="str">
        <f>IFERROR(IF(Portafolio_Proyectos!$AR798="","","Distintiva"),"")</f>
        <v/>
      </c>
      <c r="D2395" s="5" t="str">
        <f>IFERROR(IF(Portafolio_Proyectos!$AR798="","",Portafolio_Proyectos!$C798),"")</f>
        <v/>
      </c>
      <c r="E2395" s="5" t="str">
        <f>IFERROR(IF(Portafolio_Proyectos!$AR798="","",Portafolio_Proyectos!$B798),"")</f>
        <v/>
      </c>
      <c r="F2395" s="5" t="str">
        <f>IFERROR(IF(Portafolio_Proyectos!$AR798="","",Portafolio_Proyectos!$D798),"")</f>
        <v/>
      </c>
      <c r="G2395" s="5" t="str">
        <f>IFERROR(IF(Portafolio_Proyectos!$AR798="","",Portafolio_Proyectos!$A798),"")</f>
        <v/>
      </c>
      <c r="H2395" s="5" t="str">
        <f>IFERROR(IF(Portafolio_Proyectos!$AR798="","",Portafolio_Proyectos!$E798),"")</f>
        <v/>
      </c>
    </row>
    <row r="2396" spans="1:8" x14ac:dyDescent="0.35">
      <c r="A2396" s="5" t="str">
        <f>IFERROR(IF(Portafolio_Proyectos!$AP799="","","CAP-"&amp;ROW()-1),"")</f>
        <v/>
      </c>
      <c r="B2396" s="5" t="str">
        <f>IFERROR(IF(Portafolio_Proyectos!$AP799="","",Portafolio_Proyectos!$AP799),"")</f>
        <v/>
      </c>
      <c r="C2396" s="5" t="str">
        <f>IFERROR(IF(Portafolio_Proyectos!$AP799="","","Emergente"),"")</f>
        <v/>
      </c>
      <c r="D2396" s="5" t="str">
        <f>IFERROR(IF(Portafolio_Proyectos!$AP799="","",Portafolio_Proyectos!$C799),"")</f>
        <v/>
      </c>
      <c r="E2396" s="5" t="str">
        <f>IFERROR(IF(Portafolio_Proyectos!$AP799="","",Portafolio_Proyectos!$B799),"")</f>
        <v/>
      </c>
      <c r="F2396" s="5" t="str">
        <f>IFERROR(IF(Portafolio_Proyectos!$AP799="","",Portafolio_Proyectos!$D799),"")</f>
        <v/>
      </c>
      <c r="G2396" s="5" t="str">
        <f>IFERROR(IF(Portafolio_Proyectos!$AP799="","",Portafolio_Proyectos!$A799),"")</f>
        <v/>
      </c>
      <c r="H2396" s="5" t="str">
        <f>IFERROR(IF(Portafolio_Proyectos!$AP799="","",Portafolio_Proyectos!$E799),"")</f>
        <v/>
      </c>
    </row>
    <row r="2397" spans="1:8" x14ac:dyDescent="0.35">
      <c r="A2397" s="5" t="str">
        <f>IFERROR(IF(Portafolio_Proyectos!$AQ799="","","CAP-"&amp;ROW()-1),"")</f>
        <v/>
      </c>
      <c r="B2397" s="5" t="str">
        <f>IFERROR(IF(Portafolio_Proyectos!$AQ799="","",Portafolio_Proyectos!$AQ799),"")</f>
        <v/>
      </c>
      <c r="C2397" s="5" t="str">
        <f>IFERROR(IF(Portafolio_Proyectos!$AQ799="","","Consolidada"),"")</f>
        <v/>
      </c>
      <c r="D2397" s="5" t="str">
        <f>IFERROR(IF(Portafolio_Proyectos!$AQ799="","",Portafolio_Proyectos!$C799),"")</f>
        <v/>
      </c>
      <c r="E2397" s="5" t="str">
        <f>IFERROR(IF(Portafolio_Proyectos!$AQ799="","",Portafolio_Proyectos!$B799),"")</f>
        <v/>
      </c>
      <c r="F2397" s="5" t="str">
        <f>IFERROR(IF(Portafolio_Proyectos!$AQ799="","",Portafolio_Proyectos!$D799),"")</f>
        <v/>
      </c>
      <c r="G2397" s="5" t="str">
        <f>IFERROR(IF(Portafolio_Proyectos!$AQ799="","",Portafolio_Proyectos!$A799),"")</f>
        <v/>
      </c>
      <c r="H2397" s="5" t="str">
        <f>IFERROR(IF(Portafolio_Proyectos!$AQ799="","",Portafolio_Proyectos!$E799),"")</f>
        <v/>
      </c>
    </row>
    <row r="2398" spans="1:8" x14ac:dyDescent="0.35">
      <c r="A2398" s="5" t="str">
        <f>IFERROR(IF(Portafolio_Proyectos!$AR799="","","CAP-"&amp;ROW()-1),"")</f>
        <v/>
      </c>
      <c r="B2398" s="5" t="str">
        <f>IFERROR(IF(Portafolio_Proyectos!$AR799="","",Portafolio_Proyectos!$AR799),"")</f>
        <v/>
      </c>
      <c r="C2398" s="5" t="str">
        <f>IFERROR(IF(Portafolio_Proyectos!$AR799="","","Distintiva"),"")</f>
        <v/>
      </c>
      <c r="D2398" s="5" t="str">
        <f>IFERROR(IF(Portafolio_Proyectos!$AR799="","",Portafolio_Proyectos!$C799),"")</f>
        <v/>
      </c>
      <c r="E2398" s="5" t="str">
        <f>IFERROR(IF(Portafolio_Proyectos!$AR799="","",Portafolio_Proyectos!$B799),"")</f>
        <v/>
      </c>
      <c r="F2398" s="5" t="str">
        <f>IFERROR(IF(Portafolio_Proyectos!$AR799="","",Portafolio_Proyectos!$D799),"")</f>
        <v/>
      </c>
      <c r="G2398" s="5" t="str">
        <f>IFERROR(IF(Portafolio_Proyectos!$AR799="","",Portafolio_Proyectos!$A799),"")</f>
        <v/>
      </c>
      <c r="H2398" s="5" t="str">
        <f>IFERROR(IF(Portafolio_Proyectos!$AR799="","",Portafolio_Proyectos!$E799),"")</f>
        <v/>
      </c>
    </row>
    <row r="2399" spans="1:8" x14ac:dyDescent="0.35">
      <c r="A2399" s="5" t="str">
        <f>IFERROR(IF(Portafolio_Proyectos!$AP800="","","CAP-"&amp;ROW()-1),"")</f>
        <v/>
      </c>
      <c r="B2399" s="5" t="str">
        <f>IFERROR(IF(Portafolio_Proyectos!$AP800="","",Portafolio_Proyectos!$AP800),"")</f>
        <v/>
      </c>
      <c r="C2399" s="5" t="str">
        <f>IFERROR(IF(Portafolio_Proyectos!$AP800="","","Emergente"),"")</f>
        <v/>
      </c>
      <c r="D2399" s="5" t="str">
        <f>IFERROR(IF(Portafolio_Proyectos!$AP800="","",Portafolio_Proyectos!$C800),"")</f>
        <v/>
      </c>
      <c r="E2399" s="5" t="str">
        <f>IFERROR(IF(Portafolio_Proyectos!$AP800="","",Portafolio_Proyectos!$B800),"")</f>
        <v/>
      </c>
      <c r="F2399" s="5" t="str">
        <f>IFERROR(IF(Portafolio_Proyectos!$AP800="","",Portafolio_Proyectos!$D800),"")</f>
        <v/>
      </c>
      <c r="G2399" s="5" t="str">
        <f>IFERROR(IF(Portafolio_Proyectos!$AP800="","",Portafolio_Proyectos!$A800),"")</f>
        <v/>
      </c>
      <c r="H2399" s="5" t="str">
        <f>IFERROR(IF(Portafolio_Proyectos!$AP800="","",Portafolio_Proyectos!$E800),"")</f>
        <v/>
      </c>
    </row>
    <row r="2400" spans="1:8" x14ac:dyDescent="0.35">
      <c r="A2400" s="5" t="str">
        <f>IFERROR(IF(Portafolio_Proyectos!$AQ800="","","CAP-"&amp;ROW()-1),"")</f>
        <v/>
      </c>
      <c r="B2400" s="5" t="str">
        <f>IFERROR(IF(Portafolio_Proyectos!$AQ800="","",Portafolio_Proyectos!$AQ800),"")</f>
        <v/>
      </c>
      <c r="C2400" s="5" t="str">
        <f>IFERROR(IF(Portafolio_Proyectos!$AQ800="","","Consolidada"),"")</f>
        <v/>
      </c>
      <c r="D2400" s="5" t="str">
        <f>IFERROR(IF(Portafolio_Proyectos!$AQ800="","",Portafolio_Proyectos!$C800),"")</f>
        <v/>
      </c>
      <c r="E2400" s="5" t="str">
        <f>IFERROR(IF(Portafolio_Proyectos!$AQ800="","",Portafolio_Proyectos!$B800),"")</f>
        <v/>
      </c>
      <c r="F2400" s="5" t="str">
        <f>IFERROR(IF(Portafolio_Proyectos!$AQ800="","",Portafolio_Proyectos!$D800),"")</f>
        <v/>
      </c>
      <c r="G2400" s="5" t="str">
        <f>IFERROR(IF(Portafolio_Proyectos!$AQ800="","",Portafolio_Proyectos!$A800),"")</f>
        <v/>
      </c>
      <c r="H2400" s="5" t="str">
        <f>IFERROR(IF(Portafolio_Proyectos!$AQ800="","",Portafolio_Proyectos!$E800),"")</f>
        <v/>
      </c>
    </row>
    <row r="2401" spans="1:8" x14ac:dyDescent="0.35">
      <c r="A2401" s="5" t="str">
        <f>IFERROR(IF(Portafolio_Proyectos!$AR800="","","CAP-"&amp;ROW()-1),"")</f>
        <v/>
      </c>
      <c r="B2401" s="5" t="str">
        <f>IFERROR(IF(Portafolio_Proyectos!$AR800="","",Portafolio_Proyectos!$AR800),"")</f>
        <v/>
      </c>
      <c r="C2401" s="5" t="str">
        <f>IFERROR(IF(Portafolio_Proyectos!$AR800="","","Distintiva"),"")</f>
        <v/>
      </c>
      <c r="D2401" s="5" t="str">
        <f>IFERROR(IF(Portafolio_Proyectos!$AR800="","",Portafolio_Proyectos!$C800),"")</f>
        <v/>
      </c>
      <c r="E2401" s="5" t="str">
        <f>IFERROR(IF(Portafolio_Proyectos!$AR800="","",Portafolio_Proyectos!$B800),"")</f>
        <v/>
      </c>
      <c r="F2401" s="5" t="str">
        <f>IFERROR(IF(Portafolio_Proyectos!$AR800="","",Portafolio_Proyectos!$D800),"")</f>
        <v/>
      </c>
      <c r="G2401" s="5" t="str">
        <f>IFERROR(IF(Portafolio_Proyectos!$AR800="","",Portafolio_Proyectos!$A800),"")</f>
        <v/>
      </c>
      <c r="H2401" s="5" t="str">
        <f>IFERROR(IF(Portafolio_Proyectos!$AR800="","",Portafolio_Proyectos!$E800),"")</f>
        <v/>
      </c>
    </row>
    <row r="2402" spans="1:8" x14ac:dyDescent="0.35">
      <c r="A2402" s="5" t="str">
        <f>IFERROR(IF(Portafolio_Proyectos!$AP801="","","CAP-"&amp;ROW()-1),"")</f>
        <v/>
      </c>
      <c r="B2402" s="5" t="str">
        <f>IFERROR(IF(Portafolio_Proyectos!$AP801="","",Portafolio_Proyectos!$AP801),"")</f>
        <v/>
      </c>
      <c r="C2402" s="5" t="str">
        <f>IFERROR(IF(Portafolio_Proyectos!$AP801="","","Emergente"),"")</f>
        <v/>
      </c>
      <c r="D2402" s="5" t="str">
        <f>IFERROR(IF(Portafolio_Proyectos!$AP801="","",Portafolio_Proyectos!$C801),"")</f>
        <v/>
      </c>
      <c r="E2402" s="5" t="str">
        <f>IFERROR(IF(Portafolio_Proyectos!$AP801="","",Portafolio_Proyectos!$B801),"")</f>
        <v/>
      </c>
      <c r="F2402" s="5" t="str">
        <f>IFERROR(IF(Portafolio_Proyectos!$AP801="","",Portafolio_Proyectos!$D801),"")</f>
        <v/>
      </c>
      <c r="G2402" s="5" t="str">
        <f>IFERROR(IF(Portafolio_Proyectos!$AP801="","",Portafolio_Proyectos!$A801),"")</f>
        <v/>
      </c>
      <c r="H2402" s="5" t="str">
        <f>IFERROR(IF(Portafolio_Proyectos!$AP801="","",Portafolio_Proyectos!$E801),"")</f>
        <v/>
      </c>
    </row>
    <row r="2403" spans="1:8" x14ac:dyDescent="0.35">
      <c r="A2403" s="5" t="str">
        <f>IFERROR(IF(Portafolio_Proyectos!$AQ801="","","CAP-"&amp;ROW()-1),"")</f>
        <v/>
      </c>
      <c r="B2403" s="5" t="str">
        <f>IFERROR(IF(Portafolio_Proyectos!$AQ801="","",Portafolio_Proyectos!$AQ801),"")</f>
        <v/>
      </c>
      <c r="C2403" s="5" t="str">
        <f>IFERROR(IF(Portafolio_Proyectos!$AQ801="","","Consolidada"),"")</f>
        <v/>
      </c>
      <c r="D2403" s="5" t="str">
        <f>IFERROR(IF(Portafolio_Proyectos!$AQ801="","",Portafolio_Proyectos!$C801),"")</f>
        <v/>
      </c>
      <c r="E2403" s="5" t="str">
        <f>IFERROR(IF(Portafolio_Proyectos!$AQ801="","",Portafolio_Proyectos!$B801),"")</f>
        <v/>
      </c>
      <c r="F2403" s="5" t="str">
        <f>IFERROR(IF(Portafolio_Proyectos!$AQ801="","",Portafolio_Proyectos!$D801),"")</f>
        <v/>
      </c>
      <c r="G2403" s="5" t="str">
        <f>IFERROR(IF(Portafolio_Proyectos!$AQ801="","",Portafolio_Proyectos!$A801),"")</f>
        <v/>
      </c>
      <c r="H2403" s="5" t="str">
        <f>IFERROR(IF(Portafolio_Proyectos!$AQ801="","",Portafolio_Proyectos!$E801),"")</f>
        <v/>
      </c>
    </row>
    <row r="2404" spans="1:8" x14ac:dyDescent="0.35">
      <c r="A2404" s="5" t="str">
        <f>IFERROR(IF(Portafolio_Proyectos!$AR801="","","CAP-"&amp;ROW()-1),"")</f>
        <v/>
      </c>
      <c r="B2404" s="5" t="str">
        <f>IFERROR(IF(Portafolio_Proyectos!$AR801="","",Portafolio_Proyectos!$AR801),"")</f>
        <v/>
      </c>
      <c r="C2404" s="5" t="str">
        <f>IFERROR(IF(Portafolio_Proyectos!$AR801="","","Distintiva"),"")</f>
        <v/>
      </c>
      <c r="D2404" s="5" t="str">
        <f>IFERROR(IF(Portafolio_Proyectos!$AR801="","",Portafolio_Proyectos!$C801),"")</f>
        <v/>
      </c>
      <c r="E2404" s="5" t="str">
        <f>IFERROR(IF(Portafolio_Proyectos!$AR801="","",Portafolio_Proyectos!$B801),"")</f>
        <v/>
      </c>
      <c r="F2404" s="5" t="str">
        <f>IFERROR(IF(Portafolio_Proyectos!$AR801="","",Portafolio_Proyectos!$D801),"")</f>
        <v/>
      </c>
      <c r="G2404" s="5" t="str">
        <f>IFERROR(IF(Portafolio_Proyectos!$AR801="","",Portafolio_Proyectos!$A801),"")</f>
        <v/>
      </c>
      <c r="H2404" s="5" t="str">
        <f>IFERROR(IF(Portafolio_Proyectos!$AR801="","",Portafolio_Proyectos!$E801),"")</f>
        <v/>
      </c>
    </row>
    <row r="2405" spans="1:8" x14ac:dyDescent="0.35">
      <c r="A2405" s="5" t="str">
        <f>IFERROR(IF(Portafolio_Proyectos!$AP802="","","CAP-"&amp;ROW()-1),"")</f>
        <v/>
      </c>
      <c r="B2405" s="5" t="str">
        <f>IFERROR(IF(Portafolio_Proyectos!$AP802="","",Portafolio_Proyectos!$AP802),"")</f>
        <v/>
      </c>
      <c r="C2405" s="5" t="str">
        <f>IFERROR(IF(Portafolio_Proyectos!$AP802="","","Emergente"),"")</f>
        <v/>
      </c>
      <c r="D2405" s="5" t="str">
        <f>IFERROR(IF(Portafolio_Proyectos!$AP802="","",Portafolio_Proyectos!$C802),"")</f>
        <v/>
      </c>
      <c r="E2405" s="5" t="str">
        <f>IFERROR(IF(Portafolio_Proyectos!$AP802="","",Portafolio_Proyectos!$B802),"")</f>
        <v/>
      </c>
      <c r="F2405" s="5" t="str">
        <f>IFERROR(IF(Portafolio_Proyectos!$AP802="","",Portafolio_Proyectos!$D802),"")</f>
        <v/>
      </c>
      <c r="G2405" s="5" t="str">
        <f>IFERROR(IF(Portafolio_Proyectos!$AP802="","",Portafolio_Proyectos!$A802),"")</f>
        <v/>
      </c>
      <c r="H2405" s="5" t="str">
        <f>IFERROR(IF(Portafolio_Proyectos!$AP802="","",Portafolio_Proyectos!$E802),"")</f>
        <v/>
      </c>
    </row>
    <row r="2406" spans="1:8" x14ac:dyDescent="0.35">
      <c r="A2406" s="5" t="str">
        <f>IFERROR(IF(Portafolio_Proyectos!$AQ802="","","CAP-"&amp;ROW()-1),"")</f>
        <v/>
      </c>
      <c r="B2406" s="5" t="str">
        <f>IFERROR(IF(Portafolio_Proyectos!$AQ802="","",Portafolio_Proyectos!$AQ802),"")</f>
        <v/>
      </c>
      <c r="C2406" s="5" t="str">
        <f>IFERROR(IF(Portafolio_Proyectos!$AQ802="","","Consolidada"),"")</f>
        <v/>
      </c>
      <c r="D2406" s="5" t="str">
        <f>IFERROR(IF(Portafolio_Proyectos!$AQ802="","",Portafolio_Proyectos!$C802),"")</f>
        <v/>
      </c>
      <c r="E2406" s="5" t="str">
        <f>IFERROR(IF(Portafolio_Proyectos!$AQ802="","",Portafolio_Proyectos!$B802),"")</f>
        <v/>
      </c>
      <c r="F2406" s="5" t="str">
        <f>IFERROR(IF(Portafolio_Proyectos!$AQ802="","",Portafolio_Proyectos!$D802),"")</f>
        <v/>
      </c>
      <c r="G2406" s="5" t="str">
        <f>IFERROR(IF(Portafolio_Proyectos!$AQ802="","",Portafolio_Proyectos!$A802),"")</f>
        <v/>
      </c>
      <c r="H2406" s="5" t="str">
        <f>IFERROR(IF(Portafolio_Proyectos!$AQ802="","",Portafolio_Proyectos!$E802),"")</f>
        <v/>
      </c>
    </row>
    <row r="2407" spans="1:8" x14ac:dyDescent="0.35">
      <c r="A2407" s="5" t="str">
        <f>IFERROR(IF(Portafolio_Proyectos!$AR802="","","CAP-"&amp;ROW()-1),"")</f>
        <v/>
      </c>
      <c r="B2407" s="5" t="str">
        <f>IFERROR(IF(Portafolio_Proyectos!$AR802="","",Portafolio_Proyectos!$AR802),"")</f>
        <v/>
      </c>
      <c r="C2407" s="5" t="str">
        <f>IFERROR(IF(Portafolio_Proyectos!$AR802="","","Distintiva"),"")</f>
        <v/>
      </c>
      <c r="D2407" s="5" t="str">
        <f>IFERROR(IF(Portafolio_Proyectos!$AR802="","",Portafolio_Proyectos!$C802),"")</f>
        <v/>
      </c>
      <c r="E2407" s="5" t="str">
        <f>IFERROR(IF(Portafolio_Proyectos!$AR802="","",Portafolio_Proyectos!$B802),"")</f>
        <v/>
      </c>
      <c r="F2407" s="5" t="str">
        <f>IFERROR(IF(Portafolio_Proyectos!$AR802="","",Portafolio_Proyectos!$D802),"")</f>
        <v/>
      </c>
      <c r="G2407" s="5" t="str">
        <f>IFERROR(IF(Portafolio_Proyectos!$AR802="","",Portafolio_Proyectos!$A802),"")</f>
        <v/>
      </c>
      <c r="H2407" s="5" t="str">
        <f>IFERROR(IF(Portafolio_Proyectos!$AR802="","",Portafolio_Proyectos!$E802),"")</f>
        <v/>
      </c>
    </row>
    <row r="2408" spans="1:8" x14ac:dyDescent="0.35">
      <c r="A2408" s="5" t="str">
        <f>IFERROR(IF(Portafolio_Proyectos!$AP803="","","CAP-"&amp;ROW()-1),"")</f>
        <v/>
      </c>
      <c r="B2408" s="5" t="str">
        <f>IFERROR(IF(Portafolio_Proyectos!$AP803="","",Portafolio_Proyectos!$AP803),"")</f>
        <v/>
      </c>
      <c r="C2408" s="5" t="str">
        <f>IFERROR(IF(Portafolio_Proyectos!$AP803="","","Emergente"),"")</f>
        <v/>
      </c>
      <c r="D2408" s="5" t="str">
        <f>IFERROR(IF(Portafolio_Proyectos!$AP803="","",Portafolio_Proyectos!$C803),"")</f>
        <v/>
      </c>
      <c r="E2408" s="5" t="str">
        <f>IFERROR(IF(Portafolio_Proyectos!$AP803="","",Portafolio_Proyectos!$B803),"")</f>
        <v/>
      </c>
      <c r="F2408" s="5" t="str">
        <f>IFERROR(IF(Portafolio_Proyectos!$AP803="","",Portafolio_Proyectos!$D803),"")</f>
        <v/>
      </c>
      <c r="G2408" s="5" t="str">
        <f>IFERROR(IF(Portafolio_Proyectos!$AP803="","",Portafolio_Proyectos!$A803),"")</f>
        <v/>
      </c>
      <c r="H2408" s="5" t="str">
        <f>IFERROR(IF(Portafolio_Proyectos!$AP803="","",Portafolio_Proyectos!$E803),"")</f>
        <v/>
      </c>
    </row>
    <row r="2409" spans="1:8" x14ac:dyDescent="0.35">
      <c r="A2409" s="5" t="str">
        <f>IFERROR(IF(Portafolio_Proyectos!$AQ803="","","CAP-"&amp;ROW()-1),"")</f>
        <v/>
      </c>
      <c r="B2409" s="5" t="str">
        <f>IFERROR(IF(Portafolio_Proyectos!$AQ803="","",Portafolio_Proyectos!$AQ803),"")</f>
        <v/>
      </c>
      <c r="C2409" s="5" t="str">
        <f>IFERROR(IF(Portafolio_Proyectos!$AQ803="","","Consolidada"),"")</f>
        <v/>
      </c>
      <c r="D2409" s="5" t="str">
        <f>IFERROR(IF(Portafolio_Proyectos!$AQ803="","",Portafolio_Proyectos!$C803),"")</f>
        <v/>
      </c>
      <c r="E2409" s="5" t="str">
        <f>IFERROR(IF(Portafolio_Proyectos!$AQ803="","",Portafolio_Proyectos!$B803),"")</f>
        <v/>
      </c>
      <c r="F2409" s="5" t="str">
        <f>IFERROR(IF(Portafolio_Proyectos!$AQ803="","",Portafolio_Proyectos!$D803),"")</f>
        <v/>
      </c>
      <c r="G2409" s="5" t="str">
        <f>IFERROR(IF(Portafolio_Proyectos!$AQ803="","",Portafolio_Proyectos!$A803),"")</f>
        <v/>
      </c>
      <c r="H2409" s="5" t="str">
        <f>IFERROR(IF(Portafolio_Proyectos!$AQ803="","",Portafolio_Proyectos!$E803),"")</f>
        <v/>
      </c>
    </row>
    <row r="2410" spans="1:8" x14ac:dyDescent="0.35">
      <c r="A2410" s="5" t="str">
        <f>IFERROR(IF(Portafolio_Proyectos!$AR803="","","CAP-"&amp;ROW()-1),"")</f>
        <v/>
      </c>
      <c r="B2410" s="5" t="str">
        <f>IFERROR(IF(Portafolio_Proyectos!$AR803="","",Portafolio_Proyectos!$AR803),"")</f>
        <v/>
      </c>
      <c r="C2410" s="5" t="str">
        <f>IFERROR(IF(Portafolio_Proyectos!$AR803="","","Distintiva"),"")</f>
        <v/>
      </c>
      <c r="D2410" s="5" t="str">
        <f>IFERROR(IF(Portafolio_Proyectos!$AR803="","",Portafolio_Proyectos!$C803),"")</f>
        <v/>
      </c>
      <c r="E2410" s="5" t="str">
        <f>IFERROR(IF(Portafolio_Proyectos!$AR803="","",Portafolio_Proyectos!$B803),"")</f>
        <v/>
      </c>
      <c r="F2410" s="5" t="str">
        <f>IFERROR(IF(Portafolio_Proyectos!$AR803="","",Portafolio_Proyectos!$D803),"")</f>
        <v/>
      </c>
      <c r="G2410" s="5" t="str">
        <f>IFERROR(IF(Portafolio_Proyectos!$AR803="","",Portafolio_Proyectos!$A803),"")</f>
        <v/>
      </c>
      <c r="H2410" s="5" t="str">
        <f>IFERROR(IF(Portafolio_Proyectos!$AR803="","",Portafolio_Proyectos!$E803),"")</f>
        <v/>
      </c>
    </row>
    <row r="2411" spans="1:8" x14ac:dyDescent="0.35">
      <c r="A2411" s="5" t="str">
        <f>IFERROR(IF(Portafolio_Proyectos!$AP804="","","CAP-"&amp;ROW()-1),"")</f>
        <v/>
      </c>
      <c r="B2411" s="5" t="str">
        <f>IFERROR(IF(Portafolio_Proyectos!$AP804="","",Portafolio_Proyectos!$AP804),"")</f>
        <v/>
      </c>
      <c r="C2411" s="5" t="str">
        <f>IFERROR(IF(Portafolio_Proyectos!$AP804="","","Emergente"),"")</f>
        <v/>
      </c>
      <c r="D2411" s="5" t="str">
        <f>IFERROR(IF(Portafolio_Proyectos!$AP804="","",Portafolio_Proyectos!$C804),"")</f>
        <v/>
      </c>
      <c r="E2411" s="5" t="str">
        <f>IFERROR(IF(Portafolio_Proyectos!$AP804="","",Portafolio_Proyectos!$B804),"")</f>
        <v/>
      </c>
      <c r="F2411" s="5" t="str">
        <f>IFERROR(IF(Portafolio_Proyectos!$AP804="","",Portafolio_Proyectos!$D804),"")</f>
        <v/>
      </c>
      <c r="G2411" s="5" t="str">
        <f>IFERROR(IF(Portafolio_Proyectos!$AP804="","",Portafolio_Proyectos!$A804),"")</f>
        <v/>
      </c>
      <c r="H2411" s="5" t="str">
        <f>IFERROR(IF(Portafolio_Proyectos!$AP804="","",Portafolio_Proyectos!$E804),"")</f>
        <v/>
      </c>
    </row>
    <row r="2412" spans="1:8" x14ac:dyDescent="0.35">
      <c r="A2412" s="5" t="str">
        <f>IFERROR(IF(Portafolio_Proyectos!$AQ804="","","CAP-"&amp;ROW()-1),"")</f>
        <v/>
      </c>
      <c r="B2412" s="5" t="str">
        <f>IFERROR(IF(Portafolio_Proyectos!$AQ804="","",Portafolio_Proyectos!$AQ804),"")</f>
        <v/>
      </c>
      <c r="C2412" s="5" t="str">
        <f>IFERROR(IF(Portafolio_Proyectos!$AQ804="","","Consolidada"),"")</f>
        <v/>
      </c>
      <c r="D2412" s="5" t="str">
        <f>IFERROR(IF(Portafolio_Proyectos!$AQ804="","",Portafolio_Proyectos!$C804),"")</f>
        <v/>
      </c>
      <c r="E2412" s="5" t="str">
        <f>IFERROR(IF(Portafolio_Proyectos!$AQ804="","",Portafolio_Proyectos!$B804),"")</f>
        <v/>
      </c>
      <c r="F2412" s="5" t="str">
        <f>IFERROR(IF(Portafolio_Proyectos!$AQ804="","",Portafolio_Proyectos!$D804),"")</f>
        <v/>
      </c>
      <c r="G2412" s="5" t="str">
        <f>IFERROR(IF(Portafolio_Proyectos!$AQ804="","",Portafolio_Proyectos!$A804),"")</f>
        <v/>
      </c>
      <c r="H2412" s="5" t="str">
        <f>IFERROR(IF(Portafolio_Proyectos!$AQ804="","",Portafolio_Proyectos!$E804),"")</f>
        <v/>
      </c>
    </row>
    <row r="2413" spans="1:8" x14ac:dyDescent="0.35">
      <c r="A2413" s="5" t="str">
        <f>IFERROR(IF(Portafolio_Proyectos!$AR804="","","CAP-"&amp;ROW()-1),"")</f>
        <v/>
      </c>
      <c r="B2413" s="5" t="str">
        <f>IFERROR(IF(Portafolio_Proyectos!$AR804="","",Portafolio_Proyectos!$AR804),"")</f>
        <v/>
      </c>
      <c r="C2413" s="5" t="str">
        <f>IFERROR(IF(Portafolio_Proyectos!$AR804="","","Distintiva"),"")</f>
        <v/>
      </c>
      <c r="D2413" s="5" t="str">
        <f>IFERROR(IF(Portafolio_Proyectos!$AR804="","",Portafolio_Proyectos!$C804),"")</f>
        <v/>
      </c>
      <c r="E2413" s="5" t="str">
        <f>IFERROR(IF(Portafolio_Proyectos!$AR804="","",Portafolio_Proyectos!$B804),"")</f>
        <v/>
      </c>
      <c r="F2413" s="5" t="str">
        <f>IFERROR(IF(Portafolio_Proyectos!$AR804="","",Portafolio_Proyectos!$D804),"")</f>
        <v/>
      </c>
      <c r="G2413" s="5" t="str">
        <f>IFERROR(IF(Portafolio_Proyectos!$AR804="","",Portafolio_Proyectos!$A804),"")</f>
        <v/>
      </c>
      <c r="H2413" s="5" t="str">
        <f>IFERROR(IF(Portafolio_Proyectos!$AR804="","",Portafolio_Proyectos!$E804),"")</f>
        <v/>
      </c>
    </row>
    <row r="2414" spans="1:8" x14ac:dyDescent="0.35">
      <c r="A2414" s="5" t="str">
        <f>IFERROR(IF(Portafolio_Proyectos!$AP805="","","CAP-"&amp;ROW()-1),"")</f>
        <v/>
      </c>
      <c r="B2414" s="5" t="str">
        <f>IFERROR(IF(Portafolio_Proyectos!$AP805="","",Portafolio_Proyectos!$AP805),"")</f>
        <v/>
      </c>
      <c r="C2414" s="5" t="str">
        <f>IFERROR(IF(Portafolio_Proyectos!$AP805="","","Emergente"),"")</f>
        <v/>
      </c>
      <c r="D2414" s="5" t="str">
        <f>IFERROR(IF(Portafolio_Proyectos!$AP805="","",Portafolio_Proyectos!$C805),"")</f>
        <v/>
      </c>
      <c r="E2414" s="5" t="str">
        <f>IFERROR(IF(Portafolio_Proyectos!$AP805="","",Portafolio_Proyectos!$B805),"")</f>
        <v/>
      </c>
      <c r="F2414" s="5" t="str">
        <f>IFERROR(IF(Portafolio_Proyectos!$AP805="","",Portafolio_Proyectos!$D805),"")</f>
        <v/>
      </c>
      <c r="G2414" s="5" t="str">
        <f>IFERROR(IF(Portafolio_Proyectos!$AP805="","",Portafolio_Proyectos!$A805),"")</f>
        <v/>
      </c>
      <c r="H2414" s="5" t="str">
        <f>IFERROR(IF(Portafolio_Proyectos!$AP805="","",Portafolio_Proyectos!$E805),"")</f>
        <v/>
      </c>
    </row>
    <row r="2415" spans="1:8" x14ac:dyDescent="0.35">
      <c r="A2415" s="5" t="str">
        <f>IFERROR(IF(Portafolio_Proyectos!$AQ805="","","CAP-"&amp;ROW()-1),"")</f>
        <v/>
      </c>
      <c r="B2415" s="5" t="str">
        <f>IFERROR(IF(Portafolio_Proyectos!$AQ805="","",Portafolio_Proyectos!$AQ805),"")</f>
        <v/>
      </c>
      <c r="C2415" s="5" t="str">
        <f>IFERROR(IF(Portafolio_Proyectos!$AQ805="","","Consolidada"),"")</f>
        <v/>
      </c>
      <c r="D2415" s="5" t="str">
        <f>IFERROR(IF(Portafolio_Proyectos!$AQ805="","",Portafolio_Proyectos!$C805),"")</f>
        <v/>
      </c>
      <c r="E2415" s="5" t="str">
        <f>IFERROR(IF(Portafolio_Proyectos!$AQ805="","",Portafolio_Proyectos!$B805),"")</f>
        <v/>
      </c>
      <c r="F2415" s="5" t="str">
        <f>IFERROR(IF(Portafolio_Proyectos!$AQ805="","",Portafolio_Proyectos!$D805),"")</f>
        <v/>
      </c>
      <c r="G2415" s="5" t="str">
        <f>IFERROR(IF(Portafolio_Proyectos!$AQ805="","",Portafolio_Proyectos!$A805),"")</f>
        <v/>
      </c>
      <c r="H2415" s="5" t="str">
        <f>IFERROR(IF(Portafolio_Proyectos!$AQ805="","",Portafolio_Proyectos!$E805),"")</f>
        <v/>
      </c>
    </row>
    <row r="2416" spans="1:8" x14ac:dyDescent="0.35">
      <c r="A2416" s="5" t="str">
        <f>IFERROR(IF(Portafolio_Proyectos!$AR805="","","CAP-"&amp;ROW()-1),"")</f>
        <v/>
      </c>
      <c r="B2416" s="5" t="str">
        <f>IFERROR(IF(Portafolio_Proyectos!$AR805="","",Portafolio_Proyectos!$AR805),"")</f>
        <v/>
      </c>
      <c r="C2416" s="5" t="str">
        <f>IFERROR(IF(Portafolio_Proyectos!$AR805="","","Distintiva"),"")</f>
        <v/>
      </c>
      <c r="D2416" s="5" t="str">
        <f>IFERROR(IF(Portafolio_Proyectos!$AR805="","",Portafolio_Proyectos!$C805),"")</f>
        <v/>
      </c>
      <c r="E2416" s="5" t="str">
        <f>IFERROR(IF(Portafolio_Proyectos!$AR805="","",Portafolio_Proyectos!$B805),"")</f>
        <v/>
      </c>
      <c r="F2416" s="5" t="str">
        <f>IFERROR(IF(Portafolio_Proyectos!$AR805="","",Portafolio_Proyectos!$D805),"")</f>
        <v/>
      </c>
      <c r="G2416" s="5" t="str">
        <f>IFERROR(IF(Portafolio_Proyectos!$AR805="","",Portafolio_Proyectos!$A805),"")</f>
        <v/>
      </c>
      <c r="H2416" s="5" t="str">
        <f>IFERROR(IF(Portafolio_Proyectos!$AR805="","",Portafolio_Proyectos!$E805),"")</f>
        <v/>
      </c>
    </row>
    <row r="2417" spans="1:8" x14ac:dyDescent="0.35">
      <c r="A2417" s="5" t="str">
        <f>IFERROR(IF(Portafolio_Proyectos!$AP806="","","CAP-"&amp;ROW()-1),"")</f>
        <v/>
      </c>
      <c r="B2417" s="5" t="str">
        <f>IFERROR(IF(Portafolio_Proyectos!$AP806="","",Portafolio_Proyectos!$AP806),"")</f>
        <v/>
      </c>
      <c r="C2417" s="5" t="str">
        <f>IFERROR(IF(Portafolio_Proyectos!$AP806="","","Emergente"),"")</f>
        <v/>
      </c>
      <c r="D2417" s="5" t="str">
        <f>IFERROR(IF(Portafolio_Proyectos!$AP806="","",Portafolio_Proyectos!$C806),"")</f>
        <v/>
      </c>
      <c r="E2417" s="5" t="str">
        <f>IFERROR(IF(Portafolio_Proyectos!$AP806="","",Portafolio_Proyectos!$B806),"")</f>
        <v/>
      </c>
      <c r="F2417" s="5" t="str">
        <f>IFERROR(IF(Portafolio_Proyectos!$AP806="","",Portafolio_Proyectos!$D806),"")</f>
        <v/>
      </c>
      <c r="G2417" s="5" t="str">
        <f>IFERROR(IF(Portafolio_Proyectos!$AP806="","",Portafolio_Proyectos!$A806),"")</f>
        <v/>
      </c>
      <c r="H2417" s="5" t="str">
        <f>IFERROR(IF(Portafolio_Proyectos!$AP806="","",Portafolio_Proyectos!$E806),"")</f>
        <v/>
      </c>
    </row>
    <row r="2418" spans="1:8" x14ac:dyDescent="0.35">
      <c r="A2418" s="5" t="str">
        <f>IFERROR(IF(Portafolio_Proyectos!$AQ806="","","CAP-"&amp;ROW()-1),"")</f>
        <v/>
      </c>
      <c r="B2418" s="5" t="str">
        <f>IFERROR(IF(Portafolio_Proyectos!$AQ806="","",Portafolio_Proyectos!$AQ806),"")</f>
        <v/>
      </c>
      <c r="C2418" s="5" t="str">
        <f>IFERROR(IF(Portafolio_Proyectos!$AQ806="","","Consolidada"),"")</f>
        <v/>
      </c>
      <c r="D2418" s="5" t="str">
        <f>IFERROR(IF(Portafolio_Proyectos!$AQ806="","",Portafolio_Proyectos!$C806),"")</f>
        <v/>
      </c>
      <c r="E2418" s="5" t="str">
        <f>IFERROR(IF(Portafolio_Proyectos!$AQ806="","",Portafolio_Proyectos!$B806),"")</f>
        <v/>
      </c>
      <c r="F2418" s="5" t="str">
        <f>IFERROR(IF(Portafolio_Proyectos!$AQ806="","",Portafolio_Proyectos!$D806),"")</f>
        <v/>
      </c>
      <c r="G2418" s="5" t="str">
        <f>IFERROR(IF(Portafolio_Proyectos!$AQ806="","",Portafolio_Proyectos!$A806),"")</f>
        <v/>
      </c>
      <c r="H2418" s="5" t="str">
        <f>IFERROR(IF(Portafolio_Proyectos!$AQ806="","",Portafolio_Proyectos!$E806),"")</f>
        <v/>
      </c>
    </row>
    <row r="2419" spans="1:8" x14ac:dyDescent="0.35">
      <c r="A2419" s="5" t="str">
        <f>IFERROR(IF(Portafolio_Proyectos!$AR806="","","CAP-"&amp;ROW()-1),"")</f>
        <v/>
      </c>
      <c r="B2419" s="5" t="str">
        <f>IFERROR(IF(Portafolio_Proyectos!$AR806="","",Portafolio_Proyectos!$AR806),"")</f>
        <v/>
      </c>
      <c r="C2419" s="5" t="str">
        <f>IFERROR(IF(Portafolio_Proyectos!$AR806="","","Distintiva"),"")</f>
        <v/>
      </c>
      <c r="D2419" s="5" t="str">
        <f>IFERROR(IF(Portafolio_Proyectos!$AR806="","",Portafolio_Proyectos!$C806),"")</f>
        <v/>
      </c>
      <c r="E2419" s="5" t="str">
        <f>IFERROR(IF(Portafolio_Proyectos!$AR806="","",Portafolio_Proyectos!$B806),"")</f>
        <v/>
      </c>
      <c r="F2419" s="5" t="str">
        <f>IFERROR(IF(Portafolio_Proyectos!$AR806="","",Portafolio_Proyectos!$D806),"")</f>
        <v/>
      </c>
      <c r="G2419" s="5" t="str">
        <f>IFERROR(IF(Portafolio_Proyectos!$AR806="","",Portafolio_Proyectos!$A806),"")</f>
        <v/>
      </c>
      <c r="H2419" s="5" t="str">
        <f>IFERROR(IF(Portafolio_Proyectos!$AR806="","",Portafolio_Proyectos!$E806),"")</f>
        <v/>
      </c>
    </row>
    <row r="2420" spans="1:8" x14ac:dyDescent="0.35">
      <c r="A2420" s="5" t="str">
        <f>IFERROR(IF(Portafolio_Proyectos!$AP807="","","CAP-"&amp;ROW()-1),"")</f>
        <v/>
      </c>
      <c r="B2420" s="5" t="str">
        <f>IFERROR(IF(Portafolio_Proyectos!$AP807="","",Portafolio_Proyectos!$AP807),"")</f>
        <v/>
      </c>
      <c r="C2420" s="5" t="str">
        <f>IFERROR(IF(Portafolio_Proyectos!$AP807="","","Emergente"),"")</f>
        <v/>
      </c>
      <c r="D2420" s="5" t="str">
        <f>IFERROR(IF(Portafolio_Proyectos!$AP807="","",Portafolio_Proyectos!$C807),"")</f>
        <v/>
      </c>
      <c r="E2420" s="5" t="str">
        <f>IFERROR(IF(Portafolio_Proyectos!$AP807="","",Portafolio_Proyectos!$B807),"")</f>
        <v/>
      </c>
      <c r="F2420" s="5" t="str">
        <f>IFERROR(IF(Portafolio_Proyectos!$AP807="","",Portafolio_Proyectos!$D807),"")</f>
        <v/>
      </c>
      <c r="G2420" s="5" t="str">
        <f>IFERROR(IF(Portafolio_Proyectos!$AP807="","",Portafolio_Proyectos!$A807),"")</f>
        <v/>
      </c>
      <c r="H2420" s="5" t="str">
        <f>IFERROR(IF(Portafolio_Proyectos!$AP807="","",Portafolio_Proyectos!$E807),"")</f>
        <v/>
      </c>
    </row>
    <row r="2421" spans="1:8" x14ac:dyDescent="0.35">
      <c r="A2421" s="5" t="str">
        <f>IFERROR(IF(Portafolio_Proyectos!$AQ807="","","CAP-"&amp;ROW()-1),"")</f>
        <v/>
      </c>
      <c r="B2421" s="5" t="str">
        <f>IFERROR(IF(Portafolio_Proyectos!$AQ807="","",Portafolio_Proyectos!$AQ807),"")</f>
        <v/>
      </c>
      <c r="C2421" s="5" t="str">
        <f>IFERROR(IF(Portafolio_Proyectos!$AQ807="","","Consolidada"),"")</f>
        <v/>
      </c>
      <c r="D2421" s="5" t="str">
        <f>IFERROR(IF(Portafolio_Proyectos!$AQ807="","",Portafolio_Proyectos!$C807),"")</f>
        <v/>
      </c>
      <c r="E2421" s="5" t="str">
        <f>IFERROR(IF(Portafolio_Proyectos!$AQ807="","",Portafolio_Proyectos!$B807),"")</f>
        <v/>
      </c>
      <c r="F2421" s="5" t="str">
        <f>IFERROR(IF(Portafolio_Proyectos!$AQ807="","",Portafolio_Proyectos!$D807),"")</f>
        <v/>
      </c>
      <c r="G2421" s="5" t="str">
        <f>IFERROR(IF(Portafolio_Proyectos!$AQ807="","",Portafolio_Proyectos!$A807),"")</f>
        <v/>
      </c>
      <c r="H2421" s="5" t="str">
        <f>IFERROR(IF(Portafolio_Proyectos!$AQ807="","",Portafolio_Proyectos!$E807),"")</f>
        <v/>
      </c>
    </row>
    <row r="2422" spans="1:8" x14ac:dyDescent="0.35">
      <c r="A2422" s="5" t="str">
        <f>IFERROR(IF(Portafolio_Proyectos!$AR807="","","CAP-"&amp;ROW()-1),"")</f>
        <v/>
      </c>
      <c r="B2422" s="5" t="str">
        <f>IFERROR(IF(Portafolio_Proyectos!$AR807="","",Portafolio_Proyectos!$AR807),"")</f>
        <v/>
      </c>
      <c r="C2422" s="5" t="str">
        <f>IFERROR(IF(Portafolio_Proyectos!$AR807="","","Distintiva"),"")</f>
        <v/>
      </c>
      <c r="D2422" s="5" t="str">
        <f>IFERROR(IF(Portafolio_Proyectos!$AR807="","",Portafolio_Proyectos!$C807),"")</f>
        <v/>
      </c>
      <c r="E2422" s="5" t="str">
        <f>IFERROR(IF(Portafolio_Proyectos!$AR807="","",Portafolio_Proyectos!$B807),"")</f>
        <v/>
      </c>
      <c r="F2422" s="5" t="str">
        <f>IFERROR(IF(Portafolio_Proyectos!$AR807="","",Portafolio_Proyectos!$D807),"")</f>
        <v/>
      </c>
      <c r="G2422" s="5" t="str">
        <f>IFERROR(IF(Portafolio_Proyectos!$AR807="","",Portafolio_Proyectos!$A807),"")</f>
        <v/>
      </c>
      <c r="H2422" s="5" t="str">
        <f>IFERROR(IF(Portafolio_Proyectos!$AR807="","",Portafolio_Proyectos!$E807),"")</f>
        <v/>
      </c>
    </row>
    <row r="2423" spans="1:8" x14ac:dyDescent="0.35">
      <c r="A2423" s="5" t="str">
        <f>IFERROR(IF(Portafolio_Proyectos!$AP808="","","CAP-"&amp;ROW()-1),"")</f>
        <v/>
      </c>
      <c r="B2423" s="5" t="str">
        <f>IFERROR(IF(Portafolio_Proyectos!$AP808="","",Portafolio_Proyectos!$AP808),"")</f>
        <v/>
      </c>
      <c r="C2423" s="5" t="str">
        <f>IFERROR(IF(Portafolio_Proyectos!$AP808="","","Emergente"),"")</f>
        <v/>
      </c>
      <c r="D2423" s="5" t="str">
        <f>IFERROR(IF(Portafolio_Proyectos!$AP808="","",Portafolio_Proyectos!$C808),"")</f>
        <v/>
      </c>
      <c r="E2423" s="5" t="str">
        <f>IFERROR(IF(Portafolio_Proyectos!$AP808="","",Portafolio_Proyectos!$B808),"")</f>
        <v/>
      </c>
      <c r="F2423" s="5" t="str">
        <f>IFERROR(IF(Portafolio_Proyectos!$AP808="","",Portafolio_Proyectos!$D808),"")</f>
        <v/>
      </c>
      <c r="G2423" s="5" t="str">
        <f>IFERROR(IF(Portafolio_Proyectos!$AP808="","",Portafolio_Proyectos!$A808),"")</f>
        <v/>
      </c>
      <c r="H2423" s="5" t="str">
        <f>IFERROR(IF(Portafolio_Proyectos!$AP808="","",Portafolio_Proyectos!$E808),"")</f>
        <v/>
      </c>
    </row>
    <row r="2424" spans="1:8" x14ac:dyDescent="0.35">
      <c r="A2424" s="5" t="str">
        <f>IFERROR(IF(Portafolio_Proyectos!$AQ808="","","CAP-"&amp;ROW()-1),"")</f>
        <v/>
      </c>
      <c r="B2424" s="5" t="str">
        <f>IFERROR(IF(Portafolio_Proyectos!$AQ808="","",Portafolio_Proyectos!$AQ808),"")</f>
        <v/>
      </c>
      <c r="C2424" s="5" t="str">
        <f>IFERROR(IF(Portafolio_Proyectos!$AQ808="","","Consolidada"),"")</f>
        <v/>
      </c>
      <c r="D2424" s="5" t="str">
        <f>IFERROR(IF(Portafolio_Proyectos!$AQ808="","",Portafolio_Proyectos!$C808),"")</f>
        <v/>
      </c>
      <c r="E2424" s="5" t="str">
        <f>IFERROR(IF(Portafolio_Proyectos!$AQ808="","",Portafolio_Proyectos!$B808),"")</f>
        <v/>
      </c>
      <c r="F2424" s="5" t="str">
        <f>IFERROR(IF(Portafolio_Proyectos!$AQ808="","",Portafolio_Proyectos!$D808),"")</f>
        <v/>
      </c>
      <c r="G2424" s="5" t="str">
        <f>IFERROR(IF(Portafolio_Proyectos!$AQ808="","",Portafolio_Proyectos!$A808),"")</f>
        <v/>
      </c>
      <c r="H2424" s="5" t="str">
        <f>IFERROR(IF(Portafolio_Proyectos!$AQ808="","",Portafolio_Proyectos!$E808),"")</f>
        <v/>
      </c>
    </row>
    <row r="2425" spans="1:8" x14ac:dyDescent="0.35">
      <c r="A2425" s="5" t="str">
        <f>IFERROR(IF(Portafolio_Proyectos!$AR808="","","CAP-"&amp;ROW()-1),"")</f>
        <v/>
      </c>
      <c r="B2425" s="5" t="str">
        <f>IFERROR(IF(Portafolio_Proyectos!$AR808="","",Portafolio_Proyectos!$AR808),"")</f>
        <v/>
      </c>
      <c r="C2425" s="5" t="str">
        <f>IFERROR(IF(Portafolio_Proyectos!$AR808="","","Distintiva"),"")</f>
        <v/>
      </c>
      <c r="D2425" s="5" t="str">
        <f>IFERROR(IF(Portafolio_Proyectos!$AR808="","",Portafolio_Proyectos!$C808),"")</f>
        <v/>
      </c>
      <c r="E2425" s="5" t="str">
        <f>IFERROR(IF(Portafolio_Proyectos!$AR808="","",Portafolio_Proyectos!$B808),"")</f>
        <v/>
      </c>
      <c r="F2425" s="5" t="str">
        <f>IFERROR(IF(Portafolio_Proyectos!$AR808="","",Portafolio_Proyectos!$D808),"")</f>
        <v/>
      </c>
      <c r="G2425" s="5" t="str">
        <f>IFERROR(IF(Portafolio_Proyectos!$AR808="","",Portafolio_Proyectos!$A808),"")</f>
        <v/>
      </c>
      <c r="H2425" s="5" t="str">
        <f>IFERROR(IF(Portafolio_Proyectos!$AR808="","",Portafolio_Proyectos!$E808),"")</f>
        <v/>
      </c>
    </row>
    <row r="2426" spans="1:8" x14ac:dyDescent="0.35">
      <c r="A2426" s="5" t="str">
        <f>IFERROR(IF(Portafolio_Proyectos!$AP809="","","CAP-"&amp;ROW()-1),"")</f>
        <v/>
      </c>
      <c r="B2426" s="5" t="str">
        <f>IFERROR(IF(Portafolio_Proyectos!$AP809="","",Portafolio_Proyectos!$AP809),"")</f>
        <v/>
      </c>
      <c r="C2426" s="5" t="str">
        <f>IFERROR(IF(Portafolio_Proyectos!$AP809="","","Emergente"),"")</f>
        <v/>
      </c>
      <c r="D2426" s="5" t="str">
        <f>IFERROR(IF(Portafolio_Proyectos!$AP809="","",Portafolio_Proyectos!$C809),"")</f>
        <v/>
      </c>
      <c r="E2426" s="5" t="str">
        <f>IFERROR(IF(Portafolio_Proyectos!$AP809="","",Portafolio_Proyectos!$B809),"")</f>
        <v/>
      </c>
      <c r="F2426" s="5" t="str">
        <f>IFERROR(IF(Portafolio_Proyectos!$AP809="","",Portafolio_Proyectos!$D809),"")</f>
        <v/>
      </c>
      <c r="G2426" s="5" t="str">
        <f>IFERROR(IF(Portafolio_Proyectos!$AP809="","",Portafolio_Proyectos!$A809),"")</f>
        <v/>
      </c>
      <c r="H2426" s="5" t="str">
        <f>IFERROR(IF(Portafolio_Proyectos!$AP809="","",Portafolio_Proyectos!$E809),"")</f>
        <v/>
      </c>
    </row>
    <row r="2427" spans="1:8" x14ac:dyDescent="0.35">
      <c r="A2427" s="5" t="str">
        <f>IFERROR(IF(Portafolio_Proyectos!$AQ809="","","CAP-"&amp;ROW()-1),"")</f>
        <v/>
      </c>
      <c r="B2427" s="5" t="str">
        <f>IFERROR(IF(Portafolio_Proyectos!$AQ809="","",Portafolio_Proyectos!$AQ809),"")</f>
        <v/>
      </c>
      <c r="C2427" s="5" t="str">
        <f>IFERROR(IF(Portafolio_Proyectos!$AQ809="","","Consolidada"),"")</f>
        <v/>
      </c>
      <c r="D2427" s="5" t="str">
        <f>IFERROR(IF(Portafolio_Proyectos!$AQ809="","",Portafolio_Proyectos!$C809),"")</f>
        <v/>
      </c>
      <c r="E2427" s="5" t="str">
        <f>IFERROR(IF(Portafolio_Proyectos!$AQ809="","",Portafolio_Proyectos!$B809),"")</f>
        <v/>
      </c>
      <c r="F2427" s="5" t="str">
        <f>IFERROR(IF(Portafolio_Proyectos!$AQ809="","",Portafolio_Proyectos!$D809),"")</f>
        <v/>
      </c>
      <c r="G2427" s="5" t="str">
        <f>IFERROR(IF(Portafolio_Proyectos!$AQ809="","",Portafolio_Proyectos!$A809),"")</f>
        <v/>
      </c>
      <c r="H2427" s="5" t="str">
        <f>IFERROR(IF(Portafolio_Proyectos!$AQ809="","",Portafolio_Proyectos!$E809),"")</f>
        <v/>
      </c>
    </row>
    <row r="2428" spans="1:8" x14ac:dyDescent="0.35">
      <c r="A2428" s="5" t="str">
        <f>IFERROR(IF(Portafolio_Proyectos!$AR809="","","CAP-"&amp;ROW()-1),"")</f>
        <v/>
      </c>
      <c r="B2428" s="5" t="str">
        <f>IFERROR(IF(Portafolio_Proyectos!$AR809="","",Portafolio_Proyectos!$AR809),"")</f>
        <v/>
      </c>
      <c r="C2428" s="5" t="str">
        <f>IFERROR(IF(Portafolio_Proyectos!$AR809="","","Distintiva"),"")</f>
        <v/>
      </c>
      <c r="D2428" s="5" t="str">
        <f>IFERROR(IF(Portafolio_Proyectos!$AR809="","",Portafolio_Proyectos!$C809),"")</f>
        <v/>
      </c>
      <c r="E2428" s="5" t="str">
        <f>IFERROR(IF(Portafolio_Proyectos!$AR809="","",Portafolio_Proyectos!$B809),"")</f>
        <v/>
      </c>
      <c r="F2428" s="5" t="str">
        <f>IFERROR(IF(Portafolio_Proyectos!$AR809="","",Portafolio_Proyectos!$D809),"")</f>
        <v/>
      </c>
      <c r="G2428" s="5" t="str">
        <f>IFERROR(IF(Portafolio_Proyectos!$AR809="","",Portafolio_Proyectos!$A809),"")</f>
        <v/>
      </c>
      <c r="H2428" s="5" t="str">
        <f>IFERROR(IF(Portafolio_Proyectos!$AR809="","",Portafolio_Proyectos!$E809),"")</f>
        <v/>
      </c>
    </row>
    <row r="2429" spans="1:8" x14ac:dyDescent="0.35">
      <c r="A2429" s="5" t="str">
        <f>IFERROR(IF(Portafolio_Proyectos!$AP810="","","CAP-"&amp;ROW()-1),"")</f>
        <v/>
      </c>
      <c r="B2429" s="5" t="str">
        <f>IFERROR(IF(Portafolio_Proyectos!$AP810="","",Portafolio_Proyectos!$AP810),"")</f>
        <v/>
      </c>
      <c r="C2429" s="5" t="str">
        <f>IFERROR(IF(Portafolio_Proyectos!$AP810="","","Emergente"),"")</f>
        <v/>
      </c>
      <c r="D2429" s="5" t="str">
        <f>IFERROR(IF(Portafolio_Proyectos!$AP810="","",Portafolio_Proyectos!$C810),"")</f>
        <v/>
      </c>
      <c r="E2429" s="5" t="str">
        <f>IFERROR(IF(Portafolio_Proyectos!$AP810="","",Portafolio_Proyectos!$B810),"")</f>
        <v/>
      </c>
      <c r="F2429" s="5" t="str">
        <f>IFERROR(IF(Portafolio_Proyectos!$AP810="","",Portafolio_Proyectos!$D810),"")</f>
        <v/>
      </c>
      <c r="G2429" s="5" t="str">
        <f>IFERROR(IF(Portafolio_Proyectos!$AP810="","",Portafolio_Proyectos!$A810),"")</f>
        <v/>
      </c>
      <c r="H2429" s="5" t="str">
        <f>IFERROR(IF(Portafolio_Proyectos!$AP810="","",Portafolio_Proyectos!$E810),"")</f>
        <v/>
      </c>
    </row>
    <row r="2430" spans="1:8" x14ac:dyDescent="0.35">
      <c r="A2430" s="5" t="str">
        <f>IFERROR(IF(Portafolio_Proyectos!$AQ810="","","CAP-"&amp;ROW()-1),"")</f>
        <v/>
      </c>
      <c r="B2430" s="5" t="str">
        <f>IFERROR(IF(Portafolio_Proyectos!$AQ810="","",Portafolio_Proyectos!$AQ810),"")</f>
        <v/>
      </c>
      <c r="C2430" s="5" t="str">
        <f>IFERROR(IF(Portafolio_Proyectos!$AQ810="","","Consolidada"),"")</f>
        <v/>
      </c>
      <c r="D2430" s="5" t="str">
        <f>IFERROR(IF(Portafolio_Proyectos!$AQ810="","",Portafolio_Proyectos!$C810),"")</f>
        <v/>
      </c>
      <c r="E2430" s="5" t="str">
        <f>IFERROR(IF(Portafolio_Proyectos!$AQ810="","",Portafolio_Proyectos!$B810),"")</f>
        <v/>
      </c>
      <c r="F2430" s="5" t="str">
        <f>IFERROR(IF(Portafolio_Proyectos!$AQ810="","",Portafolio_Proyectos!$D810),"")</f>
        <v/>
      </c>
      <c r="G2430" s="5" t="str">
        <f>IFERROR(IF(Portafolio_Proyectos!$AQ810="","",Portafolio_Proyectos!$A810),"")</f>
        <v/>
      </c>
      <c r="H2430" s="5" t="str">
        <f>IFERROR(IF(Portafolio_Proyectos!$AQ810="","",Portafolio_Proyectos!$E810),"")</f>
        <v/>
      </c>
    </row>
    <row r="2431" spans="1:8" x14ac:dyDescent="0.35">
      <c r="A2431" s="5" t="str">
        <f>IFERROR(IF(Portafolio_Proyectos!$AR810="","","CAP-"&amp;ROW()-1),"")</f>
        <v/>
      </c>
      <c r="B2431" s="5" t="str">
        <f>IFERROR(IF(Portafolio_Proyectos!$AR810="","",Portafolio_Proyectos!$AR810),"")</f>
        <v/>
      </c>
      <c r="C2431" s="5" t="str">
        <f>IFERROR(IF(Portafolio_Proyectos!$AR810="","","Distintiva"),"")</f>
        <v/>
      </c>
      <c r="D2431" s="5" t="str">
        <f>IFERROR(IF(Portafolio_Proyectos!$AR810="","",Portafolio_Proyectos!$C810),"")</f>
        <v/>
      </c>
      <c r="E2431" s="5" t="str">
        <f>IFERROR(IF(Portafolio_Proyectos!$AR810="","",Portafolio_Proyectos!$B810),"")</f>
        <v/>
      </c>
      <c r="F2431" s="5" t="str">
        <f>IFERROR(IF(Portafolio_Proyectos!$AR810="","",Portafolio_Proyectos!$D810),"")</f>
        <v/>
      </c>
      <c r="G2431" s="5" t="str">
        <f>IFERROR(IF(Portafolio_Proyectos!$AR810="","",Portafolio_Proyectos!$A810),"")</f>
        <v/>
      </c>
      <c r="H2431" s="5" t="str">
        <f>IFERROR(IF(Portafolio_Proyectos!$AR810="","",Portafolio_Proyectos!$E810),"")</f>
        <v/>
      </c>
    </row>
    <row r="2432" spans="1:8" x14ac:dyDescent="0.35">
      <c r="A2432" s="5" t="str">
        <f>IFERROR(IF(Portafolio_Proyectos!$AP811="","","CAP-"&amp;ROW()-1),"")</f>
        <v/>
      </c>
      <c r="B2432" s="5" t="str">
        <f>IFERROR(IF(Portafolio_Proyectos!$AP811="","",Portafolio_Proyectos!$AP811),"")</f>
        <v/>
      </c>
      <c r="C2432" s="5" t="str">
        <f>IFERROR(IF(Portafolio_Proyectos!$AP811="","","Emergente"),"")</f>
        <v/>
      </c>
      <c r="D2432" s="5" t="str">
        <f>IFERROR(IF(Portafolio_Proyectos!$AP811="","",Portafolio_Proyectos!$C811),"")</f>
        <v/>
      </c>
      <c r="E2432" s="5" t="str">
        <f>IFERROR(IF(Portafolio_Proyectos!$AP811="","",Portafolio_Proyectos!$B811),"")</f>
        <v/>
      </c>
      <c r="F2432" s="5" t="str">
        <f>IFERROR(IF(Portafolio_Proyectos!$AP811="","",Portafolio_Proyectos!$D811),"")</f>
        <v/>
      </c>
      <c r="G2432" s="5" t="str">
        <f>IFERROR(IF(Portafolio_Proyectos!$AP811="","",Portafolio_Proyectos!$A811),"")</f>
        <v/>
      </c>
      <c r="H2432" s="5" t="str">
        <f>IFERROR(IF(Portafolio_Proyectos!$AP811="","",Portafolio_Proyectos!$E811),"")</f>
        <v/>
      </c>
    </row>
    <row r="2433" spans="1:8" x14ac:dyDescent="0.35">
      <c r="A2433" s="5" t="str">
        <f>IFERROR(IF(Portafolio_Proyectos!$AQ811="","","CAP-"&amp;ROW()-1),"")</f>
        <v/>
      </c>
      <c r="B2433" s="5" t="str">
        <f>IFERROR(IF(Portafolio_Proyectos!$AQ811="","",Portafolio_Proyectos!$AQ811),"")</f>
        <v/>
      </c>
      <c r="C2433" s="5" t="str">
        <f>IFERROR(IF(Portafolio_Proyectos!$AQ811="","","Consolidada"),"")</f>
        <v/>
      </c>
      <c r="D2433" s="5" t="str">
        <f>IFERROR(IF(Portafolio_Proyectos!$AQ811="","",Portafolio_Proyectos!$C811),"")</f>
        <v/>
      </c>
      <c r="E2433" s="5" t="str">
        <f>IFERROR(IF(Portafolio_Proyectos!$AQ811="","",Portafolio_Proyectos!$B811),"")</f>
        <v/>
      </c>
      <c r="F2433" s="5" t="str">
        <f>IFERROR(IF(Portafolio_Proyectos!$AQ811="","",Portafolio_Proyectos!$D811),"")</f>
        <v/>
      </c>
      <c r="G2433" s="5" t="str">
        <f>IFERROR(IF(Portafolio_Proyectos!$AQ811="","",Portafolio_Proyectos!$A811),"")</f>
        <v/>
      </c>
      <c r="H2433" s="5" t="str">
        <f>IFERROR(IF(Portafolio_Proyectos!$AQ811="","",Portafolio_Proyectos!$E811),"")</f>
        <v/>
      </c>
    </row>
    <row r="2434" spans="1:8" x14ac:dyDescent="0.35">
      <c r="A2434" s="5" t="str">
        <f>IFERROR(IF(Portafolio_Proyectos!$AR811="","","CAP-"&amp;ROW()-1),"")</f>
        <v/>
      </c>
      <c r="B2434" s="5" t="str">
        <f>IFERROR(IF(Portafolio_Proyectos!$AR811="","",Portafolio_Proyectos!$AR811),"")</f>
        <v/>
      </c>
      <c r="C2434" s="5" t="str">
        <f>IFERROR(IF(Portafolio_Proyectos!$AR811="","","Distintiva"),"")</f>
        <v/>
      </c>
      <c r="D2434" s="5" t="str">
        <f>IFERROR(IF(Portafolio_Proyectos!$AR811="","",Portafolio_Proyectos!$C811),"")</f>
        <v/>
      </c>
      <c r="E2434" s="5" t="str">
        <f>IFERROR(IF(Portafolio_Proyectos!$AR811="","",Portafolio_Proyectos!$B811),"")</f>
        <v/>
      </c>
      <c r="F2434" s="5" t="str">
        <f>IFERROR(IF(Portafolio_Proyectos!$AR811="","",Portafolio_Proyectos!$D811),"")</f>
        <v/>
      </c>
      <c r="G2434" s="5" t="str">
        <f>IFERROR(IF(Portafolio_Proyectos!$AR811="","",Portafolio_Proyectos!$A811),"")</f>
        <v/>
      </c>
      <c r="H2434" s="5" t="str">
        <f>IFERROR(IF(Portafolio_Proyectos!$AR811="","",Portafolio_Proyectos!$E811),"")</f>
        <v/>
      </c>
    </row>
    <row r="2435" spans="1:8" x14ac:dyDescent="0.35">
      <c r="A2435" s="5" t="str">
        <f>IFERROR(IF(Portafolio_Proyectos!$AP812="","","CAP-"&amp;ROW()-1),"")</f>
        <v/>
      </c>
      <c r="B2435" s="5" t="str">
        <f>IFERROR(IF(Portafolio_Proyectos!$AP812="","",Portafolio_Proyectos!$AP812),"")</f>
        <v/>
      </c>
      <c r="C2435" s="5" t="str">
        <f>IFERROR(IF(Portafolio_Proyectos!$AP812="","","Emergente"),"")</f>
        <v/>
      </c>
      <c r="D2435" s="5" t="str">
        <f>IFERROR(IF(Portafolio_Proyectos!$AP812="","",Portafolio_Proyectos!$C812),"")</f>
        <v/>
      </c>
      <c r="E2435" s="5" t="str">
        <f>IFERROR(IF(Portafolio_Proyectos!$AP812="","",Portafolio_Proyectos!$B812),"")</f>
        <v/>
      </c>
      <c r="F2435" s="5" t="str">
        <f>IFERROR(IF(Portafolio_Proyectos!$AP812="","",Portafolio_Proyectos!$D812),"")</f>
        <v/>
      </c>
      <c r="G2435" s="5" t="str">
        <f>IFERROR(IF(Portafolio_Proyectos!$AP812="","",Portafolio_Proyectos!$A812),"")</f>
        <v/>
      </c>
      <c r="H2435" s="5" t="str">
        <f>IFERROR(IF(Portafolio_Proyectos!$AP812="","",Portafolio_Proyectos!$E812),"")</f>
        <v/>
      </c>
    </row>
    <row r="2436" spans="1:8" x14ac:dyDescent="0.35">
      <c r="A2436" s="5" t="str">
        <f>IFERROR(IF(Portafolio_Proyectos!$AQ812="","","CAP-"&amp;ROW()-1),"")</f>
        <v/>
      </c>
      <c r="B2436" s="5" t="str">
        <f>IFERROR(IF(Portafolio_Proyectos!$AQ812="","",Portafolio_Proyectos!$AQ812),"")</f>
        <v/>
      </c>
      <c r="C2436" s="5" t="str">
        <f>IFERROR(IF(Portafolio_Proyectos!$AQ812="","","Consolidada"),"")</f>
        <v/>
      </c>
      <c r="D2436" s="5" t="str">
        <f>IFERROR(IF(Portafolio_Proyectos!$AQ812="","",Portafolio_Proyectos!$C812),"")</f>
        <v/>
      </c>
      <c r="E2436" s="5" t="str">
        <f>IFERROR(IF(Portafolio_Proyectos!$AQ812="","",Portafolio_Proyectos!$B812),"")</f>
        <v/>
      </c>
      <c r="F2436" s="5" t="str">
        <f>IFERROR(IF(Portafolio_Proyectos!$AQ812="","",Portafolio_Proyectos!$D812),"")</f>
        <v/>
      </c>
      <c r="G2436" s="5" t="str">
        <f>IFERROR(IF(Portafolio_Proyectos!$AQ812="","",Portafolio_Proyectos!$A812),"")</f>
        <v/>
      </c>
      <c r="H2436" s="5" t="str">
        <f>IFERROR(IF(Portafolio_Proyectos!$AQ812="","",Portafolio_Proyectos!$E812),"")</f>
        <v/>
      </c>
    </row>
    <row r="2437" spans="1:8" x14ac:dyDescent="0.35">
      <c r="A2437" s="5" t="str">
        <f>IFERROR(IF(Portafolio_Proyectos!$AR812="","","CAP-"&amp;ROW()-1),"")</f>
        <v/>
      </c>
      <c r="B2437" s="5" t="str">
        <f>IFERROR(IF(Portafolio_Proyectos!$AR812="","",Portafolio_Proyectos!$AR812),"")</f>
        <v/>
      </c>
      <c r="C2437" s="5" t="str">
        <f>IFERROR(IF(Portafolio_Proyectos!$AR812="","","Distintiva"),"")</f>
        <v/>
      </c>
      <c r="D2437" s="5" t="str">
        <f>IFERROR(IF(Portafolio_Proyectos!$AR812="","",Portafolio_Proyectos!$C812),"")</f>
        <v/>
      </c>
      <c r="E2437" s="5" t="str">
        <f>IFERROR(IF(Portafolio_Proyectos!$AR812="","",Portafolio_Proyectos!$B812),"")</f>
        <v/>
      </c>
      <c r="F2437" s="5" t="str">
        <f>IFERROR(IF(Portafolio_Proyectos!$AR812="","",Portafolio_Proyectos!$D812),"")</f>
        <v/>
      </c>
      <c r="G2437" s="5" t="str">
        <f>IFERROR(IF(Portafolio_Proyectos!$AR812="","",Portafolio_Proyectos!$A812),"")</f>
        <v/>
      </c>
      <c r="H2437" s="5" t="str">
        <f>IFERROR(IF(Portafolio_Proyectos!$AR812="","",Portafolio_Proyectos!$E812),"")</f>
        <v/>
      </c>
    </row>
    <row r="2438" spans="1:8" x14ac:dyDescent="0.35">
      <c r="A2438" s="5" t="str">
        <f>IFERROR(IF(Portafolio_Proyectos!$AP813="","","CAP-"&amp;ROW()-1),"")</f>
        <v/>
      </c>
      <c r="B2438" s="5" t="str">
        <f>IFERROR(IF(Portafolio_Proyectos!$AP813="","",Portafolio_Proyectos!$AP813),"")</f>
        <v/>
      </c>
      <c r="C2438" s="5" t="str">
        <f>IFERROR(IF(Portafolio_Proyectos!$AP813="","","Emergente"),"")</f>
        <v/>
      </c>
      <c r="D2438" s="5" t="str">
        <f>IFERROR(IF(Portafolio_Proyectos!$AP813="","",Portafolio_Proyectos!$C813),"")</f>
        <v/>
      </c>
      <c r="E2438" s="5" t="str">
        <f>IFERROR(IF(Portafolio_Proyectos!$AP813="","",Portafolio_Proyectos!$B813),"")</f>
        <v/>
      </c>
      <c r="F2438" s="5" t="str">
        <f>IFERROR(IF(Portafolio_Proyectos!$AP813="","",Portafolio_Proyectos!$D813),"")</f>
        <v/>
      </c>
      <c r="G2438" s="5" t="str">
        <f>IFERROR(IF(Portafolio_Proyectos!$AP813="","",Portafolio_Proyectos!$A813),"")</f>
        <v/>
      </c>
      <c r="H2438" s="5" t="str">
        <f>IFERROR(IF(Portafolio_Proyectos!$AP813="","",Portafolio_Proyectos!$E813),"")</f>
        <v/>
      </c>
    </row>
    <row r="2439" spans="1:8" x14ac:dyDescent="0.35">
      <c r="A2439" s="5" t="str">
        <f>IFERROR(IF(Portafolio_Proyectos!$AQ813="","","CAP-"&amp;ROW()-1),"")</f>
        <v/>
      </c>
      <c r="B2439" s="5" t="str">
        <f>IFERROR(IF(Portafolio_Proyectos!$AQ813="","",Portafolio_Proyectos!$AQ813),"")</f>
        <v/>
      </c>
      <c r="C2439" s="5" t="str">
        <f>IFERROR(IF(Portafolio_Proyectos!$AQ813="","","Consolidada"),"")</f>
        <v/>
      </c>
      <c r="D2439" s="5" t="str">
        <f>IFERROR(IF(Portafolio_Proyectos!$AQ813="","",Portafolio_Proyectos!$C813),"")</f>
        <v/>
      </c>
      <c r="E2439" s="5" t="str">
        <f>IFERROR(IF(Portafolio_Proyectos!$AQ813="","",Portafolio_Proyectos!$B813),"")</f>
        <v/>
      </c>
      <c r="F2439" s="5" t="str">
        <f>IFERROR(IF(Portafolio_Proyectos!$AQ813="","",Portafolio_Proyectos!$D813),"")</f>
        <v/>
      </c>
      <c r="G2439" s="5" t="str">
        <f>IFERROR(IF(Portafolio_Proyectos!$AQ813="","",Portafolio_Proyectos!$A813),"")</f>
        <v/>
      </c>
      <c r="H2439" s="5" t="str">
        <f>IFERROR(IF(Portafolio_Proyectos!$AQ813="","",Portafolio_Proyectos!$E813),"")</f>
        <v/>
      </c>
    </row>
    <row r="2440" spans="1:8" x14ac:dyDescent="0.35">
      <c r="A2440" s="5" t="str">
        <f>IFERROR(IF(Portafolio_Proyectos!$AR813="","","CAP-"&amp;ROW()-1),"")</f>
        <v/>
      </c>
      <c r="B2440" s="5" t="str">
        <f>IFERROR(IF(Portafolio_Proyectos!$AR813="","",Portafolio_Proyectos!$AR813),"")</f>
        <v/>
      </c>
      <c r="C2440" s="5" t="str">
        <f>IFERROR(IF(Portafolio_Proyectos!$AR813="","","Distintiva"),"")</f>
        <v/>
      </c>
      <c r="D2440" s="5" t="str">
        <f>IFERROR(IF(Portafolio_Proyectos!$AR813="","",Portafolio_Proyectos!$C813),"")</f>
        <v/>
      </c>
      <c r="E2440" s="5" t="str">
        <f>IFERROR(IF(Portafolio_Proyectos!$AR813="","",Portafolio_Proyectos!$B813),"")</f>
        <v/>
      </c>
      <c r="F2440" s="5" t="str">
        <f>IFERROR(IF(Portafolio_Proyectos!$AR813="","",Portafolio_Proyectos!$D813),"")</f>
        <v/>
      </c>
      <c r="G2440" s="5" t="str">
        <f>IFERROR(IF(Portafolio_Proyectos!$AR813="","",Portafolio_Proyectos!$A813),"")</f>
        <v/>
      </c>
      <c r="H2440" s="5" t="str">
        <f>IFERROR(IF(Portafolio_Proyectos!$AR813="","",Portafolio_Proyectos!$E813),"")</f>
        <v/>
      </c>
    </row>
    <row r="2441" spans="1:8" x14ac:dyDescent="0.35">
      <c r="A2441" s="5" t="str">
        <f>IFERROR(IF(Portafolio_Proyectos!$AP814="","","CAP-"&amp;ROW()-1),"")</f>
        <v/>
      </c>
      <c r="B2441" s="5" t="str">
        <f>IFERROR(IF(Portafolio_Proyectos!$AP814="","",Portafolio_Proyectos!$AP814),"")</f>
        <v/>
      </c>
      <c r="C2441" s="5" t="str">
        <f>IFERROR(IF(Portafolio_Proyectos!$AP814="","","Emergente"),"")</f>
        <v/>
      </c>
      <c r="D2441" s="5" t="str">
        <f>IFERROR(IF(Portafolio_Proyectos!$AP814="","",Portafolio_Proyectos!$C814),"")</f>
        <v/>
      </c>
      <c r="E2441" s="5" t="str">
        <f>IFERROR(IF(Portafolio_Proyectos!$AP814="","",Portafolio_Proyectos!$B814),"")</f>
        <v/>
      </c>
      <c r="F2441" s="5" t="str">
        <f>IFERROR(IF(Portafolio_Proyectos!$AP814="","",Portafolio_Proyectos!$D814),"")</f>
        <v/>
      </c>
      <c r="G2441" s="5" t="str">
        <f>IFERROR(IF(Portafolio_Proyectos!$AP814="","",Portafolio_Proyectos!$A814),"")</f>
        <v/>
      </c>
      <c r="H2441" s="5" t="str">
        <f>IFERROR(IF(Portafolio_Proyectos!$AP814="","",Portafolio_Proyectos!$E814),"")</f>
        <v/>
      </c>
    </row>
    <row r="2442" spans="1:8" x14ac:dyDescent="0.35">
      <c r="A2442" s="5" t="str">
        <f>IFERROR(IF(Portafolio_Proyectos!$AQ814="","","CAP-"&amp;ROW()-1),"")</f>
        <v/>
      </c>
      <c r="B2442" s="5" t="str">
        <f>IFERROR(IF(Portafolio_Proyectos!$AQ814="","",Portafolio_Proyectos!$AQ814),"")</f>
        <v/>
      </c>
      <c r="C2442" s="5" t="str">
        <f>IFERROR(IF(Portafolio_Proyectos!$AQ814="","","Consolidada"),"")</f>
        <v/>
      </c>
      <c r="D2442" s="5" t="str">
        <f>IFERROR(IF(Portafolio_Proyectos!$AQ814="","",Portafolio_Proyectos!$C814),"")</f>
        <v/>
      </c>
      <c r="E2442" s="5" t="str">
        <f>IFERROR(IF(Portafolio_Proyectos!$AQ814="","",Portafolio_Proyectos!$B814),"")</f>
        <v/>
      </c>
      <c r="F2442" s="5" t="str">
        <f>IFERROR(IF(Portafolio_Proyectos!$AQ814="","",Portafolio_Proyectos!$D814),"")</f>
        <v/>
      </c>
      <c r="G2442" s="5" t="str">
        <f>IFERROR(IF(Portafolio_Proyectos!$AQ814="","",Portafolio_Proyectos!$A814),"")</f>
        <v/>
      </c>
      <c r="H2442" s="5" t="str">
        <f>IFERROR(IF(Portafolio_Proyectos!$AQ814="","",Portafolio_Proyectos!$E814),"")</f>
        <v/>
      </c>
    </row>
    <row r="2443" spans="1:8" x14ac:dyDescent="0.35">
      <c r="A2443" s="5" t="str">
        <f>IFERROR(IF(Portafolio_Proyectos!$AR814="","","CAP-"&amp;ROW()-1),"")</f>
        <v/>
      </c>
      <c r="B2443" s="5" t="str">
        <f>IFERROR(IF(Portafolio_Proyectos!$AR814="","",Portafolio_Proyectos!$AR814),"")</f>
        <v/>
      </c>
      <c r="C2443" s="5" t="str">
        <f>IFERROR(IF(Portafolio_Proyectos!$AR814="","","Distintiva"),"")</f>
        <v/>
      </c>
      <c r="D2443" s="5" t="str">
        <f>IFERROR(IF(Portafolio_Proyectos!$AR814="","",Portafolio_Proyectos!$C814),"")</f>
        <v/>
      </c>
      <c r="E2443" s="5" t="str">
        <f>IFERROR(IF(Portafolio_Proyectos!$AR814="","",Portafolio_Proyectos!$B814),"")</f>
        <v/>
      </c>
      <c r="F2443" s="5" t="str">
        <f>IFERROR(IF(Portafolio_Proyectos!$AR814="","",Portafolio_Proyectos!$D814),"")</f>
        <v/>
      </c>
      <c r="G2443" s="5" t="str">
        <f>IFERROR(IF(Portafolio_Proyectos!$AR814="","",Portafolio_Proyectos!$A814),"")</f>
        <v/>
      </c>
      <c r="H2443" s="5" t="str">
        <f>IFERROR(IF(Portafolio_Proyectos!$AR814="","",Portafolio_Proyectos!$E814),"")</f>
        <v/>
      </c>
    </row>
    <row r="2444" spans="1:8" x14ac:dyDescent="0.35">
      <c r="A2444" s="5" t="str">
        <f>IFERROR(IF(Portafolio_Proyectos!$AP815="","","CAP-"&amp;ROW()-1),"")</f>
        <v/>
      </c>
      <c r="B2444" s="5" t="str">
        <f>IFERROR(IF(Portafolio_Proyectos!$AP815="","",Portafolio_Proyectos!$AP815),"")</f>
        <v/>
      </c>
      <c r="C2444" s="5" t="str">
        <f>IFERROR(IF(Portafolio_Proyectos!$AP815="","","Emergente"),"")</f>
        <v/>
      </c>
      <c r="D2444" s="5" t="str">
        <f>IFERROR(IF(Portafolio_Proyectos!$AP815="","",Portafolio_Proyectos!$C815),"")</f>
        <v/>
      </c>
      <c r="E2444" s="5" t="str">
        <f>IFERROR(IF(Portafolio_Proyectos!$AP815="","",Portafolio_Proyectos!$B815),"")</f>
        <v/>
      </c>
      <c r="F2444" s="5" t="str">
        <f>IFERROR(IF(Portafolio_Proyectos!$AP815="","",Portafolio_Proyectos!$D815),"")</f>
        <v/>
      </c>
      <c r="G2444" s="5" t="str">
        <f>IFERROR(IF(Portafolio_Proyectos!$AP815="","",Portafolio_Proyectos!$A815),"")</f>
        <v/>
      </c>
      <c r="H2444" s="5" t="str">
        <f>IFERROR(IF(Portafolio_Proyectos!$AP815="","",Portafolio_Proyectos!$E815),"")</f>
        <v/>
      </c>
    </row>
    <row r="2445" spans="1:8" x14ac:dyDescent="0.35">
      <c r="A2445" s="5" t="str">
        <f>IFERROR(IF(Portafolio_Proyectos!$AQ815="","","CAP-"&amp;ROW()-1),"")</f>
        <v/>
      </c>
      <c r="B2445" s="5" t="str">
        <f>IFERROR(IF(Portafolio_Proyectos!$AQ815="","",Portafolio_Proyectos!$AQ815),"")</f>
        <v/>
      </c>
      <c r="C2445" s="5" t="str">
        <f>IFERROR(IF(Portafolio_Proyectos!$AQ815="","","Consolidada"),"")</f>
        <v/>
      </c>
      <c r="D2445" s="5" t="str">
        <f>IFERROR(IF(Portafolio_Proyectos!$AQ815="","",Portafolio_Proyectos!$C815),"")</f>
        <v/>
      </c>
      <c r="E2445" s="5" t="str">
        <f>IFERROR(IF(Portafolio_Proyectos!$AQ815="","",Portafolio_Proyectos!$B815),"")</f>
        <v/>
      </c>
      <c r="F2445" s="5" t="str">
        <f>IFERROR(IF(Portafolio_Proyectos!$AQ815="","",Portafolio_Proyectos!$D815),"")</f>
        <v/>
      </c>
      <c r="G2445" s="5" t="str">
        <f>IFERROR(IF(Portafolio_Proyectos!$AQ815="","",Portafolio_Proyectos!$A815),"")</f>
        <v/>
      </c>
      <c r="H2445" s="5" t="str">
        <f>IFERROR(IF(Portafolio_Proyectos!$AQ815="","",Portafolio_Proyectos!$E815),"")</f>
        <v/>
      </c>
    </row>
    <row r="2446" spans="1:8" x14ac:dyDescent="0.35">
      <c r="A2446" s="5" t="str">
        <f>IFERROR(IF(Portafolio_Proyectos!$AR815="","","CAP-"&amp;ROW()-1),"")</f>
        <v/>
      </c>
      <c r="B2446" s="5" t="str">
        <f>IFERROR(IF(Portafolio_Proyectos!$AR815="","",Portafolio_Proyectos!$AR815),"")</f>
        <v/>
      </c>
      <c r="C2446" s="5" t="str">
        <f>IFERROR(IF(Portafolio_Proyectos!$AR815="","","Distintiva"),"")</f>
        <v/>
      </c>
      <c r="D2446" s="5" t="str">
        <f>IFERROR(IF(Portafolio_Proyectos!$AR815="","",Portafolio_Proyectos!$C815),"")</f>
        <v/>
      </c>
      <c r="E2446" s="5" t="str">
        <f>IFERROR(IF(Portafolio_Proyectos!$AR815="","",Portafolio_Proyectos!$B815),"")</f>
        <v/>
      </c>
      <c r="F2446" s="5" t="str">
        <f>IFERROR(IF(Portafolio_Proyectos!$AR815="","",Portafolio_Proyectos!$D815),"")</f>
        <v/>
      </c>
      <c r="G2446" s="5" t="str">
        <f>IFERROR(IF(Portafolio_Proyectos!$AR815="","",Portafolio_Proyectos!$A815),"")</f>
        <v/>
      </c>
      <c r="H2446" s="5" t="str">
        <f>IFERROR(IF(Portafolio_Proyectos!$AR815="","",Portafolio_Proyectos!$E815),"")</f>
        <v/>
      </c>
    </row>
    <row r="2447" spans="1:8" x14ac:dyDescent="0.35">
      <c r="A2447" s="5" t="str">
        <f>IFERROR(IF(Portafolio_Proyectos!$AP816="","","CAP-"&amp;ROW()-1),"")</f>
        <v/>
      </c>
      <c r="B2447" s="5" t="str">
        <f>IFERROR(IF(Portafolio_Proyectos!$AP816="","",Portafolio_Proyectos!$AP816),"")</f>
        <v/>
      </c>
      <c r="C2447" s="5" t="str">
        <f>IFERROR(IF(Portafolio_Proyectos!$AP816="","","Emergente"),"")</f>
        <v/>
      </c>
      <c r="D2447" s="5" t="str">
        <f>IFERROR(IF(Portafolio_Proyectos!$AP816="","",Portafolio_Proyectos!$C816),"")</f>
        <v/>
      </c>
      <c r="E2447" s="5" t="str">
        <f>IFERROR(IF(Portafolio_Proyectos!$AP816="","",Portafolio_Proyectos!$B816),"")</f>
        <v/>
      </c>
      <c r="F2447" s="5" t="str">
        <f>IFERROR(IF(Portafolio_Proyectos!$AP816="","",Portafolio_Proyectos!$D816),"")</f>
        <v/>
      </c>
      <c r="G2447" s="5" t="str">
        <f>IFERROR(IF(Portafolio_Proyectos!$AP816="","",Portafolio_Proyectos!$A816),"")</f>
        <v/>
      </c>
      <c r="H2447" s="5" t="str">
        <f>IFERROR(IF(Portafolio_Proyectos!$AP816="","",Portafolio_Proyectos!$E816),"")</f>
        <v/>
      </c>
    </row>
    <row r="2448" spans="1:8" x14ac:dyDescent="0.35">
      <c r="A2448" s="5" t="str">
        <f>IFERROR(IF(Portafolio_Proyectos!$AQ816="","","CAP-"&amp;ROW()-1),"")</f>
        <v/>
      </c>
      <c r="B2448" s="5" t="str">
        <f>IFERROR(IF(Portafolio_Proyectos!$AQ816="","",Portafolio_Proyectos!$AQ816),"")</f>
        <v/>
      </c>
      <c r="C2448" s="5" t="str">
        <f>IFERROR(IF(Portafolio_Proyectos!$AQ816="","","Consolidada"),"")</f>
        <v/>
      </c>
      <c r="D2448" s="5" t="str">
        <f>IFERROR(IF(Portafolio_Proyectos!$AQ816="","",Portafolio_Proyectos!$C816),"")</f>
        <v/>
      </c>
      <c r="E2448" s="5" t="str">
        <f>IFERROR(IF(Portafolio_Proyectos!$AQ816="","",Portafolio_Proyectos!$B816),"")</f>
        <v/>
      </c>
      <c r="F2448" s="5" t="str">
        <f>IFERROR(IF(Portafolio_Proyectos!$AQ816="","",Portafolio_Proyectos!$D816),"")</f>
        <v/>
      </c>
      <c r="G2448" s="5" t="str">
        <f>IFERROR(IF(Portafolio_Proyectos!$AQ816="","",Portafolio_Proyectos!$A816),"")</f>
        <v/>
      </c>
      <c r="H2448" s="5" t="str">
        <f>IFERROR(IF(Portafolio_Proyectos!$AQ816="","",Portafolio_Proyectos!$E816),"")</f>
        <v/>
      </c>
    </row>
    <row r="2449" spans="1:8" x14ac:dyDescent="0.35">
      <c r="A2449" s="5" t="str">
        <f>IFERROR(IF(Portafolio_Proyectos!$AR816="","","CAP-"&amp;ROW()-1),"")</f>
        <v/>
      </c>
      <c r="B2449" s="5" t="str">
        <f>IFERROR(IF(Portafolio_Proyectos!$AR816="","",Portafolio_Proyectos!$AR816),"")</f>
        <v/>
      </c>
      <c r="C2449" s="5" t="str">
        <f>IFERROR(IF(Portafolio_Proyectos!$AR816="","","Distintiva"),"")</f>
        <v/>
      </c>
      <c r="D2449" s="5" t="str">
        <f>IFERROR(IF(Portafolio_Proyectos!$AR816="","",Portafolio_Proyectos!$C816),"")</f>
        <v/>
      </c>
      <c r="E2449" s="5" t="str">
        <f>IFERROR(IF(Portafolio_Proyectos!$AR816="","",Portafolio_Proyectos!$B816),"")</f>
        <v/>
      </c>
      <c r="F2449" s="5" t="str">
        <f>IFERROR(IF(Portafolio_Proyectos!$AR816="","",Portafolio_Proyectos!$D816),"")</f>
        <v/>
      </c>
      <c r="G2449" s="5" t="str">
        <f>IFERROR(IF(Portafolio_Proyectos!$AR816="","",Portafolio_Proyectos!$A816),"")</f>
        <v/>
      </c>
      <c r="H2449" s="5" t="str">
        <f>IFERROR(IF(Portafolio_Proyectos!$AR816="","",Portafolio_Proyectos!$E816),"")</f>
        <v/>
      </c>
    </row>
    <row r="2450" spans="1:8" x14ac:dyDescent="0.35">
      <c r="A2450" s="5" t="str">
        <f>IFERROR(IF(Portafolio_Proyectos!$AP817="","","CAP-"&amp;ROW()-1),"")</f>
        <v/>
      </c>
      <c r="B2450" s="5" t="str">
        <f>IFERROR(IF(Portafolio_Proyectos!$AP817="","",Portafolio_Proyectos!$AP817),"")</f>
        <v/>
      </c>
      <c r="C2450" s="5" t="str">
        <f>IFERROR(IF(Portafolio_Proyectos!$AP817="","","Emergente"),"")</f>
        <v/>
      </c>
      <c r="D2450" s="5" t="str">
        <f>IFERROR(IF(Portafolio_Proyectos!$AP817="","",Portafolio_Proyectos!$C817),"")</f>
        <v/>
      </c>
      <c r="E2450" s="5" t="str">
        <f>IFERROR(IF(Portafolio_Proyectos!$AP817="","",Portafolio_Proyectos!$B817),"")</f>
        <v/>
      </c>
      <c r="F2450" s="5" t="str">
        <f>IFERROR(IF(Portafolio_Proyectos!$AP817="","",Portafolio_Proyectos!$D817),"")</f>
        <v/>
      </c>
      <c r="G2450" s="5" t="str">
        <f>IFERROR(IF(Portafolio_Proyectos!$AP817="","",Portafolio_Proyectos!$A817),"")</f>
        <v/>
      </c>
      <c r="H2450" s="5" t="str">
        <f>IFERROR(IF(Portafolio_Proyectos!$AP817="","",Portafolio_Proyectos!$E817),"")</f>
        <v/>
      </c>
    </row>
    <row r="2451" spans="1:8" x14ac:dyDescent="0.35">
      <c r="A2451" s="5" t="str">
        <f>IFERROR(IF(Portafolio_Proyectos!$AQ817="","","CAP-"&amp;ROW()-1),"")</f>
        <v/>
      </c>
      <c r="B2451" s="5" t="str">
        <f>IFERROR(IF(Portafolio_Proyectos!$AQ817="","",Portafolio_Proyectos!$AQ817),"")</f>
        <v/>
      </c>
      <c r="C2451" s="5" t="str">
        <f>IFERROR(IF(Portafolio_Proyectos!$AQ817="","","Consolidada"),"")</f>
        <v/>
      </c>
      <c r="D2451" s="5" t="str">
        <f>IFERROR(IF(Portafolio_Proyectos!$AQ817="","",Portafolio_Proyectos!$C817),"")</f>
        <v/>
      </c>
      <c r="E2451" s="5" t="str">
        <f>IFERROR(IF(Portafolio_Proyectos!$AQ817="","",Portafolio_Proyectos!$B817),"")</f>
        <v/>
      </c>
      <c r="F2451" s="5" t="str">
        <f>IFERROR(IF(Portafolio_Proyectos!$AQ817="","",Portafolio_Proyectos!$D817),"")</f>
        <v/>
      </c>
      <c r="G2451" s="5" t="str">
        <f>IFERROR(IF(Portafolio_Proyectos!$AQ817="","",Portafolio_Proyectos!$A817),"")</f>
        <v/>
      </c>
      <c r="H2451" s="5" t="str">
        <f>IFERROR(IF(Portafolio_Proyectos!$AQ817="","",Portafolio_Proyectos!$E817),"")</f>
        <v/>
      </c>
    </row>
    <row r="2452" spans="1:8" x14ac:dyDescent="0.35">
      <c r="A2452" s="5" t="str">
        <f>IFERROR(IF(Portafolio_Proyectos!$AR817="","","CAP-"&amp;ROW()-1),"")</f>
        <v/>
      </c>
      <c r="B2452" s="5" t="str">
        <f>IFERROR(IF(Portafolio_Proyectos!$AR817="","",Portafolio_Proyectos!$AR817),"")</f>
        <v/>
      </c>
      <c r="C2452" s="5" t="str">
        <f>IFERROR(IF(Portafolio_Proyectos!$AR817="","","Distintiva"),"")</f>
        <v/>
      </c>
      <c r="D2452" s="5" t="str">
        <f>IFERROR(IF(Portafolio_Proyectos!$AR817="","",Portafolio_Proyectos!$C817),"")</f>
        <v/>
      </c>
      <c r="E2452" s="5" t="str">
        <f>IFERROR(IF(Portafolio_Proyectos!$AR817="","",Portafolio_Proyectos!$B817),"")</f>
        <v/>
      </c>
      <c r="F2452" s="5" t="str">
        <f>IFERROR(IF(Portafolio_Proyectos!$AR817="","",Portafolio_Proyectos!$D817),"")</f>
        <v/>
      </c>
      <c r="G2452" s="5" t="str">
        <f>IFERROR(IF(Portafolio_Proyectos!$AR817="","",Portafolio_Proyectos!$A817),"")</f>
        <v/>
      </c>
      <c r="H2452" s="5" t="str">
        <f>IFERROR(IF(Portafolio_Proyectos!$AR817="","",Portafolio_Proyectos!$E817),"")</f>
        <v/>
      </c>
    </row>
    <row r="2453" spans="1:8" x14ac:dyDescent="0.35">
      <c r="A2453" s="5" t="str">
        <f>IFERROR(IF(Portafolio_Proyectos!$AP818="","","CAP-"&amp;ROW()-1),"")</f>
        <v/>
      </c>
      <c r="B2453" s="5" t="str">
        <f>IFERROR(IF(Portafolio_Proyectos!$AP818="","",Portafolio_Proyectos!$AP818),"")</f>
        <v/>
      </c>
      <c r="C2453" s="5" t="str">
        <f>IFERROR(IF(Portafolio_Proyectos!$AP818="","","Emergente"),"")</f>
        <v/>
      </c>
      <c r="D2453" s="5" t="str">
        <f>IFERROR(IF(Portafolio_Proyectos!$AP818="","",Portafolio_Proyectos!$C818),"")</f>
        <v/>
      </c>
      <c r="E2453" s="5" t="str">
        <f>IFERROR(IF(Portafolio_Proyectos!$AP818="","",Portafolio_Proyectos!$B818),"")</f>
        <v/>
      </c>
      <c r="F2453" s="5" t="str">
        <f>IFERROR(IF(Portafolio_Proyectos!$AP818="","",Portafolio_Proyectos!$D818),"")</f>
        <v/>
      </c>
      <c r="G2453" s="5" t="str">
        <f>IFERROR(IF(Portafolio_Proyectos!$AP818="","",Portafolio_Proyectos!$A818),"")</f>
        <v/>
      </c>
      <c r="H2453" s="5" t="str">
        <f>IFERROR(IF(Portafolio_Proyectos!$AP818="","",Portafolio_Proyectos!$E818),"")</f>
        <v/>
      </c>
    </row>
    <row r="2454" spans="1:8" x14ac:dyDescent="0.35">
      <c r="A2454" s="5" t="str">
        <f>IFERROR(IF(Portafolio_Proyectos!$AQ818="","","CAP-"&amp;ROW()-1),"")</f>
        <v/>
      </c>
      <c r="B2454" s="5" t="str">
        <f>IFERROR(IF(Portafolio_Proyectos!$AQ818="","",Portafolio_Proyectos!$AQ818),"")</f>
        <v/>
      </c>
      <c r="C2454" s="5" t="str">
        <f>IFERROR(IF(Portafolio_Proyectos!$AQ818="","","Consolidada"),"")</f>
        <v/>
      </c>
      <c r="D2454" s="5" t="str">
        <f>IFERROR(IF(Portafolio_Proyectos!$AQ818="","",Portafolio_Proyectos!$C818),"")</f>
        <v/>
      </c>
      <c r="E2454" s="5" t="str">
        <f>IFERROR(IF(Portafolio_Proyectos!$AQ818="","",Portafolio_Proyectos!$B818),"")</f>
        <v/>
      </c>
      <c r="F2454" s="5" t="str">
        <f>IFERROR(IF(Portafolio_Proyectos!$AQ818="","",Portafolio_Proyectos!$D818),"")</f>
        <v/>
      </c>
      <c r="G2454" s="5" t="str">
        <f>IFERROR(IF(Portafolio_Proyectos!$AQ818="","",Portafolio_Proyectos!$A818),"")</f>
        <v/>
      </c>
      <c r="H2454" s="5" t="str">
        <f>IFERROR(IF(Portafolio_Proyectos!$AQ818="","",Portafolio_Proyectos!$E818),"")</f>
        <v/>
      </c>
    </row>
    <row r="2455" spans="1:8" x14ac:dyDescent="0.35">
      <c r="A2455" s="5" t="str">
        <f>IFERROR(IF(Portafolio_Proyectos!$AR818="","","CAP-"&amp;ROW()-1),"")</f>
        <v/>
      </c>
      <c r="B2455" s="5" t="str">
        <f>IFERROR(IF(Portafolio_Proyectos!$AR818="","",Portafolio_Proyectos!$AR818),"")</f>
        <v/>
      </c>
      <c r="C2455" s="5" t="str">
        <f>IFERROR(IF(Portafolio_Proyectos!$AR818="","","Distintiva"),"")</f>
        <v/>
      </c>
      <c r="D2455" s="5" t="str">
        <f>IFERROR(IF(Portafolio_Proyectos!$AR818="","",Portafolio_Proyectos!$C818),"")</f>
        <v/>
      </c>
      <c r="E2455" s="5" t="str">
        <f>IFERROR(IF(Portafolio_Proyectos!$AR818="","",Portafolio_Proyectos!$B818),"")</f>
        <v/>
      </c>
      <c r="F2455" s="5" t="str">
        <f>IFERROR(IF(Portafolio_Proyectos!$AR818="","",Portafolio_Proyectos!$D818),"")</f>
        <v/>
      </c>
      <c r="G2455" s="5" t="str">
        <f>IFERROR(IF(Portafolio_Proyectos!$AR818="","",Portafolio_Proyectos!$A818),"")</f>
        <v/>
      </c>
      <c r="H2455" s="5" t="str">
        <f>IFERROR(IF(Portafolio_Proyectos!$AR818="","",Portafolio_Proyectos!$E818),"")</f>
        <v/>
      </c>
    </row>
    <row r="2456" spans="1:8" x14ac:dyDescent="0.35">
      <c r="A2456" s="5" t="str">
        <f>IFERROR(IF(Portafolio_Proyectos!$AP819="","","CAP-"&amp;ROW()-1),"")</f>
        <v/>
      </c>
      <c r="B2456" s="5" t="str">
        <f>IFERROR(IF(Portafolio_Proyectos!$AP819="","",Portafolio_Proyectos!$AP819),"")</f>
        <v/>
      </c>
      <c r="C2456" s="5" t="str">
        <f>IFERROR(IF(Portafolio_Proyectos!$AP819="","","Emergente"),"")</f>
        <v/>
      </c>
      <c r="D2456" s="5" t="str">
        <f>IFERROR(IF(Portafolio_Proyectos!$AP819="","",Portafolio_Proyectos!$C819),"")</f>
        <v/>
      </c>
      <c r="E2456" s="5" t="str">
        <f>IFERROR(IF(Portafolio_Proyectos!$AP819="","",Portafolio_Proyectos!$B819),"")</f>
        <v/>
      </c>
      <c r="F2456" s="5" t="str">
        <f>IFERROR(IF(Portafolio_Proyectos!$AP819="","",Portafolio_Proyectos!$D819),"")</f>
        <v/>
      </c>
      <c r="G2456" s="5" t="str">
        <f>IFERROR(IF(Portafolio_Proyectos!$AP819="","",Portafolio_Proyectos!$A819),"")</f>
        <v/>
      </c>
      <c r="H2456" s="5" t="str">
        <f>IFERROR(IF(Portafolio_Proyectos!$AP819="","",Portafolio_Proyectos!$E819),"")</f>
        <v/>
      </c>
    </row>
    <row r="2457" spans="1:8" x14ac:dyDescent="0.35">
      <c r="A2457" s="5" t="str">
        <f>IFERROR(IF(Portafolio_Proyectos!$AQ819="","","CAP-"&amp;ROW()-1),"")</f>
        <v/>
      </c>
      <c r="B2457" s="5" t="str">
        <f>IFERROR(IF(Portafolio_Proyectos!$AQ819="","",Portafolio_Proyectos!$AQ819),"")</f>
        <v/>
      </c>
      <c r="C2457" s="5" t="str">
        <f>IFERROR(IF(Portafolio_Proyectos!$AQ819="","","Consolidada"),"")</f>
        <v/>
      </c>
      <c r="D2457" s="5" t="str">
        <f>IFERROR(IF(Portafolio_Proyectos!$AQ819="","",Portafolio_Proyectos!$C819),"")</f>
        <v/>
      </c>
      <c r="E2457" s="5" t="str">
        <f>IFERROR(IF(Portafolio_Proyectos!$AQ819="","",Portafolio_Proyectos!$B819),"")</f>
        <v/>
      </c>
      <c r="F2457" s="5" t="str">
        <f>IFERROR(IF(Portafolio_Proyectos!$AQ819="","",Portafolio_Proyectos!$D819),"")</f>
        <v/>
      </c>
      <c r="G2457" s="5" t="str">
        <f>IFERROR(IF(Portafolio_Proyectos!$AQ819="","",Portafolio_Proyectos!$A819),"")</f>
        <v/>
      </c>
      <c r="H2457" s="5" t="str">
        <f>IFERROR(IF(Portafolio_Proyectos!$AQ819="","",Portafolio_Proyectos!$E819),"")</f>
        <v/>
      </c>
    </row>
    <row r="2458" spans="1:8" x14ac:dyDescent="0.35">
      <c r="A2458" s="5" t="str">
        <f>IFERROR(IF(Portafolio_Proyectos!$AR819="","","CAP-"&amp;ROW()-1),"")</f>
        <v/>
      </c>
      <c r="B2458" s="5" t="str">
        <f>IFERROR(IF(Portafolio_Proyectos!$AR819="","",Portafolio_Proyectos!$AR819),"")</f>
        <v/>
      </c>
      <c r="C2458" s="5" t="str">
        <f>IFERROR(IF(Portafolio_Proyectos!$AR819="","","Distintiva"),"")</f>
        <v/>
      </c>
      <c r="D2458" s="5" t="str">
        <f>IFERROR(IF(Portafolio_Proyectos!$AR819="","",Portafolio_Proyectos!$C819),"")</f>
        <v/>
      </c>
      <c r="E2458" s="5" t="str">
        <f>IFERROR(IF(Portafolio_Proyectos!$AR819="","",Portafolio_Proyectos!$B819),"")</f>
        <v/>
      </c>
      <c r="F2458" s="5" t="str">
        <f>IFERROR(IF(Portafolio_Proyectos!$AR819="","",Portafolio_Proyectos!$D819),"")</f>
        <v/>
      </c>
      <c r="G2458" s="5" t="str">
        <f>IFERROR(IF(Portafolio_Proyectos!$AR819="","",Portafolio_Proyectos!$A819),"")</f>
        <v/>
      </c>
      <c r="H2458" s="5" t="str">
        <f>IFERROR(IF(Portafolio_Proyectos!$AR819="","",Portafolio_Proyectos!$E819),"")</f>
        <v/>
      </c>
    </row>
    <row r="2459" spans="1:8" x14ac:dyDescent="0.35">
      <c r="A2459" s="5" t="str">
        <f>IFERROR(IF(Portafolio_Proyectos!$AP820="","","CAP-"&amp;ROW()-1),"")</f>
        <v/>
      </c>
      <c r="B2459" s="5" t="str">
        <f>IFERROR(IF(Portafolio_Proyectos!$AP820="","",Portafolio_Proyectos!$AP820),"")</f>
        <v/>
      </c>
      <c r="C2459" s="5" t="str">
        <f>IFERROR(IF(Portafolio_Proyectos!$AP820="","","Emergente"),"")</f>
        <v/>
      </c>
      <c r="D2459" s="5" t="str">
        <f>IFERROR(IF(Portafolio_Proyectos!$AP820="","",Portafolio_Proyectos!$C820),"")</f>
        <v/>
      </c>
      <c r="E2459" s="5" t="str">
        <f>IFERROR(IF(Portafolio_Proyectos!$AP820="","",Portafolio_Proyectos!$B820),"")</f>
        <v/>
      </c>
      <c r="F2459" s="5" t="str">
        <f>IFERROR(IF(Portafolio_Proyectos!$AP820="","",Portafolio_Proyectos!$D820),"")</f>
        <v/>
      </c>
      <c r="G2459" s="5" t="str">
        <f>IFERROR(IF(Portafolio_Proyectos!$AP820="","",Portafolio_Proyectos!$A820),"")</f>
        <v/>
      </c>
      <c r="H2459" s="5" t="str">
        <f>IFERROR(IF(Portafolio_Proyectos!$AP820="","",Portafolio_Proyectos!$E820),"")</f>
        <v/>
      </c>
    </row>
    <row r="2460" spans="1:8" x14ac:dyDescent="0.35">
      <c r="A2460" s="5" t="str">
        <f>IFERROR(IF(Portafolio_Proyectos!$AQ820="","","CAP-"&amp;ROW()-1),"")</f>
        <v/>
      </c>
      <c r="B2460" s="5" t="str">
        <f>IFERROR(IF(Portafolio_Proyectos!$AQ820="","",Portafolio_Proyectos!$AQ820),"")</f>
        <v/>
      </c>
      <c r="C2460" s="5" t="str">
        <f>IFERROR(IF(Portafolio_Proyectos!$AQ820="","","Consolidada"),"")</f>
        <v/>
      </c>
      <c r="D2460" s="5" t="str">
        <f>IFERROR(IF(Portafolio_Proyectos!$AQ820="","",Portafolio_Proyectos!$C820),"")</f>
        <v/>
      </c>
      <c r="E2460" s="5" t="str">
        <f>IFERROR(IF(Portafolio_Proyectos!$AQ820="","",Portafolio_Proyectos!$B820),"")</f>
        <v/>
      </c>
      <c r="F2460" s="5" t="str">
        <f>IFERROR(IF(Portafolio_Proyectos!$AQ820="","",Portafolio_Proyectos!$D820),"")</f>
        <v/>
      </c>
      <c r="G2460" s="5" t="str">
        <f>IFERROR(IF(Portafolio_Proyectos!$AQ820="","",Portafolio_Proyectos!$A820),"")</f>
        <v/>
      </c>
      <c r="H2460" s="5" t="str">
        <f>IFERROR(IF(Portafolio_Proyectos!$AQ820="","",Portafolio_Proyectos!$E820),"")</f>
        <v/>
      </c>
    </row>
    <row r="2461" spans="1:8" x14ac:dyDescent="0.35">
      <c r="A2461" s="5" t="str">
        <f>IFERROR(IF(Portafolio_Proyectos!$AR820="","","CAP-"&amp;ROW()-1),"")</f>
        <v/>
      </c>
      <c r="B2461" s="5" t="str">
        <f>IFERROR(IF(Portafolio_Proyectos!$AR820="","",Portafolio_Proyectos!$AR820),"")</f>
        <v/>
      </c>
      <c r="C2461" s="5" t="str">
        <f>IFERROR(IF(Portafolio_Proyectos!$AR820="","","Distintiva"),"")</f>
        <v/>
      </c>
      <c r="D2461" s="5" t="str">
        <f>IFERROR(IF(Portafolio_Proyectos!$AR820="","",Portafolio_Proyectos!$C820),"")</f>
        <v/>
      </c>
      <c r="E2461" s="5" t="str">
        <f>IFERROR(IF(Portafolio_Proyectos!$AR820="","",Portafolio_Proyectos!$B820),"")</f>
        <v/>
      </c>
      <c r="F2461" s="5" t="str">
        <f>IFERROR(IF(Portafolio_Proyectos!$AR820="","",Portafolio_Proyectos!$D820),"")</f>
        <v/>
      </c>
      <c r="G2461" s="5" t="str">
        <f>IFERROR(IF(Portafolio_Proyectos!$AR820="","",Portafolio_Proyectos!$A820),"")</f>
        <v/>
      </c>
      <c r="H2461" s="5" t="str">
        <f>IFERROR(IF(Portafolio_Proyectos!$AR820="","",Portafolio_Proyectos!$E820),"")</f>
        <v/>
      </c>
    </row>
    <row r="2462" spans="1:8" x14ac:dyDescent="0.35">
      <c r="A2462" s="5" t="str">
        <f>IFERROR(IF(Portafolio_Proyectos!$AP821="","","CAP-"&amp;ROW()-1),"")</f>
        <v/>
      </c>
      <c r="B2462" s="5" t="str">
        <f>IFERROR(IF(Portafolio_Proyectos!$AP821="","",Portafolio_Proyectos!$AP821),"")</f>
        <v/>
      </c>
      <c r="C2462" s="5" t="str">
        <f>IFERROR(IF(Portafolio_Proyectos!$AP821="","","Emergente"),"")</f>
        <v/>
      </c>
      <c r="D2462" s="5" t="str">
        <f>IFERROR(IF(Portafolio_Proyectos!$AP821="","",Portafolio_Proyectos!$C821),"")</f>
        <v/>
      </c>
      <c r="E2462" s="5" t="str">
        <f>IFERROR(IF(Portafolio_Proyectos!$AP821="","",Portafolio_Proyectos!$B821),"")</f>
        <v/>
      </c>
      <c r="F2462" s="5" t="str">
        <f>IFERROR(IF(Portafolio_Proyectos!$AP821="","",Portafolio_Proyectos!$D821),"")</f>
        <v/>
      </c>
      <c r="G2462" s="5" t="str">
        <f>IFERROR(IF(Portafolio_Proyectos!$AP821="","",Portafolio_Proyectos!$A821),"")</f>
        <v/>
      </c>
      <c r="H2462" s="5" t="str">
        <f>IFERROR(IF(Portafolio_Proyectos!$AP821="","",Portafolio_Proyectos!$E821),"")</f>
        <v/>
      </c>
    </row>
    <row r="2463" spans="1:8" x14ac:dyDescent="0.35">
      <c r="A2463" s="5" t="str">
        <f>IFERROR(IF(Portafolio_Proyectos!$AQ821="","","CAP-"&amp;ROW()-1),"")</f>
        <v/>
      </c>
      <c r="B2463" s="5" t="str">
        <f>IFERROR(IF(Portafolio_Proyectos!$AQ821="","",Portafolio_Proyectos!$AQ821),"")</f>
        <v/>
      </c>
      <c r="C2463" s="5" t="str">
        <f>IFERROR(IF(Portafolio_Proyectos!$AQ821="","","Consolidada"),"")</f>
        <v/>
      </c>
      <c r="D2463" s="5" t="str">
        <f>IFERROR(IF(Portafolio_Proyectos!$AQ821="","",Portafolio_Proyectos!$C821),"")</f>
        <v/>
      </c>
      <c r="E2463" s="5" t="str">
        <f>IFERROR(IF(Portafolio_Proyectos!$AQ821="","",Portafolio_Proyectos!$B821),"")</f>
        <v/>
      </c>
      <c r="F2463" s="5" t="str">
        <f>IFERROR(IF(Portafolio_Proyectos!$AQ821="","",Portafolio_Proyectos!$D821),"")</f>
        <v/>
      </c>
      <c r="G2463" s="5" t="str">
        <f>IFERROR(IF(Portafolio_Proyectos!$AQ821="","",Portafolio_Proyectos!$A821),"")</f>
        <v/>
      </c>
      <c r="H2463" s="5" t="str">
        <f>IFERROR(IF(Portafolio_Proyectos!$AQ821="","",Portafolio_Proyectos!$E821),"")</f>
        <v/>
      </c>
    </row>
    <row r="2464" spans="1:8" x14ac:dyDescent="0.35">
      <c r="A2464" s="5" t="str">
        <f>IFERROR(IF(Portafolio_Proyectos!$AR821="","","CAP-"&amp;ROW()-1),"")</f>
        <v/>
      </c>
      <c r="B2464" s="5" t="str">
        <f>IFERROR(IF(Portafolio_Proyectos!$AR821="","",Portafolio_Proyectos!$AR821),"")</f>
        <v/>
      </c>
      <c r="C2464" s="5" t="str">
        <f>IFERROR(IF(Portafolio_Proyectos!$AR821="","","Distintiva"),"")</f>
        <v/>
      </c>
      <c r="D2464" s="5" t="str">
        <f>IFERROR(IF(Portafolio_Proyectos!$AR821="","",Portafolio_Proyectos!$C821),"")</f>
        <v/>
      </c>
      <c r="E2464" s="5" t="str">
        <f>IFERROR(IF(Portafolio_Proyectos!$AR821="","",Portafolio_Proyectos!$B821),"")</f>
        <v/>
      </c>
      <c r="F2464" s="5" t="str">
        <f>IFERROR(IF(Portafolio_Proyectos!$AR821="","",Portafolio_Proyectos!$D821),"")</f>
        <v/>
      </c>
      <c r="G2464" s="5" t="str">
        <f>IFERROR(IF(Portafolio_Proyectos!$AR821="","",Portafolio_Proyectos!$A821),"")</f>
        <v/>
      </c>
      <c r="H2464" s="5" t="str">
        <f>IFERROR(IF(Portafolio_Proyectos!$AR821="","",Portafolio_Proyectos!$E821),"")</f>
        <v/>
      </c>
    </row>
    <row r="2465" spans="1:8" x14ac:dyDescent="0.35">
      <c r="A2465" s="5" t="str">
        <f>IFERROR(IF(Portafolio_Proyectos!$AP822="","","CAP-"&amp;ROW()-1),"")</f>
        <v/>
      </c>
      <c r="B2465" s="5" t="str">
        <f>IFERROR(IF(Portafolio_Proyectos!$AP822="","",Portafolio_Proyectos!$AP822),"")</f>
        <v/>
      </c>
      <c r="C2465" s="5" t="str">
        <f>IFERROR(IF(Portafolio_Proyectos!$AP822="","","Emergente"),"")</f>
        <v/>
      </c>
      <c r="D2465" s="5" t="str">
        <f>IFERROR(IF(Portafolio_Proyectos!$AP822="","",Portafolio_Proyectos!$C822),"")</f>
        <v/>
      </c>
      <c r="E2465" s="5" t="str">
        <f>IFERROR(IF(Portafolio_Proyectos!$AP822="","",Portafolio_Proyectos!$B822),"")</f>
        <v/>
      </c>
      <c r="F2465" s="5" t="str">
        <f>IFERROR(IF(Portafolio_Proyectos!$AP822="","",Portafolio_Proyectos!$D822),"")</f>
        <v/>
      </c>
      <c r="G2465" s="5" t="str">
        <f>IFERROR(IF(Portafolio_Proyectos!$AP822="","",Portafolio_Proyectos!$A822),"")</f>
        <v/>
      </c>
      <c r="H2465" s="5" t="str">
        <f>IFERROR(IF(Portafolio_Proyectos!$AP822="","",Portafolio_Proyectos!$E822),"")</f>
        <v/>
      </c>
    </row>
    <row r="2466" spans="1:8" x14ac:dyDescent="0.35">
      <c r="A2466" s="5" t="str">
        <f>IFERROR(IF(Portafolio_Proyectos!$AQ822="","","CAP-"&amp;ROW()-1),"")</f>
        <v/>
      </c>
      <c r="B2466" s="5" t="str">
        <f>IFERROR(IF(Portafolio_Proyectos!$AQ822="","",Portafolio_Proyectos!$AQ822),"")</f>
        <v/>
      </c>
      <c r="C2466" s="5" t="str">
        <f>IFERROR(IF(Portafolio_Proyectos!$AQ822="","","Consolidada"),"")</f>
        <v/>
      </c>
      <c r="D2466" s="5" t="str">
        <f>IFERROR(IF(Portafolio_Proyectos!$AQ822="","",Portafolio_Proyectos!$C822),"")</f>
        <v/>
      </c>
      <c r="E2466" s="5" t="str">
        <f>IFERROR(IF(Portafolio_Proyectos!$AQ822="","",Portafolio_Proyectos!$B822),"")</f>
        <v/>
      </c>
      <c r="F2466" s="5" t="str">
        <f>IFERROR(IF(Portafolio_Proyectos!$AQ822="","",Portafolio_Proyectos!$D822),"")</f>
        <v/>
      </c>
      <c r="G2466" s="5" t="str">
        <f>IFERROR(IF(Portafolio_Proyectos!$AQ822="","",Portafolio_Proyectos!$A822),"")</f>
        <v/>
      </c>
      <c r="H2466" s="5" t="str">
        <f>IFERROR(IF(Portafolio_Proyectos!$AQ822="","",Portafolio_Proyectos!$E822),"")</f>
        <v/>
      </c>
    </row>
    <row r="2467" spans="1:8" x14ac:dyDescent="0.35">
      <c r="A2467" s="5" t="str">
        <f>IFERROR(IF(Portafolio_Proyectos!$AR822="","","CAP-"&amp;ROW()-1),"")</f>
        <v/>
      </c>
      <c r="B2467" s="5" t="str">
        <f>IFERROR(IF(Portafolio_Proyectos!$AR822="","",Portafolio_Proyectos!$AR822),"")</f>
        <v/>
      </c>
      <c r="C2467" s="5" t="str">
        <f>IFERROR(IF(Portafolio_Proyectos!$AR822="","","Distintiva"),"")</f>
        <v/>
      </c>
      <c r="D2467" s="5" t="str">
        <f>IFERROR(IF(Portafolio_Proyectos!$AR822="","",Portafolio_Proyectos!$C822),"")</f>
        <v/>
      </c>
      <c r="E2467" s="5" t="str">
        <f>IFERROR(IF(Portafolio_Proyectos!$AR822="","",Portafolio_Proyectos!$B822),"")</f>
        <v/>
      </c>
      <c r="F2467" s="5" t="str">
        <f>IFERROR(IF(Portafolio_Proyectos!$AR822="","",Portafolio_Proyectos!$D822),"")</f>
        <v/>
      </c>
      <c r="G2467" s="5" t="str">
        <f>IFERROR(IF(Portafolio_Proyectos!$AR822="","",Portafolio_Proyectos!$A822),"")</f>
        <v/>
      </c>
      <c r="H2467" s="5" t="str">
        <f>IFERROR(IF(Portafolio_Proyectos!$AR822="","",Portafolio_Proyectos!$E822),"")</f>
        <v/>
      </c>
    </row>
    <row r="2468" spans="1:8" x14ac:dyDescent="0.35">
      <c r="A2468" s="5" t="str">
        <f>IFERROR(IF(Portafolio_Proyectos!$AP823="","","CAP-"&amp;ROW()-1),"")</f>
        <v/>
      </c>
      <c r="B2468" s="5" t="str">
        <f>IFERROR(IF(Portafolio_Proyectos!$AP823="","",Portafolio_Proyectos!$AP823),"")</f>
        <v/>
      </c>
      <c r="C2468" s="5" t="str">
        <f>IFERROR(IF(Portafolio_Proyectos!$AP823="","","Emergente"),"")</f>
        <v/>
      </c>
      <c r="D2468" s="5" t="str">
        <f>IFERROR(IF(Portafolio_Proyectos!$AP823="","",Portafolio_Proyectos!$C823),"")</f>
        <v/>
      </c>
      <c r="E2468" s="5" t="str">
        <f>IFERROR(IF(Portafolio_Proyectos!$AP823="","",Portafolio_Proyectos!$B823),"")</f>
        <v/>
      </c>
      <c r="F2468" s="5" t="str">
        <f>IFERROR(IF(Portafolio_Proyectos!$AP823="","",Portafolio_Proyectos!$D823),"")</f>
        <v/>
      </c>
      <c r="G2468" s="5" t="str">
        <f>IFERROR(IF(Portafolio_Proyectos!$AP823="","",Portafolio_Proyectos!$A823),"")</f>
        <v/>
      </c>
      <c r="H2468" s="5" t="str">
        <f>IFERROR(IF(Portafolio_Proyectos!$AP823="","",Portafolio_Proyectos!$E823),"")</f>
        <v/>
      </c>
    </row>
    <row r="2469" spans="1:8" x14ac:dyDescent="0.35">
      <c r="A2469" s="5" t="str">
        <f>IFERROR(IF(Portafolio_Proyectos!$AQ823="","","CAP-"&amp;ROW()-1),"")</f>
        <v/>
      </c>
      <c r="B2469" s="5" t="str">
        <f>IFERROR(IF(Portafolio_Proyectos!$AQ823="","",Portafolio_Proyectos!$AQ823),"")</f>
        <v/>
      </c>
      <c r="C2469" s="5" t="str">
        <f>IFERROR(IF(Portafolio_Proyectos!$AQ823="","","Consolidada"),"")</f>
        <v/>
      </c>
      <c r="D2469" s="5" t="str">
        <f>IFERROR(IF(Portafolio_Proyectos!$AQ823="","",Portafolio_Proyectos!$C823),"")</f>
        <v/>
      </c>
      <c r="E2469" s="5" t="str">
        <f>IFERROR(IF(Portafolio_Proyectos!$AQ823="","",Portafolio_Proyectos!$B823),"")</f>
        <v/>
      </c>
      <c r="F2469" s="5" t="str">
        <f>IFERROR(IF(Portafolio_Proyectos!$AQ823="","",Portafolio_Proyectos!$D823),"")</f>
        <v/>
      </c>
      <c r="G2469" s="5" t="str">
        <f>IFERROR(IF(Portafolio_Proyectos!$AQ823="","",Portafolio_Proyectos!$A823),"")</f>
        <v/>
      </c>
      <c r="H2469" s="5" t="str">
        <f>IFERROR(IF(Portafolio_Proyectos!$AQ823="","",Portafolio_Proyectos!$E823),"")</f>
        <v/>
      </c>
    </row>
    <row r="2470" spans="1:8" x14ac:dyDescent="0.35">
      <c r="A2470" s="5" t="str">
        <f>IFERROR(IF(Portafolio_Proyectos!$AR823="","","CAP-"&amp;ROW()-1),"")</f>
        <v/>
      </c>
      <c r="B2470" s="5" t="str">
        <f>IFERROR(IF(Portafolio_Proyectos!$AR823="","",Portafolio_Proyectos!$AR823),"")</f>
        <v/>
      </c>
      <c r="C2470" s="5" t="str">
        <f>IFERROR(IF(Portafolio_Proyectos!$AR823="","","Distintiva"),"")</f>
        <v/>
      </c>
      <c r="D2470" s="5" t="str">
        <f>IFERROR(IF(Portafolio_Proyectos!$AR823="","",Portafolio_Proyectos!$C823),"")</f>
        <v/>
      </c>
      <c r="E2470" s="5" t="str">
        <f>IFERROR(IF(Portafolio_Proyectos!$AR823="","",Portafolio_Proyectos!$B823),"")</f>
        <v/>
      </c>
      <c r="F2470" s="5" t="str">
        <f>IFERROR(IF(Portafolio_Proyectos!$AR823="","",Portafolio_Proyectos!$D823),"")</f>
        <v/>
      </c>
      <c r="G2470" s="5" t="str">
        <f>IFERROR(IF(Portafolio_Proyectos!$AR823="","",Portafolio_Proyectos!$A823),"")</f>
        <v/>
      </c>
      <c r="H2470" s="5" t="str">
        <f>IFERROR(IF(Portafolio_Proyectos!$AR823="","",Portafolio_Proyectos!$E823),"")</f>
        <v/>
      </c>
    </row>
    <row r="2471" spans="1:8" x14ac:dyDescent="0.35">
      <c r="A2471" s="5" t="str">
        <f>IFERROR(IF(Portafolio_Proyectos!$AP824="","","CAP-"&amp;ROW()-1),"")</f>
        <v/>
      </c>
      <c r="B2471" s="5" t="str">
        <f>IFERROR(IF(Portafolio_Proyectos!$AP824="","",Portafolio_Proyectos!$AP824),"")</f>
        <v/>
      </c>
      <c r="C2471" s="5" t="str">
        <f>IFERROR(IF(Portafolio_Proyectos!$AP824="","","Emergente"),"")</f>
        <v/>
      </c>
      <c r="D2471" s="5" t="str">
        <f>IFERROR(IF(Portafolio_Proyectos!$AP824="","",Portafolio_Proyectos!$C824),"")</f>
        <v/>
      </c>
      <c r="E2471" s="5" t="str">
        <f>IFERROR(IF(Portafolio_Proyectos!$AP824="","",Portafolio_Proyectos!$B824),"")</f>
        <v/>
      </c>
      <c r="F2471" s="5" t="str">
        <f>IFERROR(IF(Portafolio_Proyectos!$AP824="","",Portafolio_Proyectos!$D824),"")</f>
        <v/>
      </c>
      <c r="G2471" s="5" t="str">
        <f>IFERROR(IF(Portafolio_Proyectos!$AP824="","",Portafolio_Proyectos!$A824),"")</f>
        <v/>
      </c>
      <c r="H2471" s="5" t="str">
        <f>IFERROR(IF(Portafolio_Proyectos!$AP824="","",Portafolio_Proyectos!$E824),"")</f>
        <v/>
      </c>
    </row>
    <row r="2472" spans="1:8" x14ac:dyDescent="0.35">
      <c r="A2472" s="5" t="str">
        <f>IFERROR(IF(Portafolio_Proyectos!$AQ824="","","CAP-"&amp;ROW()-1),"")</f>
        <v/>
      </c>
      <c r="B2472" s="5" t="str">
        <f>IFERROR(IF(Portafolio_Proyectos!$AQ824="","",Portafolio_Proyectos!$AQ824),"")</f>
        <v/>
      </c>
      <c r="C2472" s="5" t="str">
        <f>IFERROR(IF(Portafolio_Proyectos!$AQ824="","","Consolidada"),"")</f>
        <v/>
      </c>
      <c r="D2472" s="5" t="str">
        <f>IFERROR(IF(Portafolio_Proyectos!$AQ824="","",Portafolio_Proyectos!$C824),"")</f>
        <v/>
      </c>
      <c r="E2472" s="5" t="str">
        <f>IFERROR(IF(Portafolio_Proyectos!$AQ824="","",Portafolio_Proyectos!$B824),"")</f>
        <v/>
      </c>
      <c r="F2472" s="5" t="str">
        <f>IFERROR(IF(Portafolio_Proyectos!$AQ824="","",Portafolio_Proyectos!$D824),"")</f>
        <v/>
      </c>
      <c r="G2472" s="5" t="str">
        <f>IFERROR(IF(Portafolio_Proyectos!$AQ824="","",Portafolio_Proyectos!$A824),"")</f>
        <v/>
      </c>
      <c r="H2472" s="5" t="str">
        <f>IFERROR(IF(Portafolio_Proyectos!$AQ824="","",Portafolio_Proyectos!$E824),"")</f>
        <v/>
      </c>
    </row>
    <row r="2473" spans="1:8" x14ac:dyDescent="0.35">
      <c r="A2473" s="5" t="str">
        <f>IFERROR(IF(Portafolio_Proyectos!$AR824="","","CAP-"&amp;ROW()-1),"")</f>
        <v/>
      </c>
      <c r="B2473" s="5" t="str">
        <f>IFERROR(IF(Portafolio_Proyectos!$AR824="","",Portafolio_Proyectos!$AR824),"")</f>
        <v/>
      </c>
      <c r="C2473" s="5" t="str">
        <f>IFERROR(IF(Portafolio_Proyectos!$AR824="","","Distintiva"),"")</f>
        <v/>
      </c>
      <c r="D2473" s="5" t="str">
        <f>IFERROR(IF(Portafolio_Proyectos!$AR824="","",Portafolio_Proyectos!$C824),"")</f>
        <v/>
      </c>
      <c r="E2473" s="5" t="str">
        <f>IFERROR(IF(Portafolio_Proyectos!$AR824="","",Portafolio_Proyectos!$B824),"")</f>
        <v/>
      </c>
      <c r="F2473" s="5" t="str">
        <f>IFERROR(IF(Portafolio_Proyectos!$AR824="","",Portafolio_Proyectos!$D824),"")</f>
        <v/>
      </c>
      <c r="G2473" s="5" t="str">
        <f>IFERROR(IF(Portafolio_Proyectos!$AR824="","",Portafolio_Proyectos!$A824),"")</f>
        <v/>
      </c>
      <c r="H2473" s="5" t="str">
        <f>IFERROR(IF(Portafolio_Proyectos!$AR824="","",Portafolio_Proyectos!$E824),"")</f>
        <v/>
      </c>
    </row>
    <row r="2474" spans="1:8" x14ac:dyDescent="0.35">
      <c r="A2474" s="5" t="str">
        <f>IFERROR(IF(Portafolio_Proyectos!$AP825="","","CAP-"&amp;ROW()-1),"")</f>
        <v/>
      </c>
      <c r="B2474" s="5" t="str">
        <f>IFERROR(IF(Portafolio_Proyectos!$AP825="","",Portafolio_Proyectos!$AP825),"")</f>
        <v/>
      </c>
      <c r="C2474" s="5" t="str">
        <f>IFERROR(IF(Portafolio_Proyectos!$AP825="","","Emergente"),"")</f>
        <v/>
      </c>
      <c r="D2474" s="5" t="str">
        <f>IFERROR(IF(Portafolio_Proyectos!$AP825="","",Portafolio_Proyectos!$C825),"")</f>
        <v/>
      </c>
      <c r="E2474" s="5" t="str">
        <f>IFERROR(IF(Portafolio_Proyectos!$AP825="","",Portafolio_Proyectos!$B825),"")</f>
        <v/>
      </c>
      <c r="F2474" s="5" t="str">
        <f>IFERROR(IF(Portafolio_Proyectos!$AP825="","",Portafolio_Proyectos!$D825),"")</f>
        <v/>
      </c>
      <c r="G2474" s="5" t="str">
        <f>IFERROR(IF(Portafolio_Proyectos!$AP825="","",Portafolio_Proyectos!$A825),"")</f>
        <v/>
      </c>
      <c r="H2474" s="5" t="str">
        <f>IFERROR(IF(Portafolio_Proyectos!$AP825="","",Portafolio_Proyectos!$E825),"")</f>
        <v/>
      </c>
    </row>
    <row r="2475" spans="1:8" x14ac:dyDescent="0.35">
      <c r="A2475" s="5" t="str">
        <f>IFERROR(IF(Portafolio_Proyectos!$AQ825="","","CAP-"&amp;ROW()-1),"")</f>
        <v/>
      </c>
      <c r="B2475" s="5" t="str">
        <f>IFERROR(IF(Portafolio_Proyectos!$AQ825="","",Portafolio_Proyectos!$AQ825),"")</f>
        <v/>
      </c>
      <c r="C2475" s="5" t="str">
        <f>IFERROR(IF(Portafolio_Proyectos!$AQ825="","","Consolidada"),"")</f>
        <v/>
      </c>
      <c r="D2475" s="5" t="str">
        <f>IFERROR(IF(Portafolio_Proyectos!$AQ825="","",Portafolio_Proyectos!$C825),"")</f>
        <v/>
      </c>
      <c r="E2475" s="5" t="str">
        <f>IFERROR(IF(Portafolio_Proyectos!$AQ825="","",Portafolio_Proyectos!$B825),"")</f>
        <v/>
      </c>
      <c r="F2475" s="5" t="str">
        <f>IFERROR(IF(Portafolio_Proyectos!$AQ825="","",Portafolio_Proyectos!$D825),"")</f>
        <v/>
      </c>
      <c r="G2475" s="5" t="str">
        <f>IFERROR(IF(Portafolio_Proyectos!$AQ825="","",Portafolio_Proyectos!$A825),"")</f>
        <v/>
      </c>
      <c r="H2475" s="5" t="str">
        <f>IFERROR(IF(Portafolio_Proyectos!$AQ825="","",Portafolio_Proyectos!$E825),"")</f>
        <v/>
      </c>
    </row>
    <row r="2476" spans="1:8" x14ac:dyDescent="0.35">
      <c r="A2476" s="5" t="str">
        <f>IFERROR(IF(Portafolio_Proyectos!$AR825="","","CAP-"&amp;ROW()-1),"")</f>
        <v/>
      </c>
      <c r="B2476" s="5" t="str">
        <f>IFERROR(IF(Portafolio_Proyectos!$AR825="","",Portafolio_Proyectos!$AR825),"")</f>
        <v/>
      </c>
      <c r="C2476" s="5" t="str">
        <f>IFERROR(IF(Portafolio_Proyectos!$AR825="","","Distintiva"),"")</f>
        <v/>
      </c>
      <c r="D2476" s="5" t="str">
        <f>IFERROR(IF(Portafolio_Proyectos!$AR825="","",Portafolio_Proyectos!$C825),"")</f>
        <v/>
      </c>
      <c r="E2476" s="5" t="str">
        <f>IFERROR(IF(Portafolio_Proyectos!$AR825="","",Portafolio_Proyectos!$B825),"")</f>
        <v/>
      </c>
      <c r="F2476" s="5" t="str">
        <f>IFERROR(IF(Portafolio_Proyectos!$AR825="","",Portafolio_Proyectos!$D825),"")</f>
        <v/>
      </c>
      <c r="G2476" s="5" t="str">
        <f>IFERROR(IF(Portafolio_Proyectos!$AR825="","",Portafolio_Proyectos!$A825),"")</f>
        <v/>
      </c>
      <c r="H2476" s="5" t="str">
        <f>IFERROR(IF(Portafolio_Proyectos!$AR825="","",Portafolio_Proyectos!$E825),"")</f>
        <v/>
      </c>
    </row>
    <row r="2477" spans="1:8" x14ac:dyDescent="0.35">
      <c r="A2477" s="5" t="str">
        <f>IFERROR(IF(Portafolio_Proyectos!$AP826="","","CAP-"&amp;ROW()-1),"")</f>
        <v/>
      </c>
      <c r="B2477" s="5" t="str">
        <f>IFERROR(IF(Portafolio_Proyectos!$AP826="","",Portafolio_Proyectos!$AP826),"")</f>
        <v/>
      </c>
      <c r="C2477" s="5" t="str">
        <f>IFERROR(IF(Portafolio_Proyectos!$AP826="","","Emergente"),"")</f>
        <v/>
      </c>
      <c r="D2477" s="5" t="str">
        <f>IFERROR(IF(Portafolio_Proyectos!$AP826="","",Portafolio_Proyectos!$C826),"")</f>
        <v/>
      </c>
      <c r="E2477" s="5" t="str">
        <f>IFERROR(IF(Portafolio_Proyectos!$AP826="","",Portafolio_Proyectos!$B826),"")</f>
        <v/>
      </c>
      <c r="F2477" s="5" t="str">
        <f>IFERROR(IF(Portafolio_Proyectos!$AP826="","",Portafolio_Proyectos!$D826),"")</f>
        <v/>
      </c>
      <c r="G2477" s="5" t="str">
        <f>IFERROR(IF(Portafolio_Proyectos!$AP826="","",Portafolio_Proyectos!$A826),"")</f>
        <v/>
      </c>
      <c r="H2477" s="5" t="str">
        <f>IFERROR(IF(Portafolio_Proyectos!$AP826="","",Portafolio_Proyectos!$E826),"")</f>
        <v/>
      </c>
    </row>
    <row r="2478" spans="1:8" x14ac:dyDescent="0.35">
      <c r="A2478" s="5" t="str">
        <f>IFERROR(IF(Portafolio_Proyectos!$AQ826="","","CAP-"&amp;ROW()-1),"")</f>
        <v/>
      </c>
      <c r="B2478" s="5" t="str">
        <f>IFERROR(IF(Portafolio_Proyectos!$AQ826="","",Portafolio_Proyectos!$AQ826),"")</f>
        <v/>
      </c>
      <c r="C2478" s="5" t="str">
        <f>IFERROR(IF(Portafolio_Proyectos!$AQ826="","","Consolidada"),"")</f>
        <v/>
      </c>
      <c r="D2478" s="5" t="str">
        <f>IFERROR(IF(Portafolio_Proyectos!$AQ826="","",Portafolio_Proyectos!$C826),"")</f>
        <v/>
      </c>
      <c r="E2478" s="5" t="str">
        <f>IFERROR(IF(Portafolio_Proyectos!$AQ826="","",Portafolio_Proyectos!$B826),"")</f>
        <v/>
      </c>
      <c r="F2478" s="5" t="str">
        <f>IFERROR(IF(Portafolio_Proyectos!$AQ826="","",Portafolio_Proyectos!$D826),"")</f>
        <v/>
      </c>
      <c r="G2478" s="5" t="str">
        <f>IFERROR(IF(Portafolio_Proyectos!$AQ826="","",Portafolio_Proyectos!$A826),"")</f>
        <v/>
      </c>
      <c r="H2478" s="5" t="str">
        <f>IFERROR(IF(Portafolio_Proyectos!$AQ826="","",Portafolio_Proyectos!$E826),"")</f>
        <v/>
      </c>
    </row>
    <row r="2479" spans="1:8" x14ac:dyDescent="0.35">
      <c r="A2479" s="5" t="str">
        <f>IFERROR(IF(Portafolio_Proyectos!$AR826="","","CAP-"&amp;ROW()-1),"")</f>
        <v/>
      </c>
      <c r="B2479" s="5" t="str">
        <f>IFERROR(IF(Portafolio_Proyectos!$AR826="","",Portafolio_Proyectos!$AR826),"")</f>
        <v/>
      </c>
      <c r="C2479" s="5" t="str">
        <f>IFERROR(IF(Portafolio_Proyectos!$AR826="","","Distintiva"),"")</f>
        <v/>
      </c>
      <c r="D2479" s="5" t="str">
        <f>IFERROR(IF(Portafolio_Proyectos!$AR826="","",Portafolio_Proyectos!$C826),"")</f>
        <v/>
      </c>
      <c r="E2479" s="5" t="str">
        <f>IFERROR(IF(Portafolio_Proyectos!$AR826="","",Portafolio_Proyectos!$B826),"")</f>
        <v/>
      </c>
      <c r="F2479" s="5" t="str">
        <f>IFERROR(IF(Portafolio_Proyectos!$AR826="","",Portafolio_Proyectos!$D826),"")</f>
        <v/>
      </c>
      <c r="G2479" s="5" t="str">
        <f>IFERROR(IF(Portafolio_Proyectos!$AR826="","",Portafolio_Proyectos!$A826),"")</f>
        <v/>
      </c>
      <c r="H2479" s="5" t="str">
        <f>IFERROR(IF(Portafolio_Proyectos!$AR826="","",Portafolio_Proyectos!$E826),"")</f>
        <v/>
      </c>
    </row>
    <row r="2480" spans="1:8" x14ac:dyDescent="0.35">
      <c r="A2480" s="5" t="str">
        <f>IFERROR(IF(Portafolio_Proyectos!$AP827="","","CAP-"&amp;ROW()-1),"")</f>
        <v/>
      </c>
      <c r="B2480" s="5" t="str">
        <f>IFERROR(IF(Portafolio_Proyectos!$AP827="","",Portafolio_Proyectos!$AP827),"")</f>
        <v/>
      </c>
      <c r="C2480" s="5" t="str">
        <f>IFERROR(IF(Portafolio_Proyectos!$AP827="","","Emergente"),"")</f>
        <v/>
      </c>
      <c r="D2480" s="5" t="str">
        <f>IFERROR(IF(Portafolio_Proyectos!$AP827="","",Portafolio_Proyectos!$C827),"")</f>
        <v/>
      </c>
      <c r="E2480" s="5" t="str">
        <f>IFERROR(IF(Portafolio_Proyectos!$AP827="","",Portafolio_Proyectos!$B827),"")</f>
        <v/>
      </c>
      <c r="F2480" s="5" t="str">
        <f>IFERROR(IF(Portafolio_Proyectos!$AP827="","",Portafolio_Proyectos!$D827),"")</f>
        <v/>
      </c>
      <c r="G2480" s="5" t="str">
        <f>IFERROR(IF(Portafolio_Proyectos!$AP827="","",Portafolio_Proyectos!$A827),"")</f>
        <v/>
      </c>
      <c r="H2480" s="5" t="str">
        <f>IFERROR(IF(Portafolio_Proyectos!$AP827="","",Portafolio_Proyectos!$E827),"")</f>
        <v/>
      </c>
    </row>
    <row r="2481" spans="1:8" x14ac:dyDescent="0.35">
      <c r="A2481" s="5" t="str">
        <f>IFERROR(IF(Portafolio_Proyectos!$AQ827="","","CAP-"&amp;ROW()-1),"")</f>
        <v/>
      </c>
      <c r="B2481" s="5" t="str">
        <f>IFERROR(IF(Portafolio_Proyectos!$AQ827="","",Portafolio_Proyectos!$AQ827),"")</f>
        <v/>
      </c>
      <c r="C2481" s="5" t="str">
        <f>IFERROR(IF(Portafolio_Proyectos!$AQ827="","","Consolidada"),"")</f>
        <v/>
      </c>
      <c r="D2481" s="5" t="str">
        <f>IFERROR(IF(Portafolio_Proyectos!$AQ827="","",Portafolio_Proyectos!$C827),"")</f>
        <v/>
      </c>
      <c r="E2481" s="5" t="str">
        <f>IFERROR(IF(Portafolio_Proyectos!$AQ827="","",Portafolio_Proyectos!$B827),"")</f>
        <v/>
      </c>
      <c r="F2481" s="5" t="str">
        <f>IFERROR(IF(Portafolio_Proyectos!$AQ827="","",Portafolio_Proyectos!$D827),"")</f>
        <v/>
      </c>
      <c r="G2481" s="5" t="str">
        <f>IFERROR(IF(Portafolio_Proyectos!$AQ827="","",Portafolio_Proyectos!$A827),"")</f>
        <v/>
      </c>
      <c r="H2481" s="5" t="str">
        <f>IFERROR(IF(Portafolio_Proyectos!$AQ827="","",Portafolio_Proyectos!$E827),"")</f>
        <v/>
      </c>
    </row>
    <row r="2482" spans="1:8" x14ac:dyDescent="0.35">
      <c r="A2482" s="5" t="str">
        <f>IFERROR(IF(Portafolio_Proyectos!$AR827="","","CAP-"&amp;ROW()-1),"")</f>
        <v/>
      </c>
      <c r="B2482" s="5" t="str">
        <f>IFERROR(IF(Portafolio_Proyectos!$AR827="","",Portafolio_Proyectos!$AR827),"")</f>
        <v/>
      </c>
      <c r="C2482" s="5" t="str">
        <f>IFERROR(IF(Portafolio_Proyectos!$AR827="","","Distintiva"),"")</f>
        <v/>
      </c>
      <c r="D2482" s="5" t="str">
        <f>IFERROR(IF(Portafolio_Proyectos!$AR827="","",Portafolio_Proyectos!$C827),"")</f>
        <v/>
      </c>
      <c r="E2482" s="5" t="str">
        <f>IFERROR(IF(Portafolio_Proyectos!$AR827="","",Portafolio_Proyectos!$B827),"")</f>
        <v/>
      </c>
      <c r="F2482" s="5" t="str">
        <f>IFERROR(IF(Portafolio_Proyectos!$AR827="","",Portafolio_Proyectos!$D827),"")</f>
        <v/>
      </c>
      <c r="G2482" s="5" t="str">
        <f>IFERROR(IF(Portafolio_Proyectos!$AR827="","",Portafolio_Proyectos!$A827),"")</f>
        <v/>
      </c>
      <c r="H2482" s="5" t="str">
        <f>IFERROR(IF(Portafolio_Proyectos!$AR827="","",Portafolio_Proyectos!$E827),"")</f>
        <v/>
      </c>
    </row>
    <row r="2483" spans="1:8" x14ac:dyDescent="0.35">
      <c r="A2483" s="5" t="str">
        <f>IFERROR(IF(Portafolio_Proyectos!$AP828="","","CAP-"&amp;ROW()-1),"")</f>
        <v/>
      </c>
      <c r="B2483" s="5" t="str">
        <f>IFERROR(IF(Portafolio_Proyectos!$AP828="","",Portafolio_Proyectos!$AP828),"")</f>
        <v/>
      </c>
      <c r="C2483" s="5" t="str">
        <f>IFERROR(IF(Portafolio_Proyectos!$AP828="","","Emergente"),"")</f>
        <v/>
      </c>
      <c r="D2483" s="5" t="str">
        <f>IFERROR(IF(Portafolio_Proyectos!$AP828="","",Portafolio_Proyectos!$C828),"")</f>
        <v/>
      </c>
      <c r="E2483" s="5" t="str">
        <f>IFERROR(IF(Portafolio_Proyectos!$AP828="","",Portafolio_Proyectos!$B828),"")</f>
        <v/>
      </c>
      <c r="F2483" s="5" t="str">
        <f>IFERROR(IF(Portafolio_Proyectos!$AP828="","",Portafolio_Proyectos!$D828),"")</f>
        <v/>
      </c>
      <c r="G2483" s="5" t="str">
        <f>IFERROR(IF(Portafolio_Proyectos!$AP828="","",Portafolio_Proyectos!$A828),"")</f>
        <v/>
      </c>
      <c r="H2483" s="5" t="str">
        <f>IFERROR(IF(Portafolio_Proyectos!$AP828="","",Portafolio_Proyectos!$E828),"")</f>
        <v/>
      </c>
    </row>
    <row r="2484" spans="1:8" x14ac:dyDescent="0.35">
      <c r="A2484" s="5" t="str">
        <f>IFERROR(IF(Portafolio_Proyectos!$AQ828="","","CAP-"&amp;ROW()-1),"")</f>
        <v/>
      </c>
      <c r="B2484" s="5" t="str">
        <f>IFERROR(IF(Portafolio_Proyectos!$AQ828="","",Portafolio_Proyectos!$AQ828),"")</f>
        <v/>
      </c>
      <c r="C2484" s="5" t="str">
        <f>IFERROR(IF(Portafolio_Proyectos!$AQ828="","","Consolidada"),"")</f>
        <v/>
      </c>
      <c r="D2484" s="5" t="str">
        <f>IFERROR(IF(Portafolio_Proyectos!$AQ828="","",Portafolio_Proyectos!$C828),"")</f>
        <v/>
      </c>
      <c r="E2484" s="5" t="str">
        <f>IFERROR(IF(Portafolio_Proyectos!$AQ828="","",Portafolio_Proyectos!$B828),"")</f>
        <v/>
      </c>
      <c r="F2484" s="5" t="str">
        <f>IFERROR(IF(Portafolio_Proyectos!$AQ828="","",Portafolio_Proyectos!$D828),"")</f>
        <v/>
      </c>
      <c r="G2484" s="5" t="str">
        <f>IFERROR(IF(Portafolio_Proyectos!$AQ828="","",Portafolio_Proyectos!$A828),"")</f>
        <v/>
      </c>
      <c r="H2484" s="5" t="str">
        <f>IFERROR(IF(Portafolio_Proyectos!$AQ828="","",Portafolio_Proyectos!$E828),"")</f>
        <v/>
      </c>
    </row>
    <row r="2485" spans="1:8" x14ac:dyDescent="0.35">
      <c r="A2485" s="5" t="str">
        <f>IFERROR(IF(Portafolio_Proyectos!$AR828="","","CAP-"&amp;ROW()-1),"")</f>
        <v/>
      </c>
      <c r="B2485" s="5" t="str">
        <f>IFERROR(IF(Portafolio_Proyectos!$AR828="","",Portafolio_Proyectos!$AR828),"")</f>
        <v/>
      </c>
      <c r="C2485" s="5" t="str">
        <f>IFERROR(IF(Portafolio_Proyectos!$AR828="","","Distintiva"),"")</f>
        <v/>
      </c>
      <c r="D2485" s="5" t="str">
        <f>IFERROR(IF(Portafolio_Proyectos!$AR828="","",Portafolio_Proyectos!$C828),"")</f>
        <v/>
      </c>
      <c r="E2485" s="5" t="str">
        <f>IFERROR(IF(Portafolio_Proyectos!$AR828="","",Portafolio_Proyectos!$B828),"")</f>
        <v/>
      </c>
      <c r="F2485" s="5" t="str">
        <f>IFERROR(IF(Portafolio_Proyectos!$AR828="","",Portafolio_Proyectos!$D828),"")</f>
        <v/>
      </c>
      <c r="G2485" s="5" t="str">
        <f>IFERROR(IF(Portafolio_Proyectos!$AR828="","",Portafolio_Proyectos!$A828),"")</f>
        <v/>
      </c>
      <c r="H2485" s="5" t="str">
        <f>IFERROR(IF(Portafolio_Proyectos!$AR828="","",Portafolio_Proyectos!$E828),"")</f>
        <v/>
      </c>
    </row>
    <row r="2486" spans="1:8" x14ac:dyDescent="0.35">
      <c r="A2486" s="5" t="str">
        <f>IFERROR(IF(Portafolio_Proyectos!$AP829="","","CAP-"&amp;ROW()-1),"")</f>
        <v/>
      </c>
      <c r="B2486" s="5" t="str">
        <f>IFERROR(IF(Portafolio_Proyectos!$AP829="","",Portafolio_Proyectos!$AP829),"")</f>
        <v/>
      </c>
      <c r="C2486" s="5" t="str">
        <f>IFERROR(IF(Portafolio_Proyectos!$AP829="","","Emergente"),"")</f>
        <v/>
      </c>
      <c r="D2486" s="5" t="str">
        <f>IFERROR(IF(Portafolio_Proyectos!$AP829="","",Portafolio_Proyectos!$C829),"")</f>
        <v/>
      </c>
      <c r="E2486" s="5" t="str">
        <f>IFERROR(IF(Portafolio_Proyectos!$AP829="","",Portafolio_Proyectos!$B829),"")</f>
        <v/>
      </c>
      <c r="F2486" s="5" t="str">
        <f>IFERROR(IF(Portafolio_Proyectos!$AP829="","",Portafolio_Proyectos!$D829),"")</f>
        <v/>
      </c>
      <c r="G2486" s="5" t="str">
        <f>IFERROR(IF(Portafolio_Proyectos!$AP829="","",Portafolio_Proyectos!$A829),"")</f>
        <v/>
      </c>
      <c r="H2486" s="5" t="str">
        <f>IFERROR(IF(Portafolio_Proyectos!$AP829="","",Portafolio_Proyectos!$E829),"")</f>
        <v/>
      </c>
    </row>
    <row r="2487" spans="1:8" x14ac:dyDescent="0.35">
      <c r="A2487" s="5" t="str">
        <f>IFERROR(IF(Portafolio_Proyectos!$AQ829="","","CAP-"&amp;ROW()-1),"")</f>
        <v/>
      </c>
      <c r="B2487" s="5" t="str">
        <f>IFERROR(IF(Portafolio_Proyectos!$AQ829="","",Portafolio_Proyectos!$AQ829),"")</f>
        <v/>
      </c>
      <c r="C2487" s="5" t="str">
        <f>IFERROR(IF(Portafolio_Proyectos!$AQ829="","","Consolidada"),"")</f>
        <v/>
      </c>
      <c r="D2487" s="5" t="str">
        <f>IFERROR(IF(Portafolio_Proyectos!$AQ829="","",Portafolio_Proyectos!$C829),"")</f>
        <v/>
      </c>
      <c r="E2487" s="5" t="str">
        <f>IFERROR(IF(Portafolio_Proyectos!$AQ829="","",Portafolio_Proyectos!$B829),"")</f>
        <v/>
      </c>
      <c r="F2487" s="5" t="str">
        <f>IFERROR(IF(Portafolio_Proyectos!$AQ829="","",Portafolio_Proyectos!$D829),"")</f>
        <v/>
      </c>
      <c r="G2487" s="5" t="str">
        <f>IFERROR(IF(Portafolio_Proyectos!$AQ829="","",Portafolio_Proyectos!$A829),"")</f>
        <v/>
      </c>
      <c r="H2487" s="5" t="str">
        <f>IFERROR(IF(Portafolio_Proyectos!$AQ829="","",Portafolio_Proyectos!$E829),"")</f>
        <v/>
      </c>
    </row>
    <row r="2488" spans="1:8" x14ac:dyDescent="0.35">
      <c r="A2488" s="5" t="str">
        <f>IFERROR(IF(Portafolio_Proyectos!$AR829="","","CAP-"&amp;ROW()-1),"")</f>
        <v/>
      </c>
      <c r="B2488" s="5" t="str">
        <f>IFERROR(IF(Portafolio_Proyectos!$AR829="","",Portafolio_Proyectos!$AR829),"")</f>
        <v/>
      </c>
      <c r="C2488" s="5" t="str">
        <f>IFERROR(IF(Portafolio_Proyectos!$AR829="","","Distintiva"),"")</f>
        <v/>
      </c>
      <c r="D2488" s="5" t="str">
        <f>IFERROR(IF(Portafolio_Proyectos!$AR829="","",Portafolio_Proyectos!$C829),"")</f>
        <v/>
      </c>
      <c r="E2488" s="5" t="str">
        <f>IFERROR(IF(Portafolio_Proyectos!$AR829="","",Portafolio_Proyectos!$B829),"")</f>
        <v/>
      </c>
      <c r="F2488" s="5" t="str">
        <f>IFERROR(IF(Portafolio_Proyectos!$AR829="","",Portafolio_Proyectos!$D829),"")</f>
        <v/>
      </c>
      <c r="G2488" s="5" t="str">
        <f>IFERROR(IF(Portafolio_Proyectos!$AR829="","",Portafolio_Proyectos!$A829),"")</f>
        <v/>
      </c>
      <c r="H2488" s="5" t="str">
        <f>IFERROR(IF(Portafolio_Proyectos!$AR829="","",Portafolio_Proyectos!$E829),"")</f>
        <v/>
      </c>
    </row>
    <row r="2489" spans="1:8" x14ac:dyDescent="0.35">
      <c r="A2489" s="5" t="str">
        <f>IFERROR(IF(Portafolio_Proyectos!$AP830="","","CAP-"&amp;ROW()-1),"")</f>
        <v/>
      </c>
      <c r="B2489" s="5" t="str">
        <f>IFERROR(IF(Portafolio_Proyectos!$AP830="","",Portafolio_Proyectos!$AP830),"")</f>
        <v/>
      </c>
      <c r="C2489" s="5" t="str">
        <f>IFERROR(IF(Portafolio_Proyectos!$AP830="","","Emergente"),"")</f>
        <v/>
      </c>
      <c r="D2489" s="5" t="str">
        <f>IFERROR(IF(Portafolio_Proyectos!$AP830="","",Portafolio_Proyectos!$C830),"")</f>
        <v/>
      </c>
      <c r="E2489" s="5" t="str">
        <f>IFERROR(IF(Portafolio_Proyectos!$AP830="","",Portafolio_Proyectos!$B830),"")</f>
        <v/>
      </c>
      <c r="F2489" s="5" t="str">
        <f>IFERROR(IF(Portafolio_Proyectos!$AP830="","",Portafolio_Proyectos!$D830),"")</f>
        <v/>
      </c>
      <c r="G2489" s="5" t="str">
        <f>IFERROR(IF(Portafolio_Proyectos!$AP830="","",Portafolio_Proyectos!$A830),"")</f>
        <v/>
      </c>
      <c r="H2489" s="5" t="str">
        <f>IFERROR(IF(Portafolio_Proyectos!$AP830="","",Portafolio_Proyectos!$E830),"")</f>
        <v/>
      </c>
    </row>
    <row r="2490" spans="1:8" x14ac:dyDescent="0.35">
      <c r="A2490" s="5" t="str">
        <f>IFERROR(IF(Portafolio_Proyectos!$AQ830="","","CAP-"&amp;ROW()-1),"")</f>
        <v/>
      </c>
      <c r="B2490" s="5" t="str">
        <f>IFERROR(IF(Portafolio_Proyectos!$AQ830="","",Portafolio_Proyectos!$AQ830),"")</f>
        <v/>
      </c>
      <c r="C2490" s="5" t="str">
        <f>IFERROR(IF(Portafolio_Proyectos!$AQ830="","","Consolidada"),"")</f>
        <v/>
      </c>
      <c r="D2490" s="5" t="str">
        <f>IFERROR(IF(Portafolio_Proyectos!$AQ830="","",Portafolio_Proyectos!$C830),"")</f>
        <v/>
      </c>
      <c r="E2490" s="5" t="str">
        <f>IFERROR(IF(Portafolio_Proyectos!$AQ830="","",Portafolio_Proyectos!$B830),"")</f>
        <v/>
      </c>
      <c r="F2490" s="5" t="str">
        <f>IFERROR(IF(Portafolio_Proyectos!$AQ830="","",Portafolio_Proyectos!$D830),"")</f>
        <v/>
      </c>
      <c r="G2490" s="5" t="str">
        <f>IFERROR(IF(Portafolio_Proyectos!$AQ830="","",Portafolio_Proyectos!$A830),"")</f>
        <v/>
      </c>
      <c r="H2490" s="5" t="str">
        <f>IFERROR(IF(Portafolio_Proyectos!$AQ830="","",Portafolio_Proyectos!$E830),"")</f>
        <v/>
      </c>
    </row>
    <row r="2491" spans="1:8" x14ac:dyDescent="0.35">
      <c r="A2491" s="5" t="str">
        <f>IFERROR(IF(Portafolio_Proyectos!$AR830="","","CAP-"&amp;ROW()-1),"")</f>
        <v/>
      </c>
      <c r="B2491" s="5" t="str">
        <f>IFERROR(IF(Portafolio_Proyectos!$AR830="","",Portafolio_Proyectos!$AR830),"")</f>
        <v/>
      </c>
      <c r="C2491" s="5" t="str">
        <f>IFERROR(IF(Portafolio_Proyectos!$AR830="","","Distintiva"),"")</f>
        <v/>
      </c>
      <c r="D2491" s="5" t="str">
        <f>IFERROR(IF(Portafolio_Proyectos!$AR830="","",Portafolio_Proyectos!$C830),"")</f>
        <v/>
      </c>
      <c r="E2491" s="5" t="str">
        <f>IFERROR(IF(Portafolio_Proyectos!$AR830="","",Portafolio_Proyectos!$B830),"")</f>
        <v/>
      </c>
      <c r="F2491" s="5" t="str">
        <f>IFERROR(IF(Portafolio_Proyectos!$AR830="","",Portafolio_Proyectos!$D830),"")</f>
        <v/>
      </c>
      <c r="G2491" s="5" t="str">
        <f>IFERROR(IF(Portafolio_Proyectos!$AR830="","",Portafolio_Proyectos!$A830),"")</f>
        <v/>
      </c>
      <c r="H2491" s="5" t="str">
        <f>IFERROR(IF(Portafolio_Proyectos!$AR830="","",Portafolio_Proyectos!$E830),"")</f>
        <v/>
      </c>
    </row>
    <row r="2492" spans="1:8" x14ac:dyDescent="0.35">
      <c r="A2492" s="5" t="str">
        <f>IFERROR(IF(Portafolio_Proyectos!$AP831="","","CAP-"&amp;ROW()-1),"")</f>
        <v/>
      </c>
      <c r="B2492" s="5" t="str">
        <f>IFERROR(IF(Portafolio_Proyectos!$AP831="","",Portafolio_Proyectos!$AP831),"")</f>
        <v/>
      </c>
      <c r="C2492" s="5" t="str">
        <f>IFERROR(IF(Portafolio_Proyectos!$AP831="","","Emergente"),"")</f>
        <v/>
      </c>
      <c r="D2492" s="5" t="str">
        <f>IFERROR(IF(Portafolio_Proyectos!$AP831="","",Portafolio_Proyectos!$C831),"")</f>
        <v/>
      </c>
      <c r="E2492" s="5" t="str">
        <f>IFERROR(IF(Portafolio_Proyectos!$AP831="","",Portafolio_Proyectos!$B831),"")</f>
        <v/>
      </c>
      <c r="F2492" s="5" t="str">
        <f>IFERROR(IF(Portafolio_Proyectos!$AP831="","",Portafolio_Proyectos!$D831),"")</f>
        <v/>
      </c>
      <c r="G2492" s="5" t="str">
        <f>IFERROR(IF(Portafolio_Proyectos!$AP831="","",Portafolio_Proyectos!$A831),"")</f>
        <v/>
      </c>
      <c r="H2492" s="5" t="str">
        <f>IFERROR(IF(Portafolio_Proyectos!$AP831="","",Portafolio_Proyectos!$E831),"")</f>
        <v/>
      </c>
    </row>
    <row r="2493" spans="1:8" x14ac:dyDescent="0.35">
      <c r="A2493" s="5" t="str">
        <f>IFERROR(IF(Portafolio_Proyectos!$AQ831="","","CAP-"&amp;ROW()-1),"")</f>
        <v/>
      </c>
      <c r="B2493" s="5" t="str">
        <f>IFERROR(IF(Portafolio_Proyectos!$AQ831="","",Portafolio_Proyectos!$AQ831),"")</f>
        <v/>
      </c>
      <c r="C2493" s="5" t="str">
        <f>IFERROR(IF(Portafolio_Proyectos!$AQ831="","","Consolidada"),"")</f>
        <v/>
      </c>
      <c r="D2493" s="5" t="str">
        <f>IFERROR(IF(Portafolio_Proyectos!$AQ831="","",Portafolio_Proyectos!$C831),"")</f>
        <v/>
      </c>
      <c r="E2493" s="5" t="str">
        <f>IFERROR(IF(Portafolio_Proyectos!$AQ831="","",Portafolio_Proyectos!$B831),"")</f>
        <v/>
      </c>
      <c r="F2493" s="5" t="str">
        <f>IFERROR(IF(Portafolio_Proyectos!$AQ831="","",Portafolio_Proyectos!$D831),"")</f>
        <v/>
      </c>
      <c r="G2493" s="5" t="str">
        <f>IFERROR(IF(Portafolio_Proyectos!$AQ831="","",Portafolio_Proyectos!$A831),"")</f>
        <v/>
      </c>
      <c r="H2493" s="5" t="str">
        <f>IFERROR(IF(Portafolio_Proyectos!$AQ831="","",Portafolio_Proyectos!$E831),"")</f>
        <v/>
      </c>
    </row>
    <row r="2494" spans="1:8" x14ac:dyDescent="0.35">
      <c r="A2494" s="5" t="str">
        <f>IFERROR(IF(Portafolio_Proyectos!$AR831="","","CAP-"&amp;ROW()-1),"")</f>
        <v/>
      </c>
      <c r="B2494" s="5" t="str">
        <f>IFERROR(IF(Portafolio_Proyectos!$AR831="","",Portafolio_Proyectos!$AR831),"")</f>
        <v/>
      </c>
      <c r="C2494" s="5" t="str">
        <f>IFERROR(IF(Portafolio_Proyectos!$AR831="","","Distintiva"),"")</f>
        <v/>
      </c>
      <c r="D2494" s="5" t="str">
        <f>IFERROR(IF(Portafolio_Proyectos!$AR831="","",Portafolio_Proyectos!$C831),"")</f>
        <v/>
      </c>
      <c r="E2494" s="5" t="str">
        <f>IFERROR(IF(Portafolio_Proyectos!$AR831="","",Portafolio_Proyectos!$B831),"")</f>
        <v/>
      </c>
      <c r="F2494" s="5" t="str">
        <f>IFERROR(IF(Portafolio_Proyectos!$AR831="","",Portafolio_Proyectos!$D831),"")</f>
        <v/>
      </c>
      <c r="G2494" s="5" t="str">
        <f>IFERROR(IF(Portafolio_Proyectos!$AR831="","",Portafolio_Proyectos!$A831),"")</f>
        <v/>
      </c>
      <c r="H2494" s="5" t="str">
        <f>IFERROR(IF(Portafolio_Proyectos!$AR831="","",Portafolio_Proyectos!$E831),"")</f>
        <v/>
      </c>
    </row>
    <row r="2495" spans="1:8" x14ac:dyDescent="0.35">
      <c r="A2495" s="5" t="str">
        <f>IFERROR(IF(Portafolio_Proyectos!$AP832="","","CAP-"&amp;ROW()-1),"")</f>
        <v/>
      </c>
      <c r="B2495" s="5" t="str">
        <f>IFERROR(IF(Portafolio_Proyectos!$AP832="","",Portafolio_Proyectos!$AP832),"")</f>
        <v/>
      </c>
      <c r="C2495" s="5" t="str">
        <f>IFERROR(IF(Portafolio_Proyectos!$AP832="","","Emergente"),"")</f>
        <v/>
      </c>
      <c r="D2495" s="5" t="str">
        <f>IFERROR(IF(Portafolio_Proyectos!$AP832="","",Portafolio_Proyectos!$C832),"")</f>
        <v/>
      </c>
      <c r="E2495" s="5" t="str">
        <f>IFERROR(IF(Portafolio_Proyectos!$AP832="","",Portafolio_Proyectos!$B832),"")</f>
        <v/>
      </c>
      <c r="F2495" s="5" t="str">
        <f>IFERROR(IF(Portafolio_Proyectos!$AP832="","",Portafolio_Proyectos!$D832),"")</f>
        <v/>
      </c>
      <c r="G2495" s="5" t="str">
        <f>IFERROR(IF(Portafolio_Proyectos!$AP832="","",Portafolio_Proyectos!$A832),"")</f>
        <v/>
      </c>
      <c r="H2495" s="5" t="str">
        <f>IFERROR(IF(Portafolio_Proyectos!$AP832="","",Portafolio_Proyectos!$E832),"")</f>
        <v/>
      </c>
    </row>
    <row r="2496" spans="1:8" x14ac:dyDescent="0.35">
      <c r="A2496" s="5" t="str">
        <f>IFERROR(IF(Portafolio_Proyectos!$AQ832="","","CAP-"&amp;ROW()-1),"")</f>
        <v/>
      </c>
      <c r="B2496" s="5" t="str">
        <f>IFERROR(IF(Portafolio_Proyectos!$AQ832="","",Portafolio_Proyectos!$AQ832),"")</f>
        <v/>
      </c>
      <c r="C2496" s="5" t="str">
        <f>IFERROR(IF(Portafolio_Proyectos!$AQ832="","","Consolidada"),"")</f>
        <v/>
      </c>
      <c r="D2496" s="5" t="str">
        <f>IFERROR(IF(Portafolio_Proyectos!$AQ832="","",Portafolio_Proyectos!$C832),"")</f>
        <v/>
      </c>
      <c r="E2496" s="5" t="str">
        <f>IFERROR(IF(Portafolio_Proyectos!$AQ832="","",Portafolio_Proyectos!$B832),"")</f>
        <v/>
      </c>
      <c r="F2496" s="5" t="str">
        <f>IFERROR(IF(Portafolio_Proyectos!$AQ832="","",Portafolio_Proyectos!$D832),"")</f>
        <v/>
      </c>
      <c r="G2496" s="5" t="str">
        <f>IFERROR(IF(Portafolio_Proyectos!$AQ832="","",Portafolio_Proyectos!$A832),"")</f>
        <v/>
      </c>
      <c r="H2496" s="5" t="str">
        <f>IFERROR(IF(Portafolio_Proyectos!$AQ832="","",Portafolio_Proyectos!$E832),"")</f>
        <v/>
      </c>
    </row>
    <row r="2497" spans="1:8" x14ac:dyDescent="0.35">
      <c r="A2497" s="5" t="str">
        <f>IFERROR(IF(Portafolio_Proyectos!$AR832="","","CAP-"&amp;ROW()-1),"")</f>
        <v/>
      </c>
      <c r="B2497" s="5" t="str">
        <f>IFERROR(IF(Portafolio_Proyectos!$AR832="","",Portafolio_Proyectos!$AR832),"")</f>
        <v/>
      </c>
      <c r="C2497" s="5" t="str">
        <f>IFERROR(IF(Portafolio_Proyectos!$AR832="","","Distintiva"),"")</f>
        <v/>
      </c>
      <c r="D2497" s="5" t="str">
        <f>IFERROR(IF(Portafolio_Proyectos!$AR832="","",Portafolio_Proyectos!$C832),"")</f>
        <v/>
      </c>
      <c r="E2497" s="5" t="str">
        <f>IFERROR(IF(Portafolio_Proyectos!$AR832="","",Portafolio_Proyectos!$B832),"")</f>
        <v/>
      </c>
      <c r="F2497" s="5" t="str">
        <f>IFERROR(IF(Portafolio_Proyectos!$AR832="","",Portafolio_Proyectos!$D832),"")</f>
        <v/>
      </c>
      <c r="G2497" s="5" t="str">
        <f>IFERROR(IF(Portafolio_Proyectos!$AR832="","",Portafolio_Proyectos!$A832),"")</f>
        <v/>
      </c>
      <c r="H2497" s="5" t="str">
        <f>IFERROR(IF(Portafolio_Proyectos!$AR832="","",Portafolio_Proyectos!$E832),"")</f>
        <v/>
      </c>
    </row>
    <row r="2498" spans="1:8" x14ac:dyDescent="0.35">
      <c r="A2498" s="5" t="str">
        <f>IFERROR(IF(Portafolio_Proyectos!$AP833="","","CAP-"&amp;ROW()-1),"")</f>
        <v/>
      </c>
      <c r="B2498" s="5" t="str">
        <f>IFERROR(IF(Portafolio_Proyectos!$AP833="","",Portafolio_Proyectos!$AP833),"")</f>
        <v/>
      </c>
      <c r="C2498" s="5" t="str">
        <f>IFERROR(IF(Portafolio_Proyectos!$AP833="","","Emergente"),"")</f>
        <v/>
      </c>
      <c r="D2498" s="5" t="str">
        <f>IFERROR(IF(Portafolio_Proyectos!$AP833="","",Portafolio_Proyectos!$C833),"")</f>
        <v/>
      </c>
      <c r="E2498" s="5" t="str">
        <f>IFERROR(IF(Portafolio_Proyectos!$AP833="","",Portafolio_Proyectos!$B833),"")</f>
        <v/>
      </c>
      <c r="F2498" s="5" t="str">
        <f>IFERROR(IF(Portafolio_Proyectos!$AP833="","",Portafolio_Proyectos!$D833),"")</f>
        <v/>
      </c>
      <c r="G2498" s="5" t="str">
        <f>IFERROR(IF(Portafolio_Proyectos!$AP833="","",Portafolio_Proyectos!$A833),"")</f>
        <v/>
      </c>
      <c r="H2498" s="5" t="str">
        <f>IFERROR(IF(Portafolio_Proyectos!$AP833="","",Portafolio_Proyectos!$E833),"")</f>
        <v/>
      </c>
    </row>
    <row r="2499" spans="1:8" x14ac:dyDescent="0.35">
      <c r="A2499" s="5" t="str">
        <f>IFERROR(IF(Portafolio_Proyectos!$AQ833="","","CAP-"&amp;ROW()-1),"")</f>
        <v/>
      </c>
      <c r="B2499" s="5" t="str">
        <f>IFERROR(IF(Portafolio_Proyectos!$AQ833="","",Portafolio_Proyectos!$AQ833),"")</f>
        <v/>
      </c>
      <c r="C2499" s="5" t="str">
        <f>IFERROR(IF(Portafolio_Proyectos!$AQ833="","","Consolidada"),"")</f>
        <v/>
      </c>
      <c r="D2499" s="5" t="str">
        <f>IFERROR(IF(Portafolio_Proyectos!$AQ833="","",Portafolio_Proyectos!$C833),"")</f>
        <v/>
      </c>
      <c r="E2499" s="5" t="str">
        <f>IFERROR(IF(Portafolio_Proyectos!$AQ833="","",Portafolio_Proyectos!$B833),"")</f>
        <v/>
      </c>
      <c r="F2499" s="5" t="str">
        <f>IFERROR(IF(Portafolio_Proyectos!$AQ833="","",Portafolio_Proyectos!$D833),"")</f>
        <v/>
      </c>
      <c r="G2499" s="5" t="str">
        <f>IFERROR(IF(Portafolio_Proyectos!$AQ833="","",Portafolio_Proyectos!$A833),"")</f>
        <v/>
      </c>
      <c r="H2499" s="5" t="str">
        <f>IFERROR(IF(Portafolio_Proyectos!$AQ833="","",Portafolio_Proyectos!$E833),"")</f>
        <v/>
      </c>
    </row>
    <row r="2500" spans="1:8" x14ac:dyDescent="0.35">
      <c r="A2500" s="5" t="str">
        <f>IFERROR(IF(Portafolio_Proyectos!$AR833="","","CAP-"&amp;ROW()-1),"")</f>
        <v/>
      </c>
      <c r="B2500" s="5" t="str">
        <f>IFERROR(IF(Portafolio_Proyectos!$AR833="","",Portafolio_Proyectos!$AR833),"")</f>
        <v/>
      </c>
      <c r="C2500" s="5" t="str">
        <f>IFERROR(IF(Portafolio_Proyectos!$AR833="","","Distintiva"),"")</f>
        <v/>
      </c>
      <c r="D2500" s="5" t="str">
        <f>IFERROR(IF(Portafolio_Proyectos!$AR833="","",Portafolio_Proyectos!$C833),"")</f>
        <v/>
      </c>
      <c r="E2500" s="5" t="str">
        <f>IFERROR(IF(Portafolio_Proyectos!$AR833="","",Portafolio_Proyectos!$B833),"")</f>
        <v/>
      </c>
      <c r="F2500" s="5" t="str">
        <f>IFERROR(IF(Portafolio_Proyectos!$AR833="","",Portafolio_Proyectos!$D833),"")</f>
        <v/>
      </c>
      <c r="G2500" s="5" t="str">
        <f>IFERROR(IF(Portafolio_Proyectos!$AR833="","",Portafolio_Proyectos!$A833),"")</f>
        <v/>
      </c>
      <c r="H2500" s="5" t="str">
        <f>IFERROR(IF(Portafolio_Proyectos!$AR833="","",Portafolio_Proyectos!$E833),"")</f>
        <v/>
      </c>
    </row>
    <row r="2501" spans="1:8" x14ac:dyDescent="0.35">
      <c r="A2501" s="5" t="str">
        <f>IFERROR(IF(Portafolio_Proyectos!$AP834="","","CAP-"&amp;ROW()-1),"")</f>
        <v/>
      </c>
      <c r="B2501" s="5" t="str">
        <f>IFERROR(IF(Portafolio_Proyectos!$AP834="","",Portafolio_Proyectos!$AP834),"")</f>
        <v/>
      </c>
      <c r="C2501" s="5" t="str">
        <f>IFERROR(IF(Portafolio_Proyectos!$AP834="","","Emergente"),"")</f>
        <v/>
      </c>
      <c r="D2501" s="5" t="str">
        <f>IFERROR(IF(Portafolio_Proyectos!$AP834="","",Portafolio_Proyectos!$C834),"")</f>
        <v/>
      </c>
      <c r="E2501" s="5" t="str">
        <f>IFERROR(IF(Portafolio_Proyectos!$AP834="","",Portafolio_Proyectos!$B834),"")</f>
        <v/>
      </c>
      <c r="F2501" s="5" t="str">
        <f>IFERROR(IF(Portafolio_Proyectos!$AP834="","",Portafolio_Proyectos!$D834),"")</f>
        <v/>
      </c>
      <c r="G2501" s="5" t="str">
        <f>IFERROR(IF(Portafolio_Proyectos!$AP834="","",Portafolio_Proyectos!$A834),"")</f>
        <v/>
      </c>
      <c r="H2501" s="5" t="str">
        <f>IFERROR(IF(Portafolio_Proyectos!$AP834="","",Portafolio_Proyectos!$E834),"")</f>
        <v/>
      </c>
    </row>
    <row r="2502" spans="1:8" x14ac:dyDescent="0.35">
      <c r="A2502" s="5" t="str">
        <f>IFERROR(IF(Portafolio_Proyectos!$AQ834="","","CAP-"&amp;ROW()-1),"")</f>
        <v/>
      </c>
      <c r="B2502" s="5" t="str">
        <f>IFERROR(IF(Portafolio_Proyectos!$AQ834="","",Portafolio_Proyectos!$AQ834),"")</f>
        <v/>
      </c>
      <c r="C2502" s="5" t="str">
        <f>IFERROR(IF(Portafolio_Proyectos!$AQ834="","","Consolidada"),"")</f>
        <v/>
      </c>
      <c r="D2502" s="5" t="str">
        <f>IFERROR(IF(Portafolio_Proyectos!$AQ834="","",Portafolio_Proyectos!$C834),"")</f>
        <v/>
      </c>
      <c r="E2502" s="5" t="str">
        <f>IFERROR(IF(Portafolio_Proyectos!$AQ834="","",Portafolio_Proyectos!$B834),"")</f>
        <v/>
      </c>
      <c r="F2502" s="5" t="str">
        <f>IFERROR(IF(Portafolio_Proyectos!$AQ834="","",Portafolio_Proyectos!$D834),"")</f>
        <v/>
      </c>
      <c r="G2502" s="5" t="str">
        <f>IFERROR(IF(Portafolio_Proyectos!$AQ834="","",Portafolio_Proyectos!$A834),"")</f>
        <v/>
      </c>
      <c r="H2502" s="5" t="str">
        <f>IFERROR(IF(Portafolio_Proyectos!$AQ834="","",Portafolio_Proyectos!$E834),"")</f>
        <v/>
      </c>
    </row>
    <row r="2503" spans="1:8" x14ac:dyDescent="0.35">
      <c r="A2503" s="5" t="str">
        <f>IFERROR(IF(Portafolio_Proyectos!$AR834="","","CAP-"&amp;ROW()-1),"")</f>
        <v/>
      </c>
      <c r="B2503" s="5" t="str">
        <f>IFERROR(IF(Portafolio_Proyectos!$AR834="","",Portafolio_Proyectos!$AR834),"")</f>
        <v/>
      </c>
      <c r="C2503" s="5" t="str">
        <f>IFERROR(IF(Portafolio_Proyectos!$AR834="","","Distintiva"),"")</f>
        <v/>
      </c>
      <c r="D2503" s="5" t="str">
        <f>IFERROR(IF(Portafolio_Proyectos!$AR834="","",Portafolio_Proyectos!$C834),"")</f>
        <v/>
      </c>
      <c r="E2503" s="5" t="str">
        <f>IFERROR(IF(Portafolio_Proyectos!$AR834="","",Portafolio_Proyectos!$B834),"")</f>
        <v/>
      </c>
      <c r="F2503" s="5" t="str">
        <f>IFERROR(IF(Portafolio_Proyectos!$AR834="","",Portafolio_Proyectos!$D834),"")</f>
        <v/>
      </c>
      <c r="G2503" s="5" t="str">
        <f>IFERROR(IF(Portafolio_Proyectos!$AR834="","",Portafolio_Proyectos!$A834),"")</f>
        <v/>
      </c>
      <c r="H2503" s="5" t="str">
        <f>IFERROR(IF(Portafolio_Proyectos!$AR834="","",Portafolio_Proyectos!$E834),"")</f>
        <v/>
      </c>
    </row>
    <row r="2504" spans="1:8" x14ac:dyDescent="0.35">
      <c r="A2504" s="5" t="str">
        <f>IFERROR(IF(Portafolio_Proyectos!$AP835="","","CAP-"&amp;ROW()-1),"")</f>
        <v/>
      </c>
      <c r="B2504" s="5" t="str">
        <f>IFERROR(IF(Portafolio_Proyectos!$AP835="","",Portafolio_Proyectos!$AP835),"")</f>
        <v/>
      </c>
      <c r="C2504" s="5" t="str">
        <f>IFERROR(IF(Portafolio_Proyectos!$AP835="","","Emergente"),"")</f>
        <v/>
      </c>
      <c r="D2504" s="5" t="str">
        <f>IFERROR(IF(Portafolio_Proyectos!$AP835="","",Portafolio_Proyectos!$C835),"")</f>
        <v/>
      </c>
      <c r="E2504" s="5" t="str">
        <f>IFERROR(IF(Portafolio_Proyectos!$AP835="","",Portafolio_Proyectos!$B835),"")</f>
        <v/>
      </c>
      <c r="F2504" s="5" t="str">
        <f>IFERROR(IF(Portafolio_Proyectos!$AP835="","",Portafolio_Proyectos!$D835),"")</f>
        <v/>
      </c>
      <c r="G2504" s="5" t="str">
        <f>IFERROR(IF(Portafolio_Proyectos!$AP835="","",Portafolio_Proyectos!$A835),"")</f>
        <v/>
      </c>
      <c r="H2504" s="5" t="str">
        <f>IFERROR(IF(Portafolio_Proyectos!$AP835="","",Portafolio_Proyectos!$E835),"")</f>
        <v/>
      </c>
    </row>
    <row r="2505" spans="1:8" x14ac:dyDescent="0.35">
      <c r="A2505" s="5" t="str">
        <f>IFERROR(IF(Portafolio_Proyectos!$AQ835="","","CAP-"&amp;ROW()-1),"")</f>
        <v/>
      </c>
      <c r="B2505" s="5" t="str">
        <f>IFERROR(IF(Portafolio_Proyectos!$AQ835="","",Portafolio_Proyectos!$AQ835),"")</f>
        <v/>
      </c>
      <c r="C2505" s="5" t="str">
        <f>IFERROR(IF(Portafolio_Proyectos!$AQ835="","","Consolidada"),"")</f>
        <v/>
      </c>
      <c r="D2505" s="5" t="str">
        <f>IFERROR(IF(Portafolio_Proyectos!$AQ835="","",Portafolio_Proyectos!$C835),"")</f>
        <v/>
      </c>
      <c r="E2505" s="5" t="str">
        <f>IFERROR(IF(Portafolio_Proyectos!$AQ835="","",Portafolio_Proyectos!$B835),"")</f>
        <v/>
      </c>
      <c r="F2505" s="5" t="str">
        <f>IFERROR(IF(Portafolio_Proyectos!$AQ835="","",Portafolio_Proyectos!$D835),"")</f>
        <v/>
      </c>
      <c r="G2505" s="5" t="str">
        <f>IFERROR(IF(Portafolio_Proyectos!$AQ835="","",Portafolio_Proyectos!$A835),"")</f>
        <v/>
      </c>
      <c r="H2505" s="5" t="str">
        <f>IFERROR(IF(Portafolio_Proyectos!$AQ835="","",Portafolio_Proyectos!$E835),"")</f>
        <v/>
      </c>
    </row>
    <row r="2506" spans="1:8" x14ac:dyDescent="0.35">
      <c r="A2506" s="5" t="str">
        <f>IFERROR(IF(Portafolio_Proyectos!$AR835="","","CAP-"&amp;ROW()-1),"")</f>
        <v/>
      </c>
      <c r="B2506" s="5" t="str">
        <f>IFERROR(IF(Portafolio_Proyectos!$AR835="","",Portafolio_Proyectos!$AR835),"")</f>
        <v/>
      </c>
      <c r="C2506" s="5" t="str">
        <f>IFERROR(IF(Portafolio_Proyectos!$AR835="","","Distintiva"),"")</f>
        <v/>
      </c>
      <c r="D2506" s="5" t="str">
        <f>IFERROR(IF(Portafolio_Proyectos!$AR835="","",Portafolio_Proyectos!$C835),"")</f>
        <v/>
      </c>
      <c r="E2506" s="5" t="str">
        <f>IFERROR(IF(Portafolio_Proyectos!$AR835="","",Portafolio_Proyectos!$B835),"")</f>
        <v/>
      </c>
      <c r="F2506" s="5" t="str">
        <f>IFERROR(IF(Portafolio_Proyectos!$AR835="","",Portafolio_Proyectos!$D835),"")</f>
        <v/>
      </c>
      <c r="G2506" s="5" t="str">
        <f>IFERROR(IF(Portafolio_Proyectos!$AR835="","",Portafolio_Proyectos!$A835),"")</f>
        <v/>
      </c>
      <c r="H2506" s="5" t="str">
        <f>IFERROR(IF(Portafolio_Proyectos!$AR835="","",Portafolio_Proyectos!$E835),"")</f>
        <v/>
      </c>
    </row>
    <row r="2507" spans="1:8" x14ac:dyDescent="0.35">
      <c r="A2507" s="5" t="str">
        <f>IFERROR(IF(Portafolio_Proyectos!$AP836="","","CAP-"&amp;ROW()-1),"")</f>
        <v/>
      </c>
      <c r="B2507" s="5" t="str">
        <f>IFERROR(IF(Portafolio_Proyectos!$AP836="","",Portafolio_Proyectos!$AP836),"")</f>
        <v/>
      </c>
      <c r="C2507" s="5" t="str">
        <f>IFERROR(IF(Portafolio_Proyectos!$AP836="","","Emergente"),"")</f>
        <v/>
      </c>
      <c r="D2507" s="5" t="str">
        <f>IFERROR(IF(Portafolio_Proyectos!$AP836="","",Portafolio_Proyectos!$C836),"")</f>
        <v/>
      </c>
      <c r="E2507" s="5" t="str">
        <f>IFERROR(IF(Portafolio_Proyectos!$AP836="","",Portafolio_Proyectos!$B836),"")</f>
        <v/>
      </c>
      <c r="F2507" s="5" t="str">
        <f>IFERROR(IF(Portafolio_Proyectos!$AP836="","",Portafolio_Proyectos!$D836),"")</f>
        <v/>
      </c>
      <c r="G2507" s="5" t="str">
        <f>IFERROR(IF(Portafolio_Proyectos!$AP836="","",Portafolio_Proyectos!$A836),"")</f>
        <v/>
      </c>
      <c r="H2507" s="5" t="str">
        <f>IFERROR(IF(Portafolio_Proyectos!$AP836="","",Portafolio_Proyectos!$E836),"")</f>
        <v/>
      </c>
    </row>
    <row r="2508" spans="1:8" x14ac:dyDescent="0.35">
      <c r="A2508" s="5" t="str">
        <f>IFERROR(IF(Portafolio_Proyectos!$AQ836="","","CAP-"&amp;ROW()-1),"")</f>
        <v/>
      </c>
      <c r="B2508" s="5" t="str">
        <f>IFERROR(IF(Portafolio_Proyectos!$AQ836="","",Portafolio_Proyectos!$AQ836),"")</f>
        <v/>
      </c>
      <c r="C2508" s="5" t="str">
        <f>IFERROR(IF(Portafolio_Proyectos!$AQ836="","","Consolidada"),"")</f>
        <v/>
      </c>
      <c r="D2508" s="5" t="str">
        <f>IFERROR(IF(Portafolio_Proyectos!$AQ836="","",Portafolio_Proyectos!$C836),"")</f>
        <v/>
      </c>
      <c r="E2508" s="5" t="str">
        <f>IFERROR(IF(Portafolio_Proyectos!$AQ836="","",Portafolio_Proyectos!$B836),"")</f>
        <v/>
      </c>
      <c r="F2508" s="5" t="str">
        <f>IFERROR(IF(Portafolio_Proyectos!$AQ836="","",Portafolio_Proyectos!$D836),"")</f>
        <v/>
      </c>
      <c r="G2508" s="5" t="str">
        <f>IFERROR(IF(Portafolio_Proyectos!$AQ836="","",Portafolio_Proyectos!$A836),"")</f>
        <v/>
      </c>
      <c r="H2508" s="5" t="str">
        <f>IFERROR(IF(Portafolio_Proyectos!$AQ836="","",Portafolio_Proyectos!$E836),"")</f>
        <v/>
      </c>
    </row>
    <row r="2509" spans="1:8" x14ac:dyDescent="0.35">
      <c r="A2509" s="5" t="str">
        <f>IFERROR(IF(Portafolio_Proyectos!$AR836="","","CAP-"&amp;ROW()-1),"")</f>
        <v/>
      </c>
      <c r="B2509" s="5" t="str">
        <f>IFERROR(IF(Portafolio_Proyectos!$AR836="","",Portafolio_Proyectos!$AR836),"")</f>
        <v/>
      </c>
      <c r="C2509" s="5" t="str">
        <f>IFERROR(IF(Portafolio_Proyectos!$AR836="","","Distintiva"),"")</f>
        <v/>
      </c>
      <c r="D2509" s="5" t="str">
        <f>IFERROR(IF(Portafolio_Proyectos!$AR836="","",Portafolio_Proyectos!$C836),"")</f>
        <v/>
      </c>
      <c r="E2509" s="5" t="str">
        <f>IFERROR(IF(Portafolio_Proyectos!$AR836="","",Portafolio_Proyectos!$B836),"")</f>
        <v/>
      </c>
      <c r="F2509" s="5" t="str">
        <f>IFERROR(IF(Portafolio_Proyectos!$AR836="","",Portafolio_Proyectos!$D836),"")</f>
        <v/>
      </c>
      <c r="G2509" s="5" t="str">
        <f>IFERROR(IF(Portafolio_Proyectos!$AR836="","",Portafolio_Proyectos!$A836),"")</f>
        <v/>
      </c>
      <c r="H2509" s="5" t="str">
        <f>IFERROR(IF(Portafolio_Proyectos!$AR836="","",Portafolio_Proyectos!$E836),"")</f>
        <v/>
      </c>
    </row>
    <row r="2510" spans="1:8" x14ac:dyDescent="0.35">
      <c r="A2510" s="5" t="str">
        <f>IFERROR(IF(Portafolio_Proyectos!$AP837="","","CAP-"&amp;ROW()-1),"")</f>
        <v/>
      </c>
      <c r="B2510" s="5" t="str">
        <f>IFERROR(IF(Portafolio_Proyectos!$AP837="","",Portafolio_Proyectos!$AP837),"")</f>
        <v/>
      </c>
      <c r="C2510" s="5" t="str">
        <f>IFERROR(IF(Portafolio_Proyectos!$AP837="","","Emergente"),"")</f>
        <v/>
      </c>
      <c r="D2510" s="5" t="str">
        <f>IFERROR(IF(Portafolio_Proyectos!$AP837="","",Portafolio_Proyectos!$C837),"")</f>
        <v/>
      </c>
      <c r="E2510" s="5" t="str">
        <f>IFERROR(IF(Portafolio_Proyectos!$AP837="","",Portafolio_Proyectos!$B837),"")</f>
        <v/>
      </c>
      <c r="F2510" s="5" t="str">
        <f>IFERROR(IF(Portafolio_Proyectos!$AP837="","",Portafolio_Proyectos!$D837),"")</f>
        <v/>
      </c>
      <c r="G2510" s="5" t="str">
        <f>IFERROR(IF(Portafolio_Proyectos!$AP837="","",Portafolio_Proyectos!$A837),"")</f>
        <v/>
      </c>
      <c r="H2510" s="5" t="str">
        <f>IFERROR(IF(Portafolio_Proyectos!$AP837="","",Portafolio_Proyectos!$E837),"")</f>
        <v/>
      </c>
    </row>
    <row r="2511" spans="1:8" x14ac:dyDescent="0.35">
      <c r="A2511" s="5" t="str">
        <f>IFERROR(IF(Portafolio_Proyectos!$AQ837="","","CAP-"&amp;ROW()-1),"")</f>
        <v/>
      </c>
      <c r="B2511" s="5" t="str">
        <f>IFERROR(IF(Portafolio_Proyectos!$AQ837="","",Portafolio_Proyectos!$AQ837),"")</f>
        <v/>
      </c>
      <c r="C2511" s="5" t="str">
        <f>IFERROR(IF(Portafolio_Proyectos!$AQ837="","","Consolidada"),"")</f>
        <v/>
      </c>
      <c r="D2511" s="5" t="str">
        <f>IFERROR(IF(Portafolio_Proyectos!$AQ837="","",Portafolio_Proyectos!$C837),"")</f>
        <v/>
      </c>
      <c r="E2511" s="5" t="str">
        <f>IFERROR(IF(Portafolio_Proyectos!$AQ837="","",Portafolio_Proyectos!$B837),"")</f>
        <v/>
      </c>
      <c r="F2511" s="5" t="str">
        <f>IFERROR(IF(Portafolio_Proyectos!$AQ837="","",Portafolio_Proyectos!$D837),"")</f>
        <v/>
      </c>
      <c r="G2511" s="5" t="str">
        <f>IFERROR(IF(Portafolio_Proyectos!$AQ837="","",Portafolio_Proyectos!$A837),"")</f>
        <v/>
      </c>
      <c r="H2511" s="5" t="str">
        <f>IFERROR(IF(Portafolio_Proyectos!$AQ837="","",Portafolio_Proyectos!$E837),"")</f>
        <v/>
      </c>
    </row>
    <row r="2512" spans="1:8" x14ac:dyDescent="0.35">
      <c r="A2512" s="5" t="str">
        <f>IFERROR(IF(Portafolio_Proyectos!$AR837="","","CAP-"&amp;ROW()-1),"")</f>
        <v/>
      </c>
      <c r="B2512" s="5" t="str">
        <f>IFERROR(IF(Portafolio_Proyectos!$AR837="","",Portafolio_Proyectos!$AR837),"")</f>
        <v/>
      </c>
      <c r="C2512" s="5" t="str">
        <f>IFERROR(IF(Portafolio_Proyectos!$AR837="","","Distintiva"),"")</f>
        <v/>
      </c>
      <c r="D2512" s="5" t="str">
        <f>IFERROR(IF(Portafolio_Proyectos!$AR837="","",Portafolio_Proyectos!$C837),"")</f>
        <v/>
      </c>
      <c r="E2512" s="5" t="str">
        <f>IFERROR(IF(Portafolio_Proyectos!$AR837="","",Portafolio_Proyectos!$B837),"")</f>
        <v/>
      </c>
      <c r="F2512" s="5" t="str">
        <f>IFERROR(IF(Portafolio_Proyectos!$AR837="","",Portafolio_Proyectos!$D837),"")</f>
        <v/>
      </c>
      <c r="G2512" s="5" t="str">
        <f>IFERROR(IF(Portafolio_Proyectos!$AR837="","",Portafolio_Proyectos!$A837),"")</f>
        <v/>
      </c>
      <c r="H2512" s="5" t="str">
        <f>IFERROR(IF(Portafolio_Proyectos!$AR837="","",Portafolio_Proyectos!$E837),"")</f>
        <v/>
      </c>
    </row>
    <row r="2513" spans="1:8" x14ac:dyDescent="0.35">
      <c r="A2513" s="5" t="str">
        <f>IFERROR(IF(Portafolio_Proyectos!$AP838="","","CAP-"&amp;ROW()-1),"")</f>
        <v/>
      </c>
      <c r="B2513" s="5" t="str">
        <f>IFERROR(IF(Portafolio_Proyectos!$AP838="","",Portafolio_Proyectos!$AP838),"")</f>
        <v/>
      </c>
      <c r="C2513" s="5" t="str">
        <f>IFERROR(IF(Portafolio_Proyectos!$AP838="","","Emergente"),"")</f>
        <v/>
      </c>
      <c r="D2513" s="5" t="str">
        <f>IFERROR(IF(Portafolio_Proyectos!$AP838="","",Portafolio_Proyectos!$C838),"")</f>
        <v/>
      </c>
      <c r="E2513" s="5" t="str">
        <f>IFERROR(IF(Portafolio_Proyectos!$AP838="","",Portafolio_Proyectos!$B838),"")</f>
        <v/>
      </c>
      <c r="F2513" s="5" t="str">
        <f>IFERROR(IF(Portafolio_Proyectos!$AP838="","",Portafolio_Proyectos!$D838),"")</f>
        <v/>
      </c>
      <c r="G2513" s="5" t="str">
        <f>IFERROR(IF(Portafolio_Proyectos!$AP838="","",Portafolio_Proyectos!$A838),"")</f>
        <v/>
      </c>
      <c r="H2513" s="5" t="str">
        <f>IFERROR(IF(Portafolio_Proyectos!$AP838="","",Portafolio_Proyectos!$E838),"")</f>
        <v/>
      </c>
    </row>
    <row r="2514" spans="1:8" x14ac:dyDescent="0.35">
      <c r="A2514" s="5" t="str">
        <f>IFERROR(IF(Portafolio_Proyectos!$AQ838="","","CAP-"&amp;ROW()-1),"")</f>
        <v/>
      </c>
      <c r="B2514" s="5" t="str">
        <f>IFERROR(IF(Portafolio_Proyectos!$AQ838="","",Portafolio_Proyectos!$AQ838),"")</f>
        <v/>
      </c>
      <c r="C2514" s="5" t="str">
        <f>IFERROR(IF(Portafolio_Proyectos!$AQ838="","","Consolidada"),"")</f>
        <v/>
      </c>
      <c r="D2514" s="5" t="str">
        <f>IFERROR(IF(Portafolio_Proyectos!$AQ838="","",Portafolio_Proyectos!$C838),"")</f>
        <v/>
      </c>
      <c r="E2514" s="5" t="str">
        <f>IFERROR(IF(Portafolio_Proyectos!$AQ838="","",Portafolio_Proyectos!$B838),"")</f>
        <v/>
      </c>
      <c r="F2514" s="5" t="str">
        <f>IFERROR(IF(Portafolio_Proyectos!$AQ838="","",Portafolio_Proyectos!$D838),"")</f>
        <v/>
      </c>
      <c r="G2514" s="5" t="str">
        <f>IFERROR(IF(Portafolio_Proyectos!$AQ838="","",Portafolio_Proyectos!$A838),"")</f>
        <v/>
      </c>
      <c r="H2514" s="5" t="str">
        <f>IFERROR(IF(Portafolio_Proyectos!$AQ838="","",Portafolio_Proyectos!$E838),"")</f>
        <v/>
      </c>
    </row>
    <row r="2515" spans="1:8" x14ac:dyDescent="0.35">
      <c r="A2515" s="5" t="str">
        <f>IFERROR(IF(Portafolio_Proyectos!$AR838="","","CAP-"&amp;ROW()-1),"")</f>
        <v/>
      </c>
      <c r="B2515" s="5" t="str">
        <f>IFERROR(IF(Portafolio_Proyectos!$AR838="","",Portafolio_Proyectos!$AR838),"")</f>
        <v/>
      </c>
      <c r="C2515" s="5" t="str">
        <f>IFERROR(IF(Portafolio_Proyectos!$AR838="","","Distintiva"),"")</f>
        <v/>
      </c>
      <c r="D2515" s="5" t="str">
        <f>IFERROR(IF(Portafolio_Proyectos!$AR838="","",Portafolio_Proyectos!$C838),"")</f>
        <v/>
      </c>
      <c r="E2515" s="5" t="str">
        <f>IFERROR(IF(Portafolio_Proyectos!$AR838="","",Portafolio_Proyectos!$B838),"")</f>
        <v/>
      </c>
      <c r="F2515" s="5" t="str">
        <f>IFERROR(IF(Portafolio_Proyectos!$AR838="","",Portafolio_Proyectos!$D838),"")</f>
        <v/>
      </c>
      <c r="G2515" s="5" t="str">
        <f>IFERROR(IF(Portafolio_Proyectos!$AR838="","",Portafolio_Proyectos!$A838),"")</f>
        <v/>
      </c>
      <c r="H2515" s="5" t="str">
        <f>IFERROR(IF(Portafolio_Proyectos!$AR838="","",Portafolio_Proyectos!$E838),"")</f>
        <v/>
      </c>
    </row>
    <row r="2516" spans="1:8" x14ac:dyDescent="0.35">
      <c r="A2516" s="5" t="str">
        <f>IFERROR(IF(Portafolio_Proyectos!$AP839="","","CAP-"&amp;ROW()-1),"")</f>
        <v/>
      </c>
      <c r="B2516" s="5" t="str">
        <f>IFERROR(IF(Portafolio_Proyectos!$AP839="","",Portafolio_Proyectos!$AP839),"")</f>
        <v/>
      </c>
      <c r="C2516" s="5" t="str">
        <f>IFERROR(IF(Portafolio_Proyectos!$AP839="","","Emergente"),"")</f>
        <v/>
      </c>
      <c r="D2516" s="5" t="str">
        <f>IFERROR(IF(Portafolio_Proyectos!$AP839="","",Portafolio_Proyectos!$C839),"")</f>
        <v/>
      </c>
      <c r="E2516" s="5" t="str">
        <f>IFERROR(IF(Portafolio_Proyectos!$AP839="","",Portafolio_Proyectos!$B839),"")</f>
        <v/>
      </c>
      <c r="F2516" s="5" t="str">
        <f>IFERROR(IF(Portafolio_Proyectos!$AP839="","",Portafolio_Proyectos!$D839),"")</f>
        <v/>
      </c>
      <c r="G2516" s="5" t="str">
        <f>IFERROR(IF(Portafolio_Proyectos!$AP839="","",Portafolio_Proyectos!$A839),"")</f>
        <v/>
      </c>
      <c r="H2516" s="5" t="str">
        <f>IFERROR(IF(Portafolio_Proyectos!$AP839="","",Portafolio_Proyectos!$E839),"")</f>
        <v/>
      </c>
    </row>
    <row r="2517" spans="1:8" x14ac:dyDescent="0.35">
      <c r="A2517" s="5" t="str">
        <f>IFERROR(IF(Portafolio_Proyectos!$AQ839="","","CAP-"&amp;ROW()-1),"")</f>
        <v/>
      </c>
      <c r="B2517" s="5" t="str">
        <f>IFERROR(IF(Portafolio_Proyectos!$AQ839="","",Portafolio_Proyectos!$AQ839),"")</f>
        <v/>
      </c>
      <c r="C2517" s="5" t="str">
        <f>IFERROR(IF(Portafolio_Proyectos!$AQ839="","","Consolidada"),"")</f>
        <v/>
      </c>
      <c r="D2517" s="5" t="str">
        <f>IFERROR(IF(Portafolio_Proyectos!$AQ839="","",Portafolio_Proyectos!$C839),"")</f>
        <v/>
      </c>
      <c r="E2517" s="5" t="str">
        <f>IFERROR(IF(Portafolio_Proyectos!$AQ839="","",Portafolio_Proyectos!$B839),"")</f>
        <v/>
      </c>
      <c r="F2517" s="5" t="str">
        <f>IFERROR(IF(Portafolio_Proyectos!$AQ839="","",Portafolio_Proyectos!$D839),"")</f>
        <v/>
      </c>
      <c r="G2517" s="5" t="str">
        <f>IFERROR(IF(Portafolio_Proyectos!$AQ839="","",Portafolio_Proyectos!$A839),"")</f>
        <v/>
      </c>
      <c r="H2517" s="5" t="str">
        <f>IFERROR(IF(Portafolio_Proyectos!$AQ839="","",Portafolio_Proyectos!$E839),"")</f>
        <v/>
      </c>
    </row>
    <row r="2518" spans="1:8" x14ac:dyDescent="0.35">
      <c r="A2518" s="5" t="str">
        <f>IFERROR(IF(Portafolio_Proyectos!$AR839="","","CAP-"&amp;ROW()-1),"")</f>
        <v/>
      </c>
      <c r="B2518" s="5" t="str">
        <f>IFERROR(IF(Portafolio_Proyectos!$AR839="","",Portafolio_Proyectos!$AR839),"")</f>
        <v/>
      </c>
      <c r="C2518" s="5" t="str">
        <f>IFERROR(IF(Portafolio_Proyectos!$AR839="","","Distintiva"),"")</f>
        <v/>
      </c>
      <c r="D2518" s="5" t="str">
        <f>IFERROR(IF(Portafolio_Proyectos!$AR839="","",Portafolio_Proyectos!$C839),"")</f>
        <v/>
      </c>
      <c r="E2518" s="5" t="str">
        <f>IFERROR(IF(Portafolio_Proyectos!$AR839="","",Portafolio_Proyectos!$B839),"")</f>
        <v/>
      </c>
      <c r="F2518" s="5" t="str">
        <f>IFERROR(IF(Portafolio_Proyectos!$AR839="","",Portafolio_Proyectos!$D839),"")</f>
        <v/>
      </c>
      <c r="G2518" s="5" t="str">
        <f>IFERROR(IF(Portafolio_Proyectos!$AR839="","",Portafolio_Proyectos!$A839),"")</f>
        <v/>
      </c>
      <c r="H2518" s="5" t="str">
        <f>IFERROR(IF(Portafolio_Proyectos!$AR839="","",Portafolio_Proyectos!$E839),"")</f>
        <v/>
      </c>
    </row>
    <row r="2519" spans="1:8" x14ac:dyDescent="0.35">
      <c r="A2519" s="5" t="str">
        <f>IFERROR(IF(Portafolio_Proyectos!$AP840="","","CAP-"&amp;ROW()-1),"")</f>
        <v/>
      </c>
      <c r="B2519" s="5" t="str">
        <f>IFERROR(IF(Portafolio_Proyectos!$AP840="","",Portafolio_Proyectos!$AP840),"")</f>
        <v/>
      </c>
      <c r="C2519" s="5" t="str">
        <f>IFERROR(IF(Portafolio_Proyectos!$AP840="","","Emergente"),"")</f>
        <v/>
      </c>
      <c r="D2519" s="5" t="str">
        <f>IFERROR(IF(Portafolio_Proyectos!$AP840="","",Portafolio_Proyectos!$C840),"")</f>
        <v/>
      </c>
      <c r="E2519" s="5" t="str">
        <f>IFERROR(IF(Portafolio_Proyectos!$AP840="","",Portafolio_Proyectos!$B840),"")</f>
        <v/>
      </c>
      <c r="F2519" s="5" t="str">
        <f>IFERROR(IF(Portafolio_Proyectos!$AP840="","",Portafolio_Proyectos!$D840),"")</f>
        <v/>
      </c>
      <c r="G2519" s="5" t="str">
        <f>IFERROR(IF(Portafolio_Proyectos!$AP840="","",Portafolio_Proyectos!$A840),"")</f>
        <v/>
      </c>
      <c r="H2519" s="5" t="str">
        <f>IFERROR(IF(Portafolio_Proyectos!$AP840="","",Portafolio_Proyectos!$E840),"")</f>
        <v/>
      </c>
    </row>
    <row r="2520" spans="1:8" x14ac:dyDescent="0.35">
      <c r="A2520" s="5" t="str">
        <f>IFERROR(IF(Portafolio_Proyectos!$AQ840="","","CAP-"&amp;ROW()-1),"")</f>
        <v/>
      </c>
      <c r="B2520" s="5" t="str">
        <f>IFERROR(IF(Portafolio_Proyectos!$AQ840="","",Portafolio_Proyectos!$AQ840),"")</f>
        <v/>
      </c>
      <c r="C2520" s="5" t="str">
        <f>IFERROR(IF(Portafolio_Proyectos!$AQ840="","","Consolidada"),"")</f>
        <v/>
      </c>
      <c r="D2520" s="5" t="str">
        <f>IFERROR(IF(Portafolio_Proyectos!$AQ840="","",Portafolio_Proyectos!$C840),"")</f>
        <v/>
      </c>
      <c r="E2520" s="5" t="str">
        <f>IFERROR(IF(Portafolio_Proyectos!$AQ840="","",Portafolio_Proyectos!$B840),"")</f>
        <v/>
      </c>
      <c r="F2520" s="5" t="str">
        <f>IFERROR(IF(Portafolio_Proyectos!$AQ840="","",Portafolio_Proyectos!$D840),"")</f>
        <v/>
      </c>
      <c r="G2520" s="5" t="str">
        <f>IFERROR(IF(Portafolio_Proyectos!$AQ840="","",Portafolio_Proyectos!$A840),"")</f>
        <v/>
      </c>
      <c r="H2520" s="5" t="str">
        <f>IFERROR(IF(Portafolio_Proyectos!$AQ840="","",Portafolio_Proyectos!$E840),"")</f>
        <v/>
      </c>
    </row>
    <row r="2521" spans="1:8" x14ac:dyDescent="0.35">
      <c r="A2521" s="5" t="str">
        <f>IFERROR(IF(Portafolio_Proyectos!$AR840="","","CAP-"&amp;ROW()-1),"")</f>
        <v/>
      </c>
      <c r="B2521" s="5" t="str">
        <f>IFERROR(IF(Portafolio_Proyectos!$AR840="","",Portafolio_Proyectos!$AR840),"")</f>
        <v/>
      </c>
      <c r="C2521" s="5" t="str">
        <f>IFERROR(IF(Portafolio_Proyectos!$AR840="","","Distintiva"),"")</f>
        <v/>
      </c>
      <c r="D2521" s="5" t="str">
        <f>IFERROR(IF(Portafolio_Proyectos!$AR840="","",Portafolio_Proyectos!$C840),"")</f>
        <v/>
      </c>
      <c r="E2521" s="5" t="str">
        <f>IFERROR(IF(Portafolio_Proyectos!$AR840="","",Portafolio_Proyectos!$B840),"")</f>
        <v/>
      </c>
      <c r="F2521" s="5" t="str">
        <f>IFERROR(IF(Portafolio_Proyectos!$AR840="","",Portafolio_Proyectos!$D840),"")</f>
        <v/>
      </c>
      <c r="G2521" s="5" t="str">
        <f>IFERROR(IF(Portafolio_Proyectos!$AR840="","",Portafolio_Proyectos!$A840),"")</f>
        <v/>
      </c>
      <c r="H2521" s="5" t="str">
        <f>IFERROR(IF(Portafolio_Proyectos!$AR840="","",Portafolio_Proyectos!$E840),"")</f>
        <v/>
      </c>
    </row>
    <row r="2522" spans="1:8" x14ac:dyDescent="0.35">
      <c r="A2522" s="5" t="str">
        <f>IFERROR(IF(Portafolio_Proyectos!$AP841="","","CAP-"&amp;ROW()-1),"")</f>
        <v/>
      </c>
      <c r="B2522" s="5" t="str">
        <f>IFERROR(IF(Portafolio_Proyectos!$AP841="","",Portafolio_Proyectos!$AP841),"")</f>
        <v/>
      </c>
      <c r="C2522" s="5" t="str">
        <f>IFERROR(IF(Portafolio_Proyectos!$AP841="","","Emergente"),"")</f>
        <v/>
      </c>
      <c r="D2522" s="5" t="str">
        <f>IFERROR(IF(Portafolio_Proyectos!$AP841="","",Portafolio_Proyectos!$C841),"")</f>
        <v/>
      </c>
      <c r="E2522" s="5" t="str">
        <f>IFERROR(IF(Portafolio_Proyectos!$AP841="","",Portafolio_Proyectos!$B841),"")</f>
        <v/>
      </c>
      <c r="F2522" s="5" t="str">
        <f>IFERROR(IF(Portafolio_Proyectos!$AP841="","",Portafolio_Proyectos!$D841),"")</f>
        <v/>
      </c>
      <c r="G2522" s="5" t="str">
        <f>IFERROR(IF(Portafolio_Proyectos!$AP841="","",Portafolio_Proyectos!$A841),"")</f>
        <v/>
      </c>
      <c r="H2522" s="5" t="str">
        <f>IFERROR(IF(Portafolio_Proyectos!$AP841="","",Portafolio_Proyectos!$E841),"")</f>
        <v/>
      </c>
    </row>
    <row r="2523" spans="1:8" x14ac:dyDescent="0.35">
      <c r="A2523" s="5" t="str">
        <f>IFERROR(IF(Portafolio_Proyectos!$AQ841="","","CAP-"&amp;ROW()-1),"")</f>
        <v/>
      </c>
      <c r="B2523" s="5" t="str">
        <f>IFERROR(IF(Portafolio_Proyectos!$AQ841="","",Portafolio_Proyectos!$AQ841),"")</f>
        <v/>
      </c>
      <c r="C2523" s="5" t="str">
        <f>IFERROR(IF(Portafolio_Proyectos!$AQ841="","","Consolidada"),"")</f>
        <v/>
      </c>
      <c r="D2523" s="5" t="str">
        <f>IFERROR(IF(Portafolio_Proyectos!$AQ841="","",Portafolio_Proyectos!$C841),"")</f>
        <v/>
      </c>
      <c r="E2523" s="5" t="str">
        <f>IFERROR(IF(Portafolio_Proyectos!$AQ841="","",Portafolio_Proyectos!$B841),"")</f>
        <v/>
      </c>
      <c r="F2523" s="5" t="str">
        <f>IFERROR(IF(Portafolio_Proyectos!$AQ841="","",Portafolio_Proyectos!$D841),"")</f>
        <v/>
      </c>
      <c r="G2523" s="5" t="str">
        <f>IFERROR(IF(Portafolio_Proyectos!$AQ841="","",Portafolio_Proyectos!$A841),"")</f>
        <v/>
      </c>
      <c r="H2523" s="5" t="str">
        <f>IFERROR(IF(Portafolio_Proyectos!$AQ841="","",Portafolio_Proyectos!$E841),"")</f>
        <v/>
      </c>
    </row>
    <row r="2524" spans="1:8" x14ac:dyDescent="0.35">
      <c r="A2524" s="5" t="str">
        <f>IFERROR(IF(Portafolio_Proyectos!$AR841="","","CAP-"&amp;ROW()-1),"")</f>
        <v/>
      </c>
      <c r="B2524" s="5" t="str">
        <f>IFERROR(IF(Portafolio_Proyectos!$AR841="","",Portafolio_Proyectos!$AR841),"")</f>
        <v/>
      </c>
      <c r="C2524" s="5" t="str">
        <f>IFERROR(IF(Portafolio_Proyectos!$AR841="","","Distintiva"),"")</f>
        <v/>
      </c>
      <c r="D2524" s="5" t="str">
        <f>IFERROR(IF(Portafolio_Proyectos!$AR841="","",Portafolio_Proyectos!$C841),"")</f>
        <v/>
      </c>
      <c r="E2524" s="5" t="str">
        <f>IFERROR(IF(Portafolio_Proyectos!$AR841="","",Portafolio_Proyectos!$B841),"")</f>
        <v/>
      </c>
      <c r="F2524" s="5" t="str">
        <f>IFERROR(IF(Portafolio_Proyectos!$AR841="","",Portafolio_Proyectos!$D841),"")</f>
        <v/>
      </c>
      <c r="G2524" s="5" t="str">
        <f>IFERROR(IF(Portafolio_Proyectos!$AR841="","",Portafolio_Proyectos!$A841),"")</f>
        <v/>
      </c>
      <c r="H2524" s="5" t="str">
        <f>IFERROR(IF(Portafolio_Proyectos!$AR841="","",Portafolio_Proyectos!$E841),"")</f>
        <v/>
      </c>
    </row>
    <row r="2525" spans="1:8" x14ac:dyDescent="0.35">
      <c r="A2525" s="5" t="str">
        <f>IFERROR(IF(Portafolio_Proyectos!$AP842="","","CAP-"&amp;ROW()-1),"")</f>
        <v/>
      </c>
      <c r="B2525" s="5" t="str">
        <f>IFERROR(IF(Portafolio_Proyectos!$AP842="","",Portafolio_Proyectos!$AP842),"")</f>
        <v/>
      </c>
      <c r="C2525" s="5" t="str">
        <f>IFERROR(IF(Portafolio_Proyectos!$AP842="","","Emergente"),"")</f>
        <v/>
      </c>
      <c r="D2525" s="5" t="str">
        <f>IFERROR(IF(Portafolio_Proyectos!$AP842="","",Portafolio_Proyectos!$C842),"")</f>
        <v/>
      </c>
      <c r="E2525" s="5" t="str">
        <f>IFERROR(IF(Portafolio_Proyectos!$AP842="","",Portafolio_Proyectos!$B842),"")</f>
        <v/>
      </c>
      <c r="F2525" s="5" t="str">
        <f>IFERROR(IF(Portafolio_Proyectos!$AP842="","",Portafolio_Proyectos!$D842),"")</f>
        <v/>
      </c>
      <c r="G2525" s="5" t="str">
        <f>IFERROR(IF(Portafolio_Proyectos!$AP842="","",Portafolio_Proyectos!$A842),"")</f>
        <v/>
      </c>
      <c r="H2525" s="5" t="str">
        <f>IFERROR(IF(Portafolio_Proyectos!$AP842="","",Portafolio_Proyectos!$E842),"")</f>
        <v/>
      </c>
    </row>
    <row r="2526" spans="1:8" x14ac:dyDescent="0.35">
      <c r="A2526" s="5" t="str">
        <f>IFERROR(IF(Portafolio_Proyectos!$AQ842="","","CAP-"&amp;ROW()-1),"")</f>
        <v/>
      </c>
      <c r="B2526" s="5" t="str">
        <f>IFERROR(IF(Portafolio_Proyectos!$AQ842="","",Portafolio_Proyectos!$AQ842),"")</f>
        <v/>
      </c>
      <c r="C2526" s="5" t="str">
        <f>IFERROR(IF(Portafolio_Proyectos!$AQ842="","","Consolidada"),"")</f>
        <v/>
      </c>
      <c r="D2526" s="5" t="str">
        <f>IFERROR(IF(Portafolio_Proyectos!$AQ842="","",Portafolio_Proyectos!$C842),"")</f>
        <v/>
      </c>
      <c r="E2526" s="5" t="str">
        <f>IFERROR(IF(Portafolio_Proyectos!$AQ842="","",Portafolio_Proyectos!$B842),"")</f>
        <v/>
      </c>
      <c r="F2526" s="5" t="str">
        <f>IFERROR(IF(Portafolio_Proyectos!$AQ842="","",Portafolio_Proyectos!$D842),"")</f>
        <v/>
      </c>
      <c r="G2526" s="5" t="str">
        <f>IFERROR(IF(Portafolio_Proyectos!$AQ842="","",Portafolio_Proyectos!$A842),"")</f>
        <v/>
      </c>
      <c r="H2526" s="5" t="str">
        <f>IFERROR(IF(Portafolio_Proyectos!$AQ842="","",Portafolio_Proyectos!$E842),"")</f>
        <v/>
      </c>
    </row>
    <row r="2527" spans="1:8" x14ac:dyDescent="0.35">
      <c r="A2527" s="5" t="str">
        <f>IFERROR(IF(Portafolio_Proyectos!$AR842="","","CAP-"&amp;ROW()-1),"")</f>
        <v/>
      </c>
      <c r="B2527" s="5" t="str">
        <f>IFERROR(IF(Portafolio_Proyectos!$AR842="","",Portafolio_Proyectos!$AR842),"")</f>
        <v/>
      </c>
      <c r="C2527" s="5" t="str">
        <f>IFERROR(IF(Portafolio_Proyectos!$AR842="","","Distintiva"),"")</f>
        <v/>
      </c>
      <c r="D2527" s="5" t="str">
        <f>IFERROR(IF(Portafolio_Proyectos!$AR842="","",Portafolio_Proyectos!$C842),"")</f>
        <v/>
      </c>
      <c r="E2527" s="5" t="str">
        <f>IFERROR(IF(Portafolio_Proyectos!$AR842="","",Portafolio_Proyectos!$B842),"")</f>
        <v/>
      </c>
      <c r="F2527" s="5" t="str">
        <f>IFERROR(IF(Portafolio_Proyectos!$AR842="","",Portafolio_Proyectos!$D842),"")</f>
        <v/>
      </c>
      <c r="G2527" s="5" t="str">
        <f>IFERROR(IF(Portafolio_Proyectos!$AR842="","",Portafolio_Proyectos!$A842),"")</f>
        <v/>
      </c>
      <c r="H2527" s="5" t="str">
        <f>IFERROR(IF(Portafolio_Proyectos!$AR842="","",Portafolio_Proyectos!$E842),"")</f>
        <v/>
      </c>
    </row>
    <row r="2528" spans="1:8" x14ac:dyDescent="0.35">
      <c r="A2528" s="5" t="str">
        <f>IFERROR(IF(Portafolio_Proyectos!$AP843="","","CAP-"&amp;ROW()-1),"")</f>
        <v/>
      </c>
      <c r="B2528" s="5" t="str">
        <f>IFERROR(IF(Portafolio_Proyectos!$AP843="","",Portafolio_Proyectos!$AP843),"")</f>
        <v/>
      </c>
      <c r="C2528" s="5" t="str">
        <f>IFERROR(IF(Portafolio_Proyectos!$AP843="","","Emergente"),"")</f>
        <v/>
      </c>
      <c r="D2528" s="5" t="str">
        <f>IFERROR(IF(Portafolio_Proyectos!$AP843="","",Portafolio_Proyectos!$C843),"")</f>
        <v/>
      </c>
      <c r="E2528" s="5" t="str">
        <f>IFERROR(IF(Portafolio_Proyectos!$AP843="","",Portafolio_Proyectos!$B843),"")</f>
        <v/>
      </c>
      <c r="F2528" s="5" t="str">
        <f>IFERROR(IF(Portafolio_Proyectos!$AP843="","",Portafolio_Proyectos!$D843),"")</f>
        <v/>
      </c>
      <c r="G2528" s="5" t="str">
        <f>IFERROR(IF(Portafolio_Proyectos!$AP843="","",Portafolio_Proyectos!$A843),"")</f>
        <v/>
      </c>
      <c r="H2528" s="5" t="str">
        <f>IFERROR(IF(Portafolio_Proyectos!$AP843="","",Portafolio_Proyectos!$E843),"")</f>
        <v/>
      </c>
    </row>
    <row r="2529" spans="1:8" x14ac:dyDescent="0.35">
      <c r="A2529" s="5" t="str">
        <f>IFERROR(IF(Portafolio_Proyectos!$AQ843="","","CAP-"&amp;ROW()-1),"")</f>
        <v/>
      </c>
      <c r="B2529" s="5" t="str">
        <f>IFERROR(IF(Portafolio_Proyectos!$AQ843="","",Portafolio_Proyectos!$AQ843),"")</f>
        <v/>
      </c>
      <c r="C2529" s="5" t="str">
        <f>IFERROR(IF(Portafolio_Proyectos!$AQ843="","","Consolidada"),"")</f>
        <v/>
      </c>
      <c r="D2529" s="5" t="str">
        <f>IFERROR(IF(Portafolio_Proyectos!$AQ843="","",Portafolio_Proyectos!$C843),"")</f>
        <v/>
      </c>
      <c r="E2529" s="5" t="str">
        <f>IFERROR(IF(Portafolio_Proyectos!$AQ843="","",Portafolio_Proyectos!$B843),"")</f>
        <v/>
      </c>
      <c r="F2529" s="5" t="str">
        <f>IFERROR(IF(Portafolio_Proyectos!$AQ843="","",Portafolio_Proyectos!$D843),"")</f>
        <v/>
      </c>
      <c r="G2529" s="5" t="str">
        <f>IFERROR(IF(Portafolio_Proyectos!$AQ843="","",Portafolio_Proyectos!$A843),"")</f>
        <v/>
      </c>
      <c r="H2529" s="5" t="str">
        <f>IFERROR(IF(Portafolio_Proyectos!$AQ843="","",Portafolio_Proyectos!$E843),"")</f>
        <v/>
      </c>
    </row>
    <row r="2530" spans="1:8" x14ac:dyDescent="0.35">
      <c r="A2530" s="5" t="str">
        <f>IFERROR(IF(Portafolio_Proyectos!$AR843="","","CAP-"&amp;ROW()-1),"")</f>
        <v/>
      </c>
      <c r="B2530" s="5" t="str">
        <f>IFERROR(IF(Portafolio_Proyectos!$AR843="","",Portafolio_Proyectos!$AR843),"")</f>
        <v/>
      </c>
      <c r="C2530" s="5" t="str">
        <f>IFERROR(IF(Portafolio_Proyectos!$AR843="","","Distintiva"),"")</f>
        <v/>
      </c>
      <c r="D2530" s="5" t="str">
        <f>IFERROR(IF(Portafolio_Proyectos!$AR843="","",Portafolio_Proyectos!$C843),"")</f>
        <v/>
      </c>
      <c r="E2530" s="5" t="str">
        <f>IFERROR(IF(Portafolio_Proyectos!$AR843="","",Portafolio_Proyectos!$B843),"")</f>
        <v/>
      </c>
      <c r="F2530" s="5" t="str">
        <f>IFERROR(IF(Portafolio_Proyectos!$AR843="","",Portafolio_Proyectos!$D843),"")</f>
        <v/>
      </c>
      <c r="G2530" s="5" t="str">
        <f>IFERROR(IF(Portafolio_Proyectos!$AR843="","",Portafolio_Proyectos!$A843),"")</f>
        <v/>
      </c>
      <c r="H2530" s="5" t="str">
        <f>IFERROR(IF(Portafolio_Proyectos!$AR843="","",Portafolio_Proyectos!$E843),"")</f>
        <v/>
      </c>
    </row>
    <row r="2531" spans="1:8" x14ac:dyDescent="0.35">
      <c r="A2531" s="5" t="str">
        <f>IFERROR(IF(Portafolio_Proyectos!$AP844="","","CAP-"&amp;ROW()-1),"")</f>
        <v/>
      </c>
      <c r="B2531" s="5" t="str">
        <f>IFERROR(IF(Portafolio_Proyectos!$AP844="","",Portafolio_Proyectos!$AP844),"")</f>
        <v/>
      </c>
      <c r="C2531" s="5" t="str">
        <f>IFERROR(IF(Portafolio_Proyectos!$AP844="","","Emergente"),"")</f>
        <v/>
      </c>
      <c r="D2531" s="5" t="str">
        <f>IFERROR(IF(Portafolio_Proyectos!$AP844="","",Portafolio_Proyectos!$C844),"")</f>
        <v/>
      </c>
      <c r="E2531" s="5" t="str">
        <f>IFERROR(IF(Portafolio_Proyectos!$AP844="","",Portafolio_Proyectos!$B844),"")</f>
        <v/>
      </c>
      <c r="F2531" s="5" t="str">
        <f>IFERROR(IF(Portafolio_Proyectos!$AP844="","",Portafolio_Proyectos!$D844),"")</f>
        <v/>
      </c>
      <c r="G2531" s="5" t="str">
        <f>IFERROR(IF(Portafolio_Proyectos!$AP844="","",Portafolio_Proyectos!$A844),"")</f>
        <v/>
      </c>
      <c r="H2531" s="5" t="str">
        <f>IFERROR(IF(Portafolio_Proyectos!$AP844="","",Portafolio_Proyectos!$E844),"")</f>
        <v/>
      </c>
    </row>
    <row r="2532" spans="1:8" x14ac:dyDescent="0.35">
      <c r="A2532" s="5" t="str">
        <f>IFERROR(IF(Portafolio_Proyectos!$AQ844="","","CAP-"&amp;ROW()-1),"")</f>
        <v/>
      </c>
      <c r="B2532" s="5" t="str">
        <f>IFERROR(IF(Portafolio_Proyectos!$AQ844="","",Portafolio_Proyectos!$AQ844),"")</f>
        <v/>
      </c>
      <c r="C2532" s="5" t="str">
        <f>IFERROR(IF(Portafolio_Proyectos!$AQ844="","","Consolidada"),"")</f>
        <v/>
      </c>
      <c r="D2532" s="5" t="str">
        <f>IFERROR(IF(Portafolio_Proyectos!$AQ844="","",Portafolio_Proyectos!$C844),"")</f>
        <v/>
      </c>
      <c r="E2532" s="5" t="str">
        <f>IFERROR(IF(Portafolio_Proyectos!$AQ844="","",Portafolio_Proyectos!$B844),"")</f>
        <v/>
      </c>
      <c r="F2532" s="5" t="str">
        <f>IFERROR(IF(Portafolio_Proyectos!$AQ844="","",Portafolio_Proyectos!$D844),"")</f>
        <v/>
      </c>
      <c r="G2532" s="5" t="str">
        <f>IFERROR(IF(Portafolio_Proyectos!$AQ844="","",Portafolio_Proyectos!$A844),"")</f>
        <v/>
      </c>
      <c r="H2532" s="5" t="str">
        <f>IFERROR(IF(Portafolio_Proyectos!$AQ844="","",Portafolio_Proyectos!$E844),"")</f>
        <v/>
      </c>
    </row>
    <row r="2533" spans="1:8" x14ac:dyDescent="0.35">
      <c r="A2533" s="5" t="str">
        <f>IFERROR(IF(Portafolio_Proyectos!$AR844="","","CAP-"&amp;ROW()-1),"")</f>
        <v/>
      </c>
      <c r="B2533" s="5" t="str">
        <f>IFERROR(IF(Portafolio_Proyectos!$AR844="","",Portafolio_Proyectos!$AR844),"")</f>
        <v/>
      </c>
      <c r="C2533" s="5" t="str">
        <f>IFERROR(IF(Portafolio_Proyectos!$AR844="","","Distintiva"),"")</f>
        <v/>
      </c>
      <c r="D2533" s="5" t="str">
        <f>IFERROR(IF(Portafolio_Proyectos!$AR844="","",Portafolio_Proyectos!$C844),"")</f>
        <v/>
      </c>
      <c r="E2533" s="5" t="str">
        <f>IFERROR(IF(Portafolio_Proyectos!$AR844="","",Portafolio_Proyectos!$B844),"")</f>
        <v/>
      </c>
      <c r="F2533" s="5" t="str">
        <f>IFERROR(IF(Portafolio_Proyectos!$AR844="","",Portafolio_Proyectos!$D844),"")</f>
        <v/>
      </c>
      <c r="G2533" s="5" t="str">
        <f>IFERROR(IF(Portafolio_Proyectos!$AR844="","",Portafolio_Proyectos!$A844),"")</f>
        <v/>
      </c>
      <c r="H2533" s="5" t="str">
        <f>IFERROR(IF(Portafolio_Proyectos!$AR844="","",Portafolio_Proyectos!$E844),"")</f>
        <v/>
      </c>
    </row>
    <row r="2534" spans="1:8" x14ac:dyDescent="0.35">
      <c r="A2534" s="5" t="str">
        <f>IFERROR(IF(Portafolio_Proyectos!$AP845="","","CAP-"&amp;ROW()-1),"")</f>
        <v/>
      </c>
      <c r="B2534" s="5" t="str">
        <f>IFERROR(IF(Portafolio_Proyectos!$AP845="","",Portafolio_Proyectos!$AP845),"")</f>
        <v/>
      </c>
      <c r="C2534" s="5" t="str">
        <f>IFERROR(IF(Portafolio_Proyectos!$AP845="","","Emergente"),"")</f>
        <v/>
      </c>
      <c r="D2534" s="5" t="str">
        <f>IFERROR(IF(Portafolio_Proyectos!$AP845="","",Portafolio_Proyectos!$C845),"")</f>
        <v/>
      </c>
      <c r="E2534" s="5" t="str">
        <f>IFERROR(IF(Portafolio_Proyectos!$AP845="","",Portafolio_Proyectos!$B845),"")</f>
        <v/>
      </c>
      <c r="F2534" s="5" t="str">
        <f>IFERROR(IF(Portafolio_Proyectos!$AP845="","",Portafolio_Proyectos!$D845),"")</f>
        <v/>
      </c>
      <c r="G2534" s="5" t="str">
        <f>IFERROR(IF(Portafolio_Proyectos!$AP845="","",Portafolio_Proyectos!$A845),"")</f>
        <v/>
      </c>
      <c r="H2534" s="5" t="str">
        <f>IFERROR(IF(Portafolio_Proyectos!$AP845="","",Portafolio_Proyectos!$E845),"")</f>
        <v/>
      </c>
    </row>
    <row r="2535" spans="1:8" x14ac:dyDescent="0.35">
      <c r="A2535" s="5" t="str">
        <f>IFERROR(IF(Portafolio_Proyectos!$AQ845="","","CAP-"&amp;ROW()-1),"")</f>
        <v/>
      </c>
      <c r="B2535" s="5" t="str">
        <f>IFERROR(IF(Portafolio_Proyectos!$AQ845="","",Portafolio_Proyectos!$AQ845),"")</f>
        <v/>
      </c>
      <c r="C2535" s="5" t="str">
        <f>IFERROR(IF(Portafolio_Proyectos!$AQ845="","","Consolidada"),"")</f>
        <v/>
      </c>
      <c r="D2535" s="5" t="str">
        <f>IFERROR(IF(Portafolio_Proyectos!$AQ845="","",Portafolio_Proyectos!$C845),"")</f>
        <v/>
      </c>
      <c r="E2535" s="5" t="str">
        <f>IFERROR(IF(Portafolio_Proyectos!$AQ845="","",Portafolio_Proyectos!$B845),"")</f>
        <v/>
      </c>
      <c r="F2535" s="5" t="str">
        <f>IFERROR(IF(Portafolio_Proyectos!$AQ845="","",Portafolio_Proyectos!$D845),"")</f>
        <v/>
      </c>
      <c r="G2535" s="5" t="str">
        <f>IFERROR(IF(Portafolio_Proyectos!$AQ845="","",Portafolio_Proyectos!$A845),"")</f>
        <v/>
      </c>
      <c r="H2535" s="5" t="str">
        <f>IFERROR(IF(Portafolio_Proyectos!$AQ845="","",Portafolio_Proyectos!$E845),"")</f>
        <v/>
      </c>
    </row>
    <row r="2536" spans="1:8" x14ac:dyDescent="0.35">
      <c r="A2536" s="5" t="str">
        <f>IFERROR(IF(Portafolio_Proyectos!$AR845="","","CAP-"&amp;ROW()-1),"")</f>
        <v/>
      </c>
      <c r="B2536" s="5" t="str">
        <f>IFERROR(IF(Portafolio_Proyectos!$AR845="","",Portafolio_Proyectos!$AR845),"")</f>
        <v/>
      </c>
      <c r="C2536" s="5" t="str">
        <f>IFERROR(IF(Portafolio_Proyectos!$AR845="","","Distintiva"),"")</f>
        <v/>
      </c>
      <c r="D2536" s="5" t="str">
        <f>IFERROR(IF(Portafolio_Proyectos!$AR845="","",Portafolio_Proyectos!$C845),"")</f>
        <v/>
      </c>
      <c r="E2536" s="5" t="str">
        <f>IFERROR(IF(Portafolio_Proyectos!$AR845="","",Portafolio_Proyectos!$B845),"")</f>
        <v/>
      </c>
      <c r="F2536" s="5" t="str">
        <f>IFERROR(IF(Portafolio_Proyectos!$AR845="","",Portafolio_Proyectos!$D845),"")</f>
        <v/>
      </c>
      <c r="G2536" s="5" t="str">
        <f>IFERROR(IF(Portafolio_Proyectos!$AR845="","",Portafolio_Proyectos!$A845),"")</f>
        <v/>
      </c>
      <c r="H2536" s="5" t="str">
        <f>IFERROR(IF(Portafolio_Proyectos!$AR845="","",Portafolio_Proyectos!$E845),"")</f>
        <v/>
      </c>
    </row>
    <row r="2537" spans="1:8" x14ac:dyDescent="0.35">
      <c r="A2537" s="5" t="str">
        <f>IFERROR(IF(Portafolio_Proyectos!$AP846="","","CAP-"&amp;ROW()-1),"")</f>
        <v/>
      </c>
      <c r="B2537" s="5" t="str">
        <f>IFERROR(IF(Portafolio_Proyectos!$AP846="","",Portafolio_Proyectos!$AP846),"")</f>
        <v/>
      </c>
      <c r="C2537" s="5" t="str">
        <f>IFERROR(IF(Portafolio_Proyectos!$AP846="","","Emergente"),"")</f>
        <v/>
      </c>
      <c r="D2537" s="5" t="str">
        <f>IFERROR(IF(Portafolio_Proyectos!$AP846="","",Portafolio_Proyectos!$C846),"")</f>
        <v/>
      </c>
      <c r="E2537" s="5" t="str">
        <f>IFERROR(IF(Portafolio_Proyectos!$AP846="","",Portafolio_Proyectos!$B846),"")</f>
        <v/>
      </c>
      <c r="F2537" s="5" t="str">
        <f>IFERROR(IF(Portafolio_Proyectos!$AP846="","",Portafolio_Proyectos!$D846),"")</f>
        <v/>
      </c>
      <c r="G2537" s="5" t="str">
        <f>IFERROR(IF(Portafolio_Proyectos!$AP846="","",Portafolio_Proyectos!$A846),"")</f>
        <v/>
      </c>
      <c r="H2537" s="5" t="str">
        <f>IFERROR(IF(Portafolio_Proyectos!$AP846="","",Portafolio_Proyectos!$E846),"")</f>
        <v/>
      </c>
    </row>
    <row r="2538" spans="1:8" x14ac:dyDescent="0.35">
      <c r="A2538" s="5" t="str">
        <f>IFERROR(IF(Portafolio_Proyectos!$AQ846="","","CAP-"&amp;ROW()-1),"")</f>
        <v/>
      </c>
      <c r="B2538" s="5" t="str">
        <f>IFERROR(IF(Portafolio_Proyectos!$AQ846="","",Portafolio_Proyectos!$AQ846),"")</f>
        <v/>
      </c>
      <c r="C2538" s="5" t="str">
        <f>IFERROR(IF(Portafolio_Proyectos!$AQ846="","","Consolidada"),"")</f>
        <v/>
      </c>
      <c r="D2538" s="5" t="str">
        <f>IFERROR(IF(Portafolio_Proyectos!$AQ846="","",Portafolio_Proyectos!$C846),"")</f>
        <v/>
      </c>
      <c r="E2538" s="5" t="str">
        <f>IFERROR(IF(Portafolio_Proyectos!$AQ846="","",Portafolio_Proyectos!$B846),"")</f>
        <v/>
      </c>
      <c r="F2538" s="5" t="str">
        <f>IFERROR(IF(Portafolio_Proyectos!$AQ846="","",Portafolio_Proyectos!$D846),"")</f>
        <v/>
      </c>
      <c r="G2538" s="5" t="str">
        <f>IFERROR(IF(Portafolio_Proyectos!$AQ846="","",Portafolio_Proyectos!$A846),"")</f>
        <v/>
      </c>
      <c r="H2538" s="5" t="str">
        <f>IFERROR(IF(Portafolio_Proyectos!$AQ846="","",Portafolio_Proyectos!$E846),"")</f>
        <v/>
      </c>
    </row>
    <row r="2539" spans="1:8" x14ac:dyDescent="0.35">
      <c r="A2539" s="5" t="str">
        <f>IFERROR(IF(Portafolio_Proyectos!$AR846="","","CAP-"&amp;ROW()-1),"")</f>
        <v/>
      </c>
      <c r="B2539" s="5" t="str">
        <f>IFERROR(IF(Portafolio_Proyectos!$AR846="","",Portafolio_Proyectos!$AR846),"")</f>
        <v/>
      </c>
      <c r="C2539" s="5" t="str">
        <f>IFERROR(IF(Portafolio_Proyectos!$AR846="","","Distintiva"),"")</f>
        <v/>
      </c>
      <c r="D2539" s="5" t="str">
        <f>IFERROR(IF(Portafolio_Proyectos!$AR846="","",Portafolio_Proyectos!$C846),"")</f>
        <v/>
      </c>
      <c r="E2539" s="5" t="str">
        <f>IFERROR(IF(Portafolio_Proyectos!$AR846="","",Portafolio_Proyectos!$B846),"")</f>
        <v/>
      </c>
      <c r="F2539" s="5" t="str">
        <f>IFERROR(IF(Portafolio_Proyectos!$AR846="","",Portafolio_Proyectos!$D846),"")</f>
        <v/>
      </c>
      <c r="G2539" s="5" t="str">
        <f>IFERROR(IF(Portafolio_Proyectos!$AR846="","",Portafolio_Proyectos!$A846),"")</f>
        <v/>
      </c>
      <c r="H2539" s="5" t="str">
        <f>IFERROR(IF(Portafolio_Proyectos!$AR846="","",Portafolio_Proyectos!$E846),"")</f>
        <v/>
      </c>
    </row>
    <row r="2540" spans="1:8" x14ac:dyDescent="0.35">
      <c r="A2540" s="5" t="str">
        <f>IFERROR(IF(Portafolio_Proyectos!$AP847="","","CAP-"&amp;ROW()-1),"")</f>
        <v/>
      </c>
      <c r="B2540" s="5" t="str">
        <f>IFERROR(IF(Portafolio_Proyectos!$AP847="","",Portafolio_Proyectos!$AP847),"")</f>
        <v/>
      </c>
      <c r="C2540" s="5" t="str">
        <f>IFERROR(IF(Portafolio_Proyectos!$AP847="","","Emergente"),"")</f>
        <v/>
      </c>
      <c r="D2540" s="5" t="str">
        <f>IFERROR(IF(Portafolio_Proyectos!$AP847="","",Portafolio_Proyectos!$C847),"")</f>
        <v/>
      </c>
      <c r="E2540" s="5" t="str">
        <f>IFERROR(IF(Portafolio_Proyectos!$AP847="","",Portafolio_Proyectos!$B847),"")</f>
        <v/>
      </c>
      <c r="F2540" s="5" t="str">
        <f>IFERROR(IF(Portafolio_Proyectos!$AP847="","",Portafolio_Proyectos!$D847),"")</f>
        <v/>
      </c>
      <c r="G2540" s="5" t="str">
        <f>IFERROR(IF(Portafolio_Proyectos!$AP847="","",Portafolio_Proyectos!$A847),"")</f>
        <v/>
      </c>
      <c r="H2540" s="5" t="str">
        <f>IFERROR(IF(Portafolio_Proyectos!$AP847="","",Portafolio_Proyectos!$E847),"")</f>
        <v/>
      </c>
    </row>
    <row r="2541" spans="1:8" x14ac:dyDescent="0.35">
      <c r="A2541" s="5" t="str">
        <f>IFERROR(IF(Portafolio_Proyectos!$AQ847="","","CAP-"&amp;ROW()-1),"")</f>
        <v/>
      </c>
      <c r="B2541" s="5" t="str">
        <f>IFERROR(IF(Portafolio_Proyectos!$AQ847="","",Portafolio_Proyectos!$AQ847),"")</f>
        <v/>
      </c>
      <c r="C2541" s="5" t="str">
        <f>IFERROR(IF(Portafolio_Proyectos!$AQ847="","","Consolidada"),"")</f>
        <v/>
      </c>
      <c r="D2541" s="5" t="str">
        <f>IFERROR(IF(Portafolio_Proyectos!$AQ847="","",Portafolio_Proyectos!$C847),"")</f>
        <v/>
      </c>
      <c r="E2541" s="5" t="str">
        <f>IFERROR(IF(Portafolio_Proyectos!$AQ847="","",Portafolio_Proyectos!$B847),"")</f>
        <v/>
      </c>
      <c r="F2541" s="5" t="str">
        <f>IFERROR(IF(Portafolio_Proyectos!$AQ847="","",Portafolio_Proyectos!$D847),"")</f>
        <v/>
      </c>
      <c r="G2541" s="5" t="str">
        <f>IFERROR(IF(Portafolio_Proyectos!$AQ847="","",Portafolio_Proyectos!$A847),"")</f>
        <v/>
      </c>
      <c r="H2541" s="5" t="str">
        <f>IFERROR(IF(Portafolio_Proyectos!$AQ847="","",Portafolio_Proyectos!$E847),"")</f>
        <v/>
      </c>
    </row>
    <row r="2542" spans="1:8" x14ac:dyDescent="0.35">
      <c r="A2542" s="5" t="str">
        <f>IFERROR(IF(Portafolio_Proyectos!$AR847="","","CAP-"&amp;ROW()-1),"")</f>
        <v/>
      </c>
      <c r="B2542" s="5" t="str">
        <f>IFERROR(IF(Portafolio_Proyectos!$AR847="","",Portafolio_Proyectos!$AR847),"")</f>
        <v/>
      </c>
      <c r="C2542" s="5" t="str">
        <f>IFERROR(IF(Portafolio_Proyectos!$AR847="","","Distintiva"),"")</f>
        <v/>
      </c>
      <c r="D2542" s="5" t="str">
        <f>IFERROR(IF(Portafolio_Proyectos!$AR847="","",Portafolio_Proyectos!$C847),"")</f>
        <v/>
      </c>
      <c r="E2542" s="5" t="str">
        <f>IFERROR(IF(Portafolio_Proyectos!$AR847="","",Portafolio_Proyectos!$B847),"")</f>
        <v/>
      </c>
      <c r="F2542" s="5" t="str">
        <f>IFERROR(IF(Portafolio_Proyectos!$AR847="","",Portafolio_Proyectos!$D847),"")</f>
        <v/>
      </c>
      <c r="G2542" s="5" t="str">
        <f>IFERROR(IF(Portafolio_Proyectos!$AR847="","",Portafolio_Proyectos!$A847),"")</f>
        <v/>
      </c>
      <c r="H2542" s="5" t="str">
        <f>IFERROR(IF(Portafolio_Proyectos!$AR847="","",Portafolio_Proyectos!$E847),"")</f>
        <v/>
      </c>
    </row>
    <row r="2543" spans="1:8" x14ac:dyDescent="0.35">
      <c r="A2543" s="5" t="str">
        <f>IFERROR(IF(Portafolio_Proyectos!$AP848="","","CAP-"&amp;ROW()-1),"")</f>
        <v/>
      </c>
      <c r="B2543" s="5" t="str">
        <f>IFERROR(IF(Portafolio_Proyectos!$AP848="","",Portafolio_Proyectos!$AP848),"")</f>
        <v/>
      </c>
      <c r="C2543" s="5" t="str">
        <f>IFERROR(IF(Portafolio_Proyectos!$AP848="","","Emergente"),"")</f>
        <v/>
      </c>
      <c r="D2543" s="5" t="str">
        <f>IFERROR(IF(Portafolio_Proyectos!$AP848="","",Portafolio_Proyectos!$C848),"")</f>
        <v/>
      </c>
      <c r="E2543" s="5" t="str">
        <f>IFERROR(IF(Portafolio_Proyectos!$AP848="","",Portafolio_Proyectos!$B848),"")</f>
        <v/>
      </c>
      <c r="F2543" s="5" t="str">
        <f>IFERROR(IF(Portafolio_Proyectos!$AP848="","",Portafolio_Proyectos!$D848),"")</f>
        <v/>
      </c>
      <c r="G2543" s="5" t="str">
        <f>IFERROR(IF(Portafolio_Proyectos!$AP848="","",Portafolio_Proyectos!$A848),"")</f>
        <v/>
      </c>
      <c r="H2543" s="5" t="str">
        <f>IFERROR(IF(Portafolio_Proyectos!$AP848="","",Portafolio_Proyectos!$E848),"")</f>
        <v/>
      </c>
    </row>
    <row r="2544" spans="1:8" x14ac:dyDescent="0.35">
      <c r="A2544" s="5" t="str">
        <f>IFERROR(IF(Portafolio_Proyectos!$AQ848="","","CAP-"&amp;ROW()-1),"")</f>
        <v/>
      </c>
      <c r="B2544" s="5" t="str">
        <f>IFERROR(IF(Portafolio_Proyectos!$AQ848="","",Portafolio_Proyectos!$AQ848),"")</f>
        <v/>
      </c>
      <c r="C2544" s="5" t="str">
        <f>IFERROR(IF(Portafolio_Proyectos!$AQ848="","","Consolidada"),"")</f>
        <v/>
      </c>
      <c r="D2544" s="5" t="str">
        <f>IFERROR(IF(Portafolio_Proyectos!$AQ848="","",Portafolio_Proyectos!$C848),"")</f>
        <v/>
      </c>
      <c r="E2544" s="5" t="str">
        <f>IFERROR(IF(Portafolio_Proyectos!$AQ848="","",Portafolio_Proyectos!$B848),"")</f>
        <v/>
      </c>
      <c r="F2544" s="5" t="str">
        <f>IFERROR(IF(Portafolio_Proyectos!$AQ848="","",Portafolio_Proyectos!$D848),"")</f>
        <v/>
      </c>
      <c r="G2544" s="5" t="str">
        <f>IFERROR(IF(Portafolio_Proyectos!$AQ848="","",Portafolio_Proyectos!$A848),"")</f>
        <v/>
      </c>
      <c r="H2544" s="5" t="str">
        <f>IFERROR(IF(Portafolio_Proyectos!$AQ848="","",Portafolio_Proyectos!$E848),"")</f>
        <v/>
      </c>
    </row>
    <row r="2545" spans="1:8" x14ac:dyDescent="0.35">
      <c r="A2545" s="5" t="str">
        <f>IFERROR(IF(Portafolio_Proyectos!$AR848="","","CAP-"&amp;ROW()-1),"")</f>
        <v/>
      </c>
      <c r="B2545" s="5" t="str">
        <f>IFERROR(IF(Portafolio_Proyectos!$AR848="","",Portafolio_Proyectos!$AR848),"")</f>
        <v/>
      </c>
      <c r="C2545" s="5" t="str">
        <f>IFERROR(IF(Portafolio_Proyectos!$AR848="","","Distintiva"),"")</f>
        <v/>
      </c>
      <c r="D2545" s="5" t="str">
        <f>IFERROR(IF(Portafolio_Proyectos!$AR848="","",Portafolio_Proyectos!$C848),"")</f>
        <v/>
      </c>
      <c r="E2545" s="5" t="str">
        <f>IFERROR(IF(Portafolio_Proyectos!$AR848="","",Portafolio_Proyectos!$B848),"")</f>
        <v/>
      </c>
      <c r="F2545" s="5" t="str">
        <f>IFERROR(IF(Portafolio_Proyectos!$AR848="","",Portafolio_Proyectos!$D848),"")</f>
        <v/>
      </c>
      <c r="G2545" s="5" t="str">
        <f>IFERROR(IF(Portafolio_Proyectos!$AR848="","",Portafolio_Proyectos!$A848),"")</f>
        <v/>
      </c>
      <c r="H2545" s="5" t="str">
        <f>IFERROR(IF(Portafolio_Proyectos!$AR848="","",Portafolio_Proyectos!$E848),"")</f>
        <v/>
      </c>
    </row>
    <row r="2546" spans="1:8" x14ac:dyDescent="0.35">
      <c r="A2546" s="5" t="str">
        <f>IFERROR(IF(Portafolio_Proyectos!$AP849="","","CAP-"&amp;ROW()-1),"")</f>
        <v/>
      </c>
      <c r="B2546" s="5" t="str">
        <f>IFERROR(IF(Portafolio_Proyectos!$AP849="","",Portafolio_Proyectos!$AP849),"")</f>
        <v/>
      </c>
      <c r="C2546" s="5" t="str">
        <f>IFERROR(IF(Portafolio_Proyectos!$AP849="","","Emergente"),"")</f>
        <v/>
      </c>
      <c r="D2546" s="5" t="str">
        <f>IFERROR(IF(Portafolio_Proyectos!$AP849="","",Portafolio_Proyectos!$C849),"")</f>
        <v/>
      </c>
      <c r="E2546" s="5" t="str">
        <f>IFERROR(IF(Portafolio_Proyectos!$AP849="","",Portafolio_Proyectos!$B849),"")</f>
        <v/>
      </c>
      <c r="F2546" s="5" t="str">
        <f>IFERROR(IF(Portafolio_Proyectos!$AP849="","",Portafolio_Proyectos!$D849),"")</f>
        <v/>
      </c>
      <c r="G2546" s="5" t="str">
        <f>IFERROR(IF(Portafolio_Proyectos!$AP849="","",Portafolio_Proyectos!$A849),"")</f>
        <v/>
      </c>
      <c r="H2546" s="5" t="str">
        <f>IFERROR(IF(Portafolio_Proyectos!$AP849="","",Portafolio_Proyectos!$E849),"")</f>
        <v/>
      </c>
    </row>
    <row r="2547" spans="1:8" x14ac:dyDescent="0.35">
      <c r="A2547" s="5" t="str">
        <f>IFERROR(IF(Portafolio_Proyectos!$AQ849="","","CAP-"&amp;ROW()-1),"")</f>
        <v/>
      </c>
      <c r="B2547" s="5" t="str">
        <f>IFERROR(IF(Portafolio_Proyectos!$AQ849="","",Portafolio_Proyectos!$AQ849),"")</f>
        <v/>
      </c>
      <c r="C2547" s="5" t="str">
        <f>IFERROR(IF(Portafolio_Proyectos!$AQ849="","","Consolidada"),"")</f>
        <v/>
      </c>
      <c r="D2547" s="5" t="str">
        <f>IFERROR(IF(Portafolio_Proyectos!$AQ849="","",Portafolio_Proyectos!$C849),"")</f>
        <v/>
      </c>
      <c r="E2547" s="5" t="str">
        <f>IFERROR(IF(Portafolio_Proyectos!$AQ849="","",Portafolio_Proyectos!$B849),"")</f>
        <v/>
      </c>
      <c r="F2547" s="5" t="str">
        <f>IFERROR(IF(Portafolio_Proyectos!$AQ849="","",Portafolio_Proyectos!$D849),"")</f>
        <v/>
      </c>
      <c r="G2547" s="5" t="str">
        <f>IFERROR(IF(Portafolio_Proyectos!$AQ849="","",Portafolio_Proyectos!$A849),"")</f>
        <v/>
      </c>
      <c r="H2547" s="5" t="str">
        <f>IFERROR(IF(Portafolio_Proyectos!$AQ849="","",Portafolio_Proyectos!$E849),"")</f>
        <v/>
      </c>
    </row>
    <row r="2548" spans="1:8" x14ac:dyDescent="0.35">
      <c r="A2548" s="5" t="str">
        <f>IFERROR(IF(Portafolio_Proyectos!$AR849="","","CAP-"&amp;ROW()-1),"")</f>
        <v/>
      </c>
      <c r="B2548" s="5" t="str">
        <f>IFERROR(IF(Portafolio_Proyectos!$AR849="","",Portafolio_Proyectos!$AR849),"")</f>
        <v/>
      </c>
      <c r="C2548" s="5" t="str">
        <f>IFERROR(IF(Portafolio_Proyectos!$AR849="","","Distintiva"),"")</f>
        <v/>
      </c>
      <c r="D2548" s="5" t="str">
        <f>IFERROR(IF(Portafolio_Proyectos!$AR849="","",Portafolio_Proyectos!$C849),"")</f>
        <v/>
      </c>
      <c r="E2548" s="5" t="str">
        <f>IFERROR(IF(Portafolio_Proyectos!$AR849="","",Portafolio_Proyectos!$B849),"")</f>
        <v/>
      </c>
      <c r="F2548" s="5" t="str">
        <f>IFERROR(IF(Portafolio_Proyectos!$AR849="","",Portafolio_Proyectos!$D849),"")</f>
        <v/>
      </c>
      <c r="G2548" s="5" t="str">
        <f>IFERROR(IF(Portafolio_Proyectos!$AR849="","",Portafolio_Proyectos!$A849),"")</f>
        <v/>
      </c>
      <c r="H2548" s="5" t="str">
        <f>IFERROR(IF(Portafolio_Proyectos!$AR849="","",Portafolio_Proyectos!$E849),"")</f>
        <v/>
      </c>
    </row>
    <row r="2549" spans="1:8" x14ac:dyDescent="0.35">
      <c r="A2549" s="5" t="str">
        <f>IFERROR(IF(Portafolio_Proyectos!$AP850="","","CAP-"&amp;ROW()-1),"")</f>
        <v/>
      </c>
      <c r="B2549" s="5" t="str">
        <f>IFERROR(IF(Portafolio_Proyectos!$AP850="","",Portafolio_Proyectos!$AP850),"")</f>
        <v/>
      </c>
      <c r="C2549" s="5" t="str">
        <f>IFERROR(IF(Portafolio_Proyectos!$AP850="","","Emergente"),"")</f>
        <v/>
      </c>
      <c r="D2549" s="5" t="str">
        <f>IFERROR(IF(Portafolio_Proyectos!$AP850="","",Portafolio_Proyectos!$C850),"")</f>
        <v/>
      </c>
      <c r="E2549" s="5" t="str">
        <f>IFERROR(IF(Portafolio_Proyectos!$AP850="","",Portafolio_Proyectos!$B850),"")</f>
        <v/>
      </c>
      <c r="F2549" s="5" t="str">
        <f>IFERROR(IF(Portafolio_Proyectos!$AP850="","",Portafolio_Proyectos!$D850),"")</f>
        <v/>
      </c>
      <c r="G2549" s="5" t="str">
        <f>IFERROR(IF(Portafolio_Proyectos!$AP850="","",Portafolio_Proyectos!$A850),"")</f>
        <v/>
      </c>
      <c r="H2549" s="5" t="str">
        <f>IFERROR(IF(Portafolio_Proyectos!$AP850="","",Portafolio_Proyectos!$E850),"")</f>
        <v/>
      </c>
    </row>
    <row r="2550" spans="1:8" x14ac:dyDescent="0.35">
      <c r="A2550" s="5" t="str">
        <f>IFERROR(IF(Portafolio_Proyectos!$AQ850="","","CAP-"&amp;ROW()-1),"")</f>
        <v/>
      </c>
      <c r="B2550" s="5" t="str">
        <f>IFERROR(IF(Portafolio_Proyectos!$AQ850="","",Portafolio_Proyectos!$AQ850),"")</f>
        <v/>
      </c>
      <c r="C2550" s="5" t="str">
        <f>IFERROR(IF(Portafolio_Proyectos!$AQ850="","","Consolidada"),"")</f>
        <v/>
      </c>
      <c r="D2550" s="5" t="str">
        <f>IFERROR(IF(Portafolio_Proyectos!$AQ850="","",Portafolio_Proyectos!$C850),"")</f>
        <v/>
      </c>
      <c r="E2550" s="5" t="str">
        <f>IFERROR(IF(Portafolio_Proyectos!$AQ850="","",Portafolio_Proyectos!$B850),"")</f>
        <v/>
      </c>
      <c r="F2550" s="5" t="str">
        <f>IFERROR(IF(Portafolio_Proyectos!$AQ850="","",Portafolio_Proyectos!$D850),"")</f>
        <v/>
      </c>
      <c r="G2550" s="5" t="str">
        <f>IFERROR(IF(Portafolio_Proyectos!$AQ850="","",Portafolio_Proyectos!$A850),"")</f>
        <v/>
      </c>
      <c r="H2550" s="5" t="str">
        <f>IFERROR(IF(Portafolio_Proyectos!$AQ850="","",Portafolio_Proyectos!$E850),"")</f>
        <v/>
      </c>
    </row>
    <row r="2551" spans="1:8" x14ac:dyDescent="0.35">
      <c r="A2551" s="5" t="str">
        <f>IFERROR(IF(Portafolio_Proyectos!$AR850="","","CAP-"&amp;ROW()-1),"")</f>
        <v/>
      </c>
      <c r="B2551" s="5" t="str">
        <f>IFERROR(IF(Portafolio_Proyectos!$AR850="","",Portafolio_Proyectos!$AR850),"")</f>
        <v/>
      </c>
      <c r="C2551" s="5" t="str">
        <f>IFERROR(IF(Portafolio_Proyectos!$AR850="","","Distintiva"),"")</f>
        <v/>
      </c>
      <c r="D2551" s="5" t="str">
        <f>IFERROR(IF(Portafolio_Proyectos!$AR850="","",Portafolio_Proyectos!$C850),"")</f>
        <v/>
      </c>
      <c r="E2551" s="5" t="str">
        <f>IFERROR(IF(Portafolio_Proyectos!$AR850="","",Portafolio_Proyectos!$B850),"")</f>
        <v/>
      </c>
      <c r="F2551" s="5" t="str">
        <f>IFERROR(IF(Portafolio_Proyectos!$AR850="","",Portafolio_Proyectos!$D850),"")</f>
        <v/>
      </c>
      <c r="G2551" s="5" t="str">
        <f>IFERROR(IF(Portafolio_Proyectos!$AR850="","",Portafolio_Proyectos!$A850),"")</f>
        <v/>
      </c>
      <c r="H2551" s="5" t="str">
        <f>IFERROR(IF(Portafolio_Proyectos!$AR850="","",Portafolio_Proyectos!$E850),"")</f>
        <v/>
      </c>
    </row>
    <row r="2552" spans="1:8" x14ac:dyDescent="0.35">
      <c r="A2552" s="5" t="str">
        <f>IFERROR(IF(Portafolio_Proyectos!$AP851="","","CAP-"&amp;ROW()-1),"")</f>
        <v/>
      </c>
      <c r="B2552" s="5" t="str">
        <f>IFERROR(IF(Portafolio_Proyectos!$AP851="","",Portafolio_Proyectos!$AP851),"")</f>
        <v/>
      </c>
      <c r="C2552" s="5" t="str">
        <f>IFERROR(IF(Portafolio_Proyectos!$AP851="","","Emergente"),"")</f>
        <v/>
      </c>
      <c r="D2552" s="5" t="str">
        <f>IFERROR(IF(Portafolio_Proyectos!$AP851="","",Portafolio_Proyectos!$C851),"")</f>
        <v/>
      </c>
      <c r="E2552" s="5" t="str">
        <f>IFERROR(IF(Portafolio_Proyectos!$AP851="","",Portafolio_Proyectos!$B851),"")</f>
        <v/>
      </c>
      <c r="F2552" s="5" t="str">
        <f>IFERROR(IF(Portafolio_Proyectos!$AP851="","",Portafolio_Proyectos!$D851),"")</f>
        <v/>
      </c>
      <c r="G2552" s="5" t="str">
        <f>IFERROR(IF(Portafolio_Proyectos!$AP851="","",Portafolio_Proyectos!$A851),"")</f>
        <v/>
      </c>
      <c r="H2552" s="5" t="str">
        <f>IFERROR(IF(Portafolio_Proyectos!$AP851="","",Portafolio_Proyectos!$E851),"")</f>
        <v/>
      </c>
    </row>
    <row r="2553" spans="1:8" x14ac:dyDescent="0.35">
      <c r="A2553" s="5" t="str">
        <f>IFERROR(IF(Portafolio_Proyectos!$AQ851="","","CAP-"&amp;ROW()-1),"")</f>
        <v/>
      </c>
      <c r="B2553" s="5" t="str">
        <f>IFERROR(IF(Portafolio_Proyectos!$AQ851="","",Portafolio_Proyectos!$AQ851),"")</f>
        <v/>
      </c>
      <c r="C2553" s="5" t="str">
        <f>IFERROR(IF(Portafolio_Proyectos!$AQ851="","","Consolidada"),"")</f>
        <v/>
      </c>
      <c r="D2553" s="5" t="str">
        <f>IFERROR(IF(Portafolio_Proyectos!$AQ851="","",Portafolio_Proyectos!$C851),"")</f>
        <v/>
      </c>
      <c r="E2553" s="5" t="str">
        <f>IFERROR(IF(Portafolio_Proyectos!$AQ851="","",Portafolio_Proyectos!$B851),"")</f>
        <v/>
      </c>
      <c r="F2553" s="5" t="str">
        <f>IFERROR(IF(Portafolio_Proyectos!$AQ851="","",Portafolio_Proyectos!$D851),"")</f>
        <v/>
      </c>
      <c r="G2553" s="5" t="str">
        <f>IFERROR(IF(Portafolio_Proyectos!$AQ851="","",Portafolio_Proyectos!$A851),"")</f>
        <v/>
      </c>
      <c r="H2553" s="5" t="str">
        <f>IFERROR(IF(Portafolio_Proyectos!$AQ851="","",Portafolio_Proyectos!$E851),"")</f>
        <v/>
      </c>
    </row>
    <row r="2554" spans="1:8" x14ac:dyDescent="0.35">
      <c r="A2554" s="5" t="str">
        <f>IFERROR(IF(Portafolio_Proyectos!$AR851="","","CAP-"&amp;ROW()-1),"")</f>
        <v/>
      </c>
      <c r="B2554" s="5" t="str">
        <f>IFERROR(IF(Portafolio_Proyectos!$AR851="","",Portafolio_Proyectos!$AR851),"")</f>
        <v/>
      </c>
      <c r="C2554" s="5" t="str">
        <f>IFERROR(IF(Portafolio_Proyectos!$AR851="","","Distintiva"),"")</f>
        <v/>
      </c>
      <c r="D2554" s="5" t="str">
        <f>IFERROR(IF(Portafolio_Proyectos!$AR851="","",Portafolio_Proyectos!$C851),"")</f>
        <v/>
      </c>
      <c r="E2554" s="5" t="str">
        <f>IFERROR(IF(Portafolio_Proyectos!$AR851="","",Portafolio_Proyectos!$B851),"")</f>
        <v/>
      </c>
      <c r="F2554" s="5" t="str">
        <f>IFERROR(IF(Portafolio_Proyectos!$AR851="","",Portafolio_Proyectos!$D851),"")</f>
        <v/>
      </c>
      <c r="G2554" s="5" t="str">
        <f>IFERROR(IF(Portafolio_Proyectos!$AR851="","",Portafolio_Proyectos!$A851),"")</f>
        <v/>
      </c>
      <c r="H2554" s="5" t="str">
        <f>IFERROR(IF(Portafolio_Proyectos!$AR851="","",Portafolio_Proyectos!$E851),"")</f>
        <v/>
      </c>
    </row>
    <row r="2555" spans="1:8" x14ac:dyDescent="0.35">
      <c r="A2555" s="5" t="str">
        <f>IFERROR(IF(Portafolio_Proyectos!$AP852="","","CAP-"&amp;ROW()-1),"")</f>
        <v/>
      </c>
      <c r="B2555" s="5" t="str">
        <f>IFERROR(IF(Portafolio_Proyectos!$AP852="","",Portafolio_Proyectos!$AP852),"")</f>
        <v/>
      </c>
      <c r="C2555" s="5" t="str">
        <f>IFERROR(IF(Portafolio_Proyectos!$AP852="","","Emergente"),"")</f>
        <v/>
      </c>
      <c r="D2555" s="5" t="str">
        <f>IFERROR(IF(Portafolio_Proyectos!$AP852="","",Portafolio_Proyectos!$C852),"")</f>
        <v/>
      </c>
      <c r="E2555" s="5" t="str">
        <f>IFERROR(IF(Portafolio_Proyectos!$AP852="","",Portafolio_Proyectos!$B852),"")</f>
        <v/>
      </c>
      <c r="F2555" s="5" t="str">
        <f>IFERROR(IF(Portafolio_Proyectos!$AP852="","",Portafolio_Proyectos!$D852),"")</f>
        <v/>
      </c>
      <c r="G2555" s="5" t="str">
        <f>IFERROR(IF(Portafolio_Proyectos!$AP852="","",Portafolio_Proyectos!$A852),"")</f>
        <v/>
      </c>
      <c r="H2555" s="5" t="str">
        <f>IFERROR(IF(Portafolio_Proyectos!$AP852="","",Portafolio_Proyectos!$E852),"")</f>
        <v/>
      </c>
    </row>
    <row r="2556" spans="1:8" x14ac:dyDescent="0.35">
      <c r="A2556" s="5" t="str">
        <f>IFERROR(IF(Portafolio_Proyectos!$AQ852="","","CAP-"&amp;ROW()-1),"")</f>
        <v/>
      </c>
      <c r="B2556" s="5" t="str">
        <f>IFERROR(IF(Portafolio_Proyectos!$AQ852="","",Portafolio_Proyectos!$AQ852),"")</f>
        <v/>
      </c>
      <c r="C2556" s="5" t="str">
        <f>IFERROR(IF(Portafolio_Proyectos!$AQ852="","","Consolidada"),"")</f>
        <v/>
      </c>
      <c r="D2556" s="5" t="str">
        <f>IFERROR(IF(Portafolio_Proyectos!$AQ852="","",Portafolio_Proyectos!$C852),"")</f>
        <v/>
      </c>
      <c r="E2556" s="5" t="str">
        <f>IFERROR(IF(Portafolio_Proyectos!$AQ852="","",Portafolio_Proyectos!$B852),"")</f>
        <v/>
      </c>
      <c r="F2556" s="5" t="str">
        <f>IFERROR(IF(Portafolio_Proyectos!$AQ852="","",Portafolio_Proyectos!$D852),"")</f>
        <v/>
      </c>
      <c r="G2556" s="5" t="str">
        <f>IFERROR(IF(Portafolio_Proyectos!$AQ852="","",Portafolio_Proyectos!$A852),"")</f>
        <v/>
      </c>
      <c r="H2556" s="5" t="str">
        <f>IFERROR(IF(Portafolio_Proyectos!$AQ852="","",Portafolio_Proyectos!$E852),"")</f>
        <v/>
      </c>
    </row>
    <row r="2557" spans="1:8" x14ac:dyDescent="0.35">
      <c r="A2557" s="5" t="str">
        <f>IFERROR(IF(Portafolio_Proyectos!$AR852="","","CAP-"&amp;ROW()-1),"")</f>
        <v/>
      </c>
      <c r="B2557" s="5" t="str">
        <f>IFERROR(IF(Portafolio_Proyectos!$AR852="","",Portafolio_Proyectos!$AR852),"")</f>
        <v/>
      </c>
      <c r="C2557" s="5" t="str">
        <f>IFERROR(IF(Portafolio_Proyectos!$AR852="","","Distintiva"),"")</f>
        <v/>
      </c>
      <c r="D2557" s="5" t="str">
        <f>IFERROR(IF(Portafolio_Proyectos!$AR852="","",Portafolio_Proyectos!$C852),"")</f>
        <v/>
      </c>
      <c r="E2557" s="5" t="str">
        <f>IFERROR(IF(Portafolio_Proyectos!$AR852="","",Portafolio_Proyectos!$B852),"")</f>
        <v/>
      </c>
      <c r="F2557" s="5" t="str">
        <f>IFERROR(IF(Portafolio_Proyectos!$AR852="","",Portafolio_Proyectos!$D852),"")</f>
        <v/>
      </c>
      <c r="G2557" s="5" t="str">
        <f>IFERROR(IF(Portafolio_Proyectos!$AR852="","",Portafolio_Proyectos!$A852),"")</f>
        <v/>
      </c>
      <c r="H2557" s="5" t="str">
        <f>IFERROR(IF(Portafolio_Proyectos!$AR852="","",Portafolio_Proyectos!$E852),"")</f>
        <v/>
      </c>
    </row>
    <row r="2558" spans="1:8" x14ac:dyDescent="0.35">
      <c r="A2558" s="5" t="str">
        <f>IFERROR(IF(Portafolio_Proyectos!$AP853="","","CAP-"&amp;ROW()-1),"")</f>
        <v/>
      </c>
      <c r="B2558" s="5" t="str">
        <f>IFERROR(IF(Portafolio_Proyectos!$AP853="","",Portafolio_Proyectos!$AP853),"")</f>
        <v/>
      </c>
      <c r="C2558" s="5" t="str">
        <f>IFERROR(IF(Portafolio_Proyectos!$AP853="","","Emergente"),"")</f>
        <v/>
      </c>
      <c r="D2558" s="5" t="str">
        <f>IFERROR(IF(Portafolio_Proyectos!$AP853="","",Portafolio_Proyectos!$C853),"")</f>
        <v/>
      </c>
      <c r="E2558" s="5" t="str">
        <f>IFERROR(IF(Portafolio_Proyectos!$AP853="","",Portafolio_Proyectos!$B853),"")</f>
        <v/>
      </c>
      <c r="F2558" s="5" t="str">
        <f>IFERROR(IF(Portafolio_Proyectos!$AP853="","",Portafolio_Proyectos!$D853),"")</f>
        <v/>
      </c>
      <c r="G2558" s="5" t="str">
        <f>IFERROR(IF(Portafolio_Proyectos!$AP853="","",Portafolio_Proyectos!$A853),"")</f>
        <v/>
      </c>
      <c r="H2558" s="5" t="str">
        <f>IFERROR(IF(Portafolio_Proyectos!$AP853="","",Portafolio_Proyectos!$E853),"")</f>
        <v/>
      </c>
    </row>
    <row r="2559" spans="1:8" x14ac:dyDescent="0.35">
      <c r="A2559" s="5" t="str">
        <f>IFERROR(IF(Portafolio_Proyectos!$AQ853="","","CAP-"&amp;ROW()-1),"")</f>
        <v/>
      </c>
      <c r="B2559" s="5" t="str">
        <f>IFERROR(IF(Portafolio_Proyectos!$AQ853="","",Portafolio_Proyectos!$AQ853),"")</f>
        <v/>
      </c>
      <c r="C2559" s="5" t="str">
        <f>IFERROR(IF(Portafolio_Proyectos!$AQ853="","","Consolidada"),"")</f>
        <v/>
      </c>
      <c r="D2559" s="5" t="str">
        <f>IFERROR(IF(Portafolio_Proyectos!$AQ853="","",Portafolio_Proyectos!$C853),"")</f>
        <v/>
      </c>
      <c r="E2559" s="5" t="str">
        <f>IFERROR(IF(Portafolio_Proyectos!$AQ853="","",Portafolio_Proyectos!$B853),"")</f>
        <v/>
      </c>
      <c r="F2559" s="5" t="str">
        <f>IFERROR(IF(Portafolio_Proyectos!$AQ853="","",Portafolio_Proyectos!$D853),"")</f>
        <v/>
      </c>
      <c r="G2559" s="5" t="str">
        <f>IFERROR(IF(Portafolio_Proyectos!$AQ853="","",Portafolio_Proyectos!$A853),"")</f>
        <v/>
      </c>
      <c r="H2559" s="5" t="str">
        <f>IFERROR(IF(Portafolio_Proyectos!$AQ853="","",Portafolio_Proyectos!$E853),"")</f>
        <v/>
      </c>
    </row>
    <row r="2560" spans="1:8" x14ac:dyDescent="0.35">
      <c r="A2560" s="5" t="str">
        <f>IFERROR(IF(Portafolio_Proyectos!$AR853="","","CAP-"&amp;ROW()-1),"")</f>
        <v/>
      </c>
      <c r="B2560" s="5" t="str">
        <f>IFERROR(IF(Portafolio_Proyectos!$AR853="","",Portafolio_Proyectos!$AR853),"")</f>
        <v/>
      </c>
      <c r="C2560" s="5" t="str">
        <f>IFERROR(IF(Portafolio_Proyectos!$AR853="","","Distintiva"),"")</f>
        <v/>
      </c>
      <c r="D2560" s="5" t="str">
        <f>IFERROR(IF(Portafolio_Proyectos!$AR853="","",Portafolio_Proyectos!$C853),"")</f>
        <v/>
      </c>
      <c r="E2560" s="5" t="str">
        <f>IFERROR(IF(Portafolio_Proyectos!$AR853="","",Portafolio_Proyectos!$B853),"")</f>
        <v/>
      </c>
      <c r="F2560" s="5" t="str">
        <f>IFERROR(IF(Portafolio_Proyectos!$AR853="","",Portafolio_Proyectos!$D853),"")</f>
        <v/>
      </c>
      <c r="G2560" s="5" t="str">
        <f>IFERROR(IF(Portafolio_Proyectos!$AR853="","",Portafolio_Proyectos!$A853),"")</f>
        <v/>
      </c>
      <c r="H2560" s="5" t="str">
        <f>IFERROR(IF(Portafolio_Proyectos!$AR853="","",Portafolio_Proyectos!$E853),"")</f>
        <v/>
      </c>
    </row>
    <row r="2561" spans="1:8" x14ac:dyDescent="0.35">
      <c r="A2561" s="5" t="str">
        <f>IFERROR(IF(Portafolio_Proyectos!$AP854="","","CAP-"&amp;ROW()-1),"")</f>
        <v/>
      </c>
      <c r="B2561" s="5" t="str">
        <f>IFERROR(IF(Portafolio_Proyectos!$AP854="","",Portafolio_Proyectos!$AP854),"")</f>
        <v/>
      </c>
      <c r="C2561" s="5" t="str">
        <f>IFERROR(IF(Portafolio_Proyectos!$AP854="","","Emergente"),"")</f>
        <v/>
      </c>
      <c r="D2561" s="5" t="str">
        <f>IFERROR(IF(Portafolio_Proyectos!$AP854="","",Portafolio_Proyectos!$C854),"")</f>
        <v/>
      </c>
      <c r="E2561" s="5" t="str">
        <f>IFERROR(IF(Portafolio_Proyectos!$AP854="","",Portafolio_Proyectos!$B854),"")</f>
        <v/>
      </c>
      <c r="F2561" s="5" t="str">
        <f>IFERROR(IF(Portafolio_Proyectos!$AP854="","",Portafolio_Proyectos!$D854),"")</f>
        <v/>
      </c>
      <c r="G2561" s="5" t="str">
        <f>IFERROR(IF(Portafolio_Proyectos!$AP854="","",Portafolio_Proyectos!$A854),"")</f>
        <v/>
      </c>
      <c r="H2561" s="5" t="str">
        <f>IFERROR(IF(Portafolio_Proyectos!$AP854="","",Portafolio_Proyectos!$E854),"")</f>
        <v/>
      </c>
    </row>
    <row r="2562" spans="1:8" x14ac:dyDescent="0.35">
      <c r="A2562" s="5" t="str">
        <f>IFERROR(IF(Portafolio_Proyectos!$AQ854="","","CAP-"&amp;ROW()-1),"")</f>
        <v/>
      </c>
      <c r="B2562" s="5" t="str">
        <f>IFERROR(IF(Portafolio_Proyectos!$AQ854="","",Portafolio_Proyectos!$AQ854),"")</f>
        <v/>
      </c>
      <c r="C2562" s="5" t="str">
        <f>IFERROR(IF(Portafolio_Proyectos!$AQ854="","","Consolidada"),"")</f>
        <v/>
      </c>
      <c r="D2562" s="5" t="str">
        <f>IFERROR(IF(Portafolio_Proyectos!$AQ854="","",Portafolio_Proyectos!$C854),"")</f>
        <v/>
      </c>
      <c r="E2562" s="5" t="str">
        <f>IFERROR(IF(Portafolio_Proyectos!$AQ854="","",Portafolio_Proyectos!$B854),"")</f>
        <v/>
      </c>
      <c r="F2562" s="5" t="str">
        <f>IFERROR(IF(Portafolio_Proyectos!$AQ854="","",Portafolio_Proyectos!$D854),"")</f>
        <v/>
      </c>
      <c r="G2562" s="5" t="str">
        <f>IFERROR(IF(Portafolio_Proyectos!$AQ854="","",Portafolio_Proyectos!$A854),"")</f>
        <v/>
      </c>
      <c r="H2562" s="5" t="str">
        <f>IFERROR(IF(Portafolio_Proyectos!$AQ854="","",Portafolio_Proyectos!$E854),"")</f>
        <v/>
      </c>
    </row>
    <row r="2563" spans="1:8" x14ac:dyDescent="0.35">
      <c r="A2563" s="5" t="str">
        <f>IFERROR(IF(Portafolio_Proyectos!$AR854="","","CAP-"&amp;ROW()-1),"")</f>
        <v/>
      </c>
      <c r="B2563" s="5" t="str">
        <f>IFERROR(IF(Portafolio_Proyectos!$AR854="","",Portafolio_Proyectos!$AR854),"")</f>
        <v/>
      </c>
      <c r="C2563" s="5" t="str">
        <f>IFERROR(IF(Portafolio_Proyectos!$AR854="","","Distintiva"),"")</f>
        <v/>
      </c>
      <c r="D2563" s="5" t="str">
        <f>IFERROR(IF(Portafolio_Proyectos!$AR854="","",Portafolio_Proyectos!$C854),"")</f>
        <v/>
      </c>
      <c r="E2563" s="5" t="str">
        <f>IFERROR(IF(Portafolio_Proyectos!$AR854="","",Portafolio_Proyectos!$B854),"")</f>
        <v/>
      </c>
      <c r="F2563" s="5" t="str">
        <f>IFERROR(IF(Portafolio_Proyectos!$AR854="","",Portafolio_Proyectos!$D854),"")</f>
        <v/>
      </c>
      <c r="G2563" s="5" t="str">
        <f>IFERROR(IF(Portafolio_Proyectos!$AR854="","",Portafolio_Proyectos!$A854),"")</f>
        <v/>
      </c>
      <c r="H2563" s="5" t="str">
        <f>IFERROR(IF(Portafolio_Proyectos!$AR854="","",Portafolio_Proyectos!$E854),"")</f>
        <v/>
      </c>
    </row>
    <row r="2564" spans="1:8" x14ac:dyDescent="0.35">
      <c r="A2564" s="5" t="str">
        <f>IFERROR(IF(Portafolio_Proyectos!$AP855="","","CAP-"&amp;ROW()-1),"")</f>
        <v/>
      </c>
      <c r="B2564" s="5" t="str">
        <f>IFERROR(IF(Portafolio_Proyectos!$AP855="","",Portafolio_Proyectos!$AP855),"")</f>
        <v/>
      </c>
      <c r="C2564" s="5" t="str">
        <f>IFERROR(IF(Portafolio_Proyectos!$AP855="","","Emergente"),"")</f>
        <v/>
      </c>
      <c r="D2564" s="5" t="str">
        <f>IFERROR(IF(Portafolio_Proyectos!$AP855="","",Portafolio_Proyectos!$C855),"")</f>
        <v/>
      </c>
      <c r="E2564" s="5" t="str">
        <f>IFERROR(IF(Portafolio_Proyectos!$AP855="","",Portafolio_Proyectos!$B855),"")</f>
        <v/>
      </c>
      <c r="F2564" s="5" t="str">
        <f>IFERROR(IF(Portafolio_Proyectos!$AP855="","",Portafolio_Proyectos!$D855),"")</f>
        <v/>
      </c>
      <c r="G2564" s="5" t="str">
        <f>IFERROR(IF(Portafolio_Proyectos!$AP855="","",Portafolio_Proyectos!$A855),"")</f>
        <v/>
      </c>
      <c r="H2564" s="5" t="str">
        <f>IFERROR(IF(Portafolio_Proyectos!$AP855="","",Portafolio_Proyectos!$E855),"")</f>
        <v/>
      </c>
    </row>
    <row r="2565" spans="1:8" x14ac:dyDescent="0.35">
      <c r="A2565" s="5" t="str">
        <f>IFERROR(IF(Portafolio_Proyectos!$AQ855="","","CAP-"&amp;ROW()-1),"")</f>
        <v/>
      </c>
      <c r="B2565" s="5" t="str">
        <f>IFERROR(IF(Portafolio_Proyectos!$AQ855="","",Portafolio_Proyectos!$AQ855),"")</f>
        <v/>
      </c>
      <c r="C2565" s="5" t="str">
        <f>IFERROR(IF(Portafolio_Proyectos!$AQ855="","","Consolidada"),"")</f>
        <v/>
      </c>
      <c r="D2565" s="5" t="str">
        <f>IFERROR(IF(Portafolio_Proyectos!$AQ855="","",Portafolio_Proyectos!$C855),"")</f>
        <v/>
      </c>
      <c r="E2565" s="5" t="str">
        <f>IFERROR(IF(Portafolio_Proyectos!$AQ855="","",Portafolio_Proyectos!$B855),"")</f>
        <v/>
      </c>
      <c r="F2565" s="5" t="str">
        <f>IFERROR(IF(Portafolio_Proyectos!$AQ855="","",Portafolio_Proyectos!$D855),"")</f>
        <v/>
      </c>
      <c r="G2565" s="5" t="str">
        <f>IFERROR(IF(Portafolio_Proyectos!$AQ855="","",Portafolio_Proyectos!$A855),"")</f>
        <v/>
      </c>
      <c r="H2565" s="5" t="str">
        <f>IFERROR(IF(Portafolio_Proyectos!$AQ855="","",Portafolio_Proyectos!$E855),"")</f>
        <v/>
      </c>
    </row>
    <row r="2566" spans="1:8" x14ac:dyDescent="0.35">
      <c r="A2566" s="5" t="str">
        <f>IFERROR(IF(Portafolio_Proyectos!$AR855="","","CAP-"&amp;ROW()-1),"")</f>
        <v/>
      </c>
      <c r="B2566" s="5" t="str">
        <f>IFERROR(IF(Portafolio_Proyectos!$AR855="","",Portafolio_Proyectos!$AR855),"")</f>
        <v/>
      </c>
      <c r="C2566" s="5" t="str">
        <f>IFERROR(IF(Portafolio_Proyectos!$AR855="","","Distintiva"),"")</f>
        <v/>
      </c>
      <c r="D2566" s="5" t="str">
        <f>IFERROR(IF(Portafolio_Proyectos!$AR855="","",Portafolio_Proyectos!$C855),"")</f>
        <v/>
      </c>
      <c r="E2566" s="5" t="str">
        <f>IFERROR(IF(Portafolio_Proyectos!$AR855="","",Portafolio_Proyectos!$B855),"")</f>
        <v/>
      </c>
      <c r="F2566" s="5" t="str">
        <f>IFERROR(IF(Portafolio_Proyectos!$AR855="","",Portafolio_Proyectos!$D855),"")</f>
        <v/>
      </c>
      <c r="G2566" s="5" t="str">
        <f>IFERROR(IF(Portafolio_Proyectos!$AR855="","",Portafolio_Proyectos!$A855),"")</f>
        <v/>
      </c>
      <c r="H2566" s="5" t="str">
        <f>IFERROR(IF(Portafolio_Proyectos!$AR855="","",Portafolio_Proyectos!$E855),"")</f>
        <v/>
      </c>
    </row>
    <row r="2567" spans="1:8" x14ac:dyDescent="0.35">
      <c r="A2567" s="5" t="str">
        <f>IFERROR(IF(Portafolio_Proyectos!$AP856="","","CAP-"&amp;ROW()-1),"")</f>
        <v/>
      </c>
      <c r="B2567" s="5" t="str">
        <f>IFERROR(IF(Portafolio_Proyectos!$AP856="","",Portafolio_Proyectos!$AP856),"")</f>
        <v/>
      </c>
      <c r="C2567" s="5" t="str">
        <f>IFERROR(IF(Portafolio_Proyectos!$AP856="","","Emergente"),"")</f>
        <v/>
      </c>
      <c r="D2567" s="5" t="str">
        <f>IFERROR(IF(Portafolio_Proyectos!$AP856="","",Portafolio_Proyectos!$C856),"")</f>
        <v/>
      </c>
      <c r="E2567" s="5" t="str">
        <f>IFERROR(IF(Portafolio_Proyectos!$AP856="","",Portafolio_Proyectos!$B856),"")</f>
        <v/>
      </c>
      <c r="F2567" s="5" t="str">
        <f>IFERROR(IF(Portafolio_Proyectos!$AP856="","",Portafolio_Proyectos!$D856),"")</f>
        <v/>
      </c>
      <c r="G2567" s="5" t="str">
        <f>IFERROR(IF(Portafolio_Proyectos!$AP856="","",Portafolio_Proyectos!$A856),"")</f>
        <v/>
      </c>
      <c r="H2567" s="5" t="str">
        <f>IFERROR(IF(Portafolio_Proyectos!$AP856="","",Portafolio_Proyectos!$E856),"")</f>
        <v/>
      </c>
    </row>
    <row r="2568" spans="1:8" x14ac:dyDescent="0.35">
      <c r="A2568" s="5" t="str">
        <f>IFERROR(IF(Portafolio_Proyectos!$AQ856="","","CAP-"&amp;ROW()-1),"")</f>
        <v/>
      </c>
      <c r="B2568" s="5" t="str">
        <f>IFERROR(IF(Portafolio_Proyectos!$AQ856="","",Portafolio_Proyectos!$AQ856),"")</f>
        <v/>
      </c>
      <c r="C2568" s="5" t="str">
        <f>IFERROR(IF(Portafolio_Proyectos!$AQ856="","","Consolidada"),"")</f>
        <v/>
      </c>
      <c r="D2568" s="5" t="str">
        <f>IFERROR(IF(Portafolio_Proyectos!$AQ856="","",Portafolio_Proyectos!$C856),"")</f>
        <v/>
      </c>
      <c r="E2568" s="5" t="str">
        <f>IFERROR(IF(Portafolio_Proyectos!$AQ856="","",Portafolio_Proyectos!$B856),"")</f>
        <v/>
      </c>
      <c r="F2568" s="5" t="str">
        <f>IFERROR(IF(Portafolio_Proyectos!$AQ856="","",Portafolio_Proyectos!$D856),"")</f>
        <v/>
      </c>
      <c r="G2568" s="5" t="str">
        <f>IFERROR(IF(Portafolio_Proyectos!$AQ856="","",Portafolio_Proyectos!$A856),"")</f>
        <v/>
      </c>
      <c r="H2568" s="5" t="str">
        <f>IFERROR(IF(Portafolio_Proyectos!$AQ856="","",Portafolio_Proyectos!$E856),"")</f>
        <v/>
      </c>
    </row>
    <row r="2569" spans="1:8" x14ac:dyDescent="0.35">
      <c r="A2569" s="5" t="str">
        <f>IFERROR(IF(Portafolio_Proyectos!$AR856="","","CAP-"&amp;ROW()-1),"")</f>
        <v/>
      </c>
      <c r="B2569" s="5" t="str">
        <f>IFERROR(IF(Portafolio_Proyectos!$AR856="","",Portafolio_Proyectos!$AR856),"")</f>
        <v/>
      </c>
      <c r="C2569" s="5" t="str">
        <f>IFERROR(IF(Portafolio_Proyectos!$AR856="","","Distintiva"),"")</f>
        <v/>
      </c>
      <c r="D2569" s="5" t="str">
        <f>IFERROR(IF(Portafolio_Proyectos!$AR856="","",Portafolio_Proyectos!$C856),"")</f>
        <v/>
      </c>
      <c r="E2569" s="5" t="str">
        <f>IFERROR(IF(Portafolio_Proyectos!$AR856="","",Portafolio_Proyectos!$B856),"")</f>
        <v/>
      </c>
      <c r="F2569" s="5" t="str">
        <f>IFERROR(IF(Portafolio_Proyectos!$AR856="","",Portafolio_Proyectos!$D856),"")</f>
        <v/>
      </c>
      <c r="G2569" s="5" t="str">
        <f>IFERROR(IF(Portafolio_Proyectos!$AR856="","",Portafolio_Proyectos!$A856),"")</f>
        <v/>
      </c>
      <c r="H2569" s="5" t="str">
        <f>IFERROR(IF(Portafolio_Proyectos!$AR856="","",Portafolio_Proyectos!$E856),"")</f>
        <v/>
      </c>
    </row>
    <row r="2570" spans="1:8" x14ac:dyDescent="0.35">
      <c r="A2570" s="5" t="str">
        <f>IFERROR(IF(Portafolio_Proyectos!$AP857="","","CAP-"&amp;ROW()-1),"")</f>
        <v/>
      </c>
      <c r="B2570" s="5" t="str">
        <f>IFERROR(IF(Portafolio_Proyectos!$AP857="","",Portafolio_Proyectos!$AP857),"")</f>
        <v/>
      </c>
      <c r="C2570" s="5" t="str">
        <f>IFERROR(IF(Portafolio_Proyectos!$AP857="","","Emergente"),"")</f>
        <v/>
      </c>
      <c r="D2570" s="5" t="str">
        <f>IFERROR(IF(Portafolio_Proyectos!$AP857="","",Portafolio_Proyectos!$C857),"")</f>
        <v/>
      </c>
      <c r="E2570" s="5" t="str">
        <f>IFERROR(IF(Portafolio_Proyectos!$AP857="","",Portafolio_Proyectos!$B857),"")</f>
        <v/>
      </c>
      <c r="F2570" s="5" t="str">
        <f>IFERROR(IF(Portafolio_Proyectos!$AP857="","",Portafolio_Proyectos!$D857),"")</f>
        <v/>
      </c>
      <c r="G2570" s="5" t="str">
        <f>IFERROR(IF(Portafolio_Proyectos!$AP857="","",Portafolio_Proyectos!$A857),"")</f>
        <v/>
      </c>
      <c r="H2570" s="5" t="str">
        <f>IFERROR(IF(Portafolio_Proyectos!$AP857="","",Portafolio_Proyectos!$E857),"")</f>
        <v/>
      </c>
    </row>
    <row r="2571" spans="1:8" x14ac:dyDescent="0.35">
      <c r="A2571" s="5" t="str">
        <f>IFERROR(IF(Portafolio_Proyectos!$AQ857="","","CAP-"&amp;ROW()-1),"")</f>
        <v/>
      </c>
      <c r="B2571" s="5" t="str">
        <f>IFERROR(IF(Portafolio_Proyectos!$AQ857="","",Portafolio_Proyectos!$AQ857),"")</f>
        <v/>
      </c>
      <c r="C2571" s="5" t="str">
        <f>IFERROR(IF(Portafolio_Proyectos!$AQ857="","","Consolidada"),"")</f>
        <v/>
      </c>
      <c r="D2571" s="5" t="str">
        <f>IFERROR(IF(Portafolio_Proyectos!$AQ857="","",Portafolio_Proyectos!$C857),"")</f>
        <v/>
      </c>
      <c r="E2571" s="5" t="str">
        <f>IFERROR(IF(Portafolio_Proyectos!$AQ857="","",Portafolio_Proyectos!$B857),"")</f>
        <v/>
      </c>
      <c r="F2571" s="5" t="str">
        <f>IFERROR(IF(Portafolio_Proyectos!$AQ857="","",Portafolio_Proyectos!$D857),"")</f>
        <v/>
      </c>
      <c r="G2571" s="5" t="str">
        <f>IFERROR(IF(Portafolio_Proyectos!$AQ857="","",Portafolio_Proyectos!$A857),"")</f>
        <v/>
      </c>
      <c r="H2571" s="5" t="str">
        <f>IFERROR(IF(Portafolio_Proyectos!$AQ857="","",Portafolio_Proyectos!$E857),"")</f>
        <v/>
      </c>
    </row>
    <row r="2572" spans="1:8" x14ac:dyDescent="0.35">
      <c r="A2572" s="5" t="str">
        <f>IFERROR(IF(Portafolio_Proyectos!$AR857="","","CAP-"&amp;ROW()-1),"")</f>
        <v/>
      </c>
      <c r="B2572" s="5" t="str">
        <f>IFERROR(IF(Portafolio_Proyectos!$AR857="","",Portafolio_Proyectos!$AR857),"")</f>
        <v/>
      </c>
      <c r="C2572" s="5" t="str">
        <f>IFERROR(IF(Portafolio_Proyectos!$AR857="","","Distintiva"),"")</f>
        <v/>
      </c>
      <c r="D2572" s="5" t="str">
        <f>IFERROR(IF(Portafolio_Proyectos!$AR857="","",Portafolio_Proyectos!$C857),"")</f>
        <v/>
      </c>
      <c r="E2572" s="5" t="str">
        <f>IFERROR(IF(Portafolio_Proyectos!$AR857="","",Portafolio_Proyectos!$B857),"")</f>
        <v/>
      </c>
      <c r="F2572" s="5" t="str">
        <f>IFERROR(IF(Portafolio_Proyectos!$AR857="","",Portafolio_Proyectos!$D857),"")</f>
        <v/>
      </c>
      <c r="G2572" s="5" t="str">
        <f>IFERROR(IF(Portafolio_Proyectos!$AR857="","",Portafolio_Proyectos!$A857),"")</f>
        <v/>
      </c>
      <c r="H2572" s="5" t="str">
        <f>IFERROR(IF(Portafolio_Proyectos!$AR857="","",Portafolio_Proyectos!$E857),"")</f>
        <v/>
      </c>
    </row>
    <row r="2573" spans="1:8" x14ac:dyDescent="0.35">
      <c r="A2573" s="5" t="str">
        <f>IFERROR(IF(Portafolio_Proyectos!$AP858="","","CAP-"&amp;ROW()-1),"")</f>
        <v/>
      </c>
      <c r="B2573" s="5" t="str">
        <f>IFERROR(IF(Portafolio_Proyectos!$AP858="","",Portafolio_Proyectos!$AP858),"")</f>
        <v/>
      </c>
      <c r="C2573" s="5" t="str">
        <f>IFERROR(IF(Portafolio_Proyectos!$AP858="","","Emergente"),"")</f>
        <v/>
      </c>
      <c r="D2573" s="5" t="str">
        <f>IFERROR(IF(Portafolio_Proyectos!$AP858="","",Portafolio_Proyectos!$C858),"")</f>
        <v/>
      </c>
      <c r="E2573" s="5" t="str">
        <f>IFERROR(IF(Portafolio_Proyectos!$AP858="","",Portafolio_Proyectos!$B858),"")</f>
        <v/>
      </c>
      <c r="F2573" s="5" t="str">
        <f>IFERROR(IF(Portafolio_Proyectos!$AP858="","",Portafolio_Proyectos!$D858),"")</f>
        <v/>
      </c>
      <c r="G2573" s="5" t="str">
        <f>IFERROR(IF(Portafolio_Proyectos!$AP858="","",Portafolio_Proyectos!$A858),"")</f>
        <v/>
      </c>
      <c r="H2573" s="5" t="str">
        <f>IFERROR(IF(Portafolio_Proyectos!$AP858="","",Portafolio_Proyectos!$E858),"")</f>
        <v/>
      </c>
    </row>
    <row r="2574" spans="1:8" x14ac:dyDescent="0.35">
      <c r="A2574" s="5" t="str">
        <f>IFERROR(IF(Portafolio_Proyectos!$AQ858="","","CAP-"&amp;ROW()-1),"")</f>
        <v/>
      </c>
      <c r="B2574" s="5" t="str">
        <f>IFERROR(IF(Portafolio_Proyectos!$AQ858="","",Portafolio_Proyectos!$AQ858),"")</f>
        <v/>
      </c>
      <c r="C2574" s="5" t="str">
        <f>IFERROR(IF(Portafolio_Proyectos!$AQ858="","","Consolidada"),"")</f>
        <v/>
      </c>
      <c r="D2574" s="5" t="str">
        <f>IFERROR(IF(Portafolio_Proyectos!$AQ858="","",Portafolio_Proyectos!$C858),"")</f>
        <v/>
      </c>
      <c r="E2574" s="5" t="str">
        <f>IFERROR(IF(Portafolio_Proyectos!$AQ858="","",Portafolio_Proyectos!$B858),"")</f>
        <v/>
      </c>
      <c r="F2574" s="5" t="str">
        <f>IFERROR(IF(Portafolio_Proyectos!$AQ858="","",Portafolio_Proyectos!$D858),"")</f>
        <v/>
      </c>
      <c r="G2574" s="5" t="str">
        <f>IFERROR(IF(Portafolio_Proyectos!$AQ858="","",Portafolio_Proyectos!$A858),"")</f>
        <v/>
      </c>
      <c r="H2574" s="5" t="str">
        <f>IFERROR(IF(Portafolio_Proyectos!$AQ858="","",Portafolio_Proyectos!$E858),"")</f>
        <v/>
      </c>
    </row>
    <row r="2575" spans="1:8" x14ac:dyDescent="0.35">
      <c r="A2575" s="5" t="str">
        <f>IFERROR(IF(Portafolio_Proyectos!$AR858="","","CAP-"&amp;ROW()-1),"")</f>
        <v/>
      </c>
      <c r="B2575" s="5" t="str">
        <f>IFERROR(IF(Portafolio_Proyectos!$AR858="","",Portafolio_Proyectos!$AR858),"")</f>
        <v/>
      </c>
      <c r="C2575" s="5" t="str">
        <f>IFERROR(IF(Portafolio_Proyectos!$AR858="","","Distintiva"),"")</f>
        <v/>
      </c>
      <c r="D2575" s="5" t="str">
        <f>IFERROR(IF(Portafolio_Proyectos!$AR858="","",Portafolio_Proyectos!$C858),"")</f>
        <v/>
      </c>
      <c r="E2575" s="5" t="str">
        <f>IFERROR(IF(Portafolio_Proyectos!$AR858="","",Portafolio_Proyectos!$B858),"")</f>
        <v/>
      </c>
      <c r="F2575" s="5" t="str">
        <f>IFERROR(IF(Portafolio_Proyectos!$AR858="","",Portafolio_Proyectos!$D858),"")</f>
        <v/>
      </c>
      <c r="G2575" s="5" t="str">
        <f>IFERROR(IF(Portafolio_Proyectos!$AR858="","",Portafolio_Proyectos!$A858),"")</f>
        <v/>
      </c>
      <c r="H2575" s="5" t="str">
        <f>IFERROR(IF(Portafolio_Proyectos!$AR858="","",Portafolio_Proyectos!$E858),"")</f>
        <v/>
      </c>
    </row>
    <row r="2576" spans="1:8" x14ac:dyDescent="0.35">
      <c r="A2576" s="5" t="str">
        <f>IFERROR(IF(Portafolio_Proyectos!$AP859="","","CAP-"&amp;ROW()-1),"")</f>
        <v/>
      </c>
      <c r="B2576" s="5" t="str">
        <f>IFERROR(IF(Portafolio_Proyectos!$AP859="","",Portafolio_Proyectos!$AP859),"")</f>
        <v/>
      </c>
      <c r="C2576" s="5" t="str">
        <f>IFERROR(IF(Portafolio_Proyectos!$AP859="","","Emergente"),"")</f>
        <v/>
      </c>
      <c r="D2576" s="5" t="str">
        <f>IFERROR(IF(Portafolio_Proyectos!$AP859="","",Portafolio_Proyectos!$C859),"")</f>
        <v/>
      </c>
      <c r="E2576" s="5" t="str">
        <f>IFERROR(IF(Portafolio_Proyectos!$AP859="","",Portafolio_Proyectos!$B859),"")</f>
        <v/>
      </c>
      <c r="F2576" s="5" t="str">
        <f>IFERROR(IF(Portafolio_Proyectos!$AP859="","",Portafolio_Proyectos!$D859),"")</f>
        <v/>
      </c>
      <c r="G2576" s="5" t="str">
        <f>IFERROR(IF(Portafolio_Proyectos!$AP859="","",Portafolio_Proyectos!$A859),"")</f>
        <v/>
      </c>
      <c r="H2576" s="5" t="str">
        <f>IFERROR(IF(Portafolio_Proyectos!$AP859="","",Portafolio_Proyectos!$E859),"")</f>
        <v/>
      </c>
    </row>
    <row r="2577" spans="1:8" x14ac:dyDescent="0.35">
      <c r="A2577" s="5" t="str">
        <f>IFERROR(IF(Portafolio_Proyectos!$AQ859="","","CAP-"&amp;ROW()-1),"")</f>
        <v/>
      </c>
      <c r="B2577" s="5" t="str">
        <f>IFERROR(IF(Portafolio_Proyectos!$AQ859="","",Portafolio_Proyectos!$AQ859),"")</f>
        <v/>
      </c>
      <c r="C2577" s="5" t="str">
        <f>IFERROR(IF(Portafolio_Proyectos!$AQ859="","","Consolidada"),"")</f>
        <v/>
      </c>
      <c r="D2577" s="5" t="str">
        <f>IFERROR(IF(Portafolio_Proyectos!$AQ859="","",Portafolio_Proyectos!$C859),"")</f>
        <v/>
      </c>
      <c r="E2577" s="5" t="str">
        <f>IFERROR(IF(Portafolio_Proyectos!$AQ859="","",Portafolio_Proyectos!$B859),"")</f>
        <v/>
      </c>
      <c r="F2577" s="5" t="str">
        <f>IFERROR(IF(Portafolio_Proyectos!$AQ859="","",Portafolio_Proyectos!$D859),"")</f>
        <v/>
      </c>
      <c r="G2577" s="5" t="str">
        <f>IFERROR(IF(Portafolio_Proyectos!$AQ859="","",Portafolio_Proyectos!$A859),"")</f>
        <v/>
      </c>
      <c r="H2577" s="5" t="str">
        <f>IFERROR(IF(Portafolio_Proyectos!$AQ859="","",Portafolio_Proyectos!$E859),"")</f>
        <v/>
      </c>
    </row>
    <row r="2578" spans="1:8" x14ac:dyDescent="0.35">
      <c r="A2578" s="5" t="str">
        <f>IFERROR(IF(Portafolio_Proyectos!$AR859="","","CAP-"&amp;ROW()-1),"")</f>
        <v/>
      </c>
      <c r="B2578" s="5" t="str">
        <f>IFERROR(IF(Portafolio_Proyectos!$AR859="","",Portafolio_Proyectos!$AR859),"")</f>
        <v/>
      </c>
      <c r="C2578" s="5" t="str">
        <f>IFERROR(IF(Portafolio_Proyectos!$AR859="","","Distintiva"),"")</f>
        <v/>
      </c>
      <c r="D2578" s="5" t="str">
        <f>IFERROR(IF(Portafolio_Proyectos!$AR859="","",Portafolio_Proyectos!$C859),"")</f>
        <v/>
      </c>
      <c r="E2578" s="5" t="str">
        <f>IFERROR(IF(Portafolio_Proyectos!$AR859="","",Portafolio_Proyectos!$B859),"")</f>
        <v/>
      </c>
      <c r="F2578" s="5" t="str">
        <f>IFERROR(IF(Portafolio_Proyectos!$AR859="","",Portafolio_Proyectos!$D859),"")</f>
        <v/>
      </c>
      <c r="G2578" s="5" t="str">
        <f>IFERROR(IF(Portafolio_Proyectos!$AR859="","",Portafolio_Proyectos!$A859),"")</f>
        <v/>
      </c>
      <c r="H2578" s="5" t="str">
        <f>IFERROR(IF(Portafolio_Proyectos!$AR859="","",Portafolio_Proyectos!$E859),"")</f>
        <v/>
      </c>
    </row>
    <row r="2579" spans="1:8" x14ac:dyDescent="0.35">
      <c r="A2579" s="5" t="str">
        <f>IFERROR(IF(Portafolio_Proyectos!$AP860="","","CAP-"&amp;ROW()-1),"")</f>
        <v/>
      </c>
      <c r="B2579" s="5" t="str">
        <f>IFERROR(IF(Portafolio_Proyectos!$AP860="","",Portafolio_Proyectos!$AP860),"")</f>
        <v/>
      </c>
      <c r="C2579" s="5" t="str">
        <f>IFERROR(IF(Portafolio_Proyectos!$AP860="","","Emergente"),"")</f>
        <v/>
      </c>
      <c r="D2579" s="5" t="str">
        <f>IFERROR(IF(Portafolio_Proyectos!$AP860="","",Portafolio_Proyectos!$C860),"")</f>
        <v/>
      </c>
      <c r="E2579" s="5" t="str">
        <f>IFERROR(IF(Portafolio_Proyectos!$AP860="","",Portafolio_Proyectos!$B860),"")</f>
        <v/>
      </c>
      <c r="F2579" s="5" t="str">
        <f>IFERROR(IF(Portafolio_Proyectos!$AP860="","",Portafolio_Proyectos!$D860),"")</f>
        <v/>
      </c>
      <c r="G2579" s="5" t="str">
        <f>IFERROR(IF(Portafolio_Proyectos!$AP860="","",Portafolio_Proyectos!$A860),"")</f>
        <v/>
      </c>
      <c r="H2579" s="5" t="str">
        <f>IFERROR(IF(Portafolio_Proyectos!$AP860="","",Portafolio_Proyectos!$E860),"")</f>
        <v/>
      </c>
    </row>
    <row r="2580" spans="1:8" x14ac:dyDescent="0.35">
      <c r="A2580" s="5" t="str">
        <f>IFERROR(IF(Portafolio_Proyectos!$AQ860="","","CAP-"&amp;ROW()-1),"")</f>
        <v/>
      </c>
      <c r="B2580" s="5" t="str">
        <f>IFERROR(IF(Portafolio_Proyectos!$AQ860="","",Portafolio_Proyectos!$AQ860),"")</f>
        <v/>
      </c>
      <c r="C2580" s="5" t="str">
        <f>IFERROR(IF(Portafolio_Proyectos!$AQ860="","","Consolidada"),"")</f>
        <v/>
      </c>
      <c r="D2580" s="5" t="str">
        <f>IFERROR(IF(Portafolio_Proyectos!$AQ860="","",Portafolio_Proyectos!$C860),"")</f>
        <v/>
      </c>
      <c r="E2580" s="5" t="str">
        <f>IFERROR(IF(Portafolio_Proyectos!$AQ860="","",Portafolio_Proyectos!$B860),"")</f>
        <v/>
      </c>
      <c r="F2580" s="5" t="str">
        <f>IFERROR(IF(Portafolio_Proyectos!$AQ860="","",Portafolio_Proyectos!$D860),"")</f>
        <v/>
      </c>
      <c r="G2580" s="5" t="str">
        <f>IFERROR(IF(Portafolio_Proyectos!$AQ860="","",Portafolio_Proyectos!$A860),"")</f>
        <v/>
      </c>
      <c r="H2580" s="5" t="str">
        <f>IFERROR(IF(Portafolio_Proyectos!$AQ860="","",Portafolio_Proyectos!$E860),"")</f>
        <v/>
      </c>
    </row>
    <row r="2581" spans="1:8" x14ac:dyDescent="0.35">
      <c r="A2581" s="5" t="str">
        <f>IFERROR(IF(Portafolio_Proyectos!$AR860="","","CAP-"&amp;ROW()-1),"")</f>
        <v/>
      </c>
      <c r="B2581" s="5" t="str">
        <f>IFERROR(IF(Portafolio_Proyectos!$AR860="","",Portafolio_Proyectos!$AR860),"")</f>
        <v/>
      </c>
      <c r="C2581" s="5" t="str">
        <f>IFERROR(IF(Portafolio_Proyectos!$AR860="","","Distintiva"),"")</f>
        <v/>
      </c>
      <c r="D2581" s="5" t="str">
        <f>IFERROR(IF(Portafolio_Proyectos!$AR860="","",Portafolio_Proyectos!$C860),"")</f>
        <v/>
      </c>
      <c r="E2581" s="5" t="str">
        <f>IFERROR(IF(Portafolio_Proyectos!$AR860="","",Portafolio_Proyectos!$B860),"")</f>
        <v/>
      </c>
      <c r="F2581" s="5" t="str">
        <f>IFERROR(IF(Portafolio_Proyectos!$AR860="","",Portafolio_Proyectos!$D860),"")</f>
        <v/>
      </c>
      <c r="G2581" s="5" t="str">
        <f>IFERROR(IF(Portafolio_Proyectos!$AR860="","",Portafolio_Proyectos!$A860),"")</f>
        <v/>
      </c>
      <c r="H2581" s="5" t="str">
        <f>IFERROR(IF(Portafolio_Proyectos!$AR860="","",Portafolio_Proyectos!$E860),"")</f>
        <v/>
      </c>
    </row>
    <row r="2582" spans="1:8" x14ac:dyDescent="0.35">
      <c r="A2582" s="5" t="str">
        <f>IFERROR(IF(Portafolio_Proyectos!$AP861="","","CAP-"&amp;ROW()-1),"")</f>
        <v/>
      </c>
      <c r="B2582" s="5" t="str">
        <f>IFERROR(IF(Portafolio_Proyectos!$AP861="","",Portafolio_Proyectos!$AP861),"")</f>
        <v/>
      </c>
      <c r="C2582" s="5" t="str">
        <f>IFERROR(IF(Portafolio_Proyectos!$AP861="","","Emergente"),"")</f>
        <v/>
      </c>
      <c r="D2582" s="5" t="str">
        <f>IFERROR(IF(Portafolio_Proyectos!$AP861="","",Portafolio_Proyectos!$C861),"")</f>
        <v/>
      </c>
      <c r="E2582" s="5" t="str">
        <f>IFERROR(IF(Portafolio_Proyectos!$AP861="","",Portafolio_Proyectos!$B861),"")</f>
        <v/>
      </c>
      <c r="F2582" s="5" t="str">
        <f>IFERROR(IF(Portafolio_Proyectos!$AP861="","",Portafolio_Proyectos!$D861),"")</f>
        <v/>
      </c>
      <c r="G2582" s="5" t="str">
        <f>IFERROR(IF(Portafolio_Proyectos!$AP861="","",Portafolio_Proyectos!$A861),"")</f>
        <v/>
      </c>
      <c r="H2582" s="5" t="str">
        <f>IFERROR(IF(Portafolio_Proyectos!$AP861="","",Portafolio_Proyectos!$E861),"")</f>
        <v/>
      </c>
    </row>
    <row r="2583" spans="1:8" x14ac:dyDescent="0.35">
      <c r="A2583" s="5" t="str">
        <f>IFERROR(IF(Portafolio_Proyectos!$AQ861="","","CAP-"&amp;ROW()-1),"")</f>
        <v/>
      </c>
      <c r="B2583" s="5" t="str">
        <f>IFERROR(IF(Portafolio_Proyectos!$AQ861="","",Portafolio_Proyectos!$AQ861),"")</f>
        <v/>
      </c>
      <c r="C2583" s="5" t="str">
        <f>IFERROR(IF(Portafolio_Proyectos!$AQ861="","","Consolidada"),"")</f>
        <v/>
      </c>
      <c r="D2583" s="5" t="str">
        <f>IFERROR(IF(Portafolio_Proyectos!$AQ861="","",Portafolio_Proyectos!$C861),"")</f>
        <v/>
      </c>
      <c r="E2583" s="5" t="str">
        <f>IFERROR(IF(Portafolio_Proyectos!$AQ861="","",Portafolio_Proyectos!$B861),"")</f>
        <v/>
      </c>
      <c r="F2583" s="5" t="str">
        <f>IFERROR(IF(Portafolio_Proyectos!$AQ861="","",Portafolio_Proyectos!$D861),"")</f>
        <v/>
      </c>
      <c r="G2583" s="5" t="str">
        <f>IFERROR(IF(Portafolio_Proyectos!$AQ861="","",Portafolio_Proyectos!$A861),"")</f>
        <v/>
      </c>
      <c r="H2583" s="5" t="str">
        <f>IFERROR(IF(Portafolio_Proyectos!$AQ861="","",Portafolio_Proyectos!$E861),"")</f>
        <v/>
      </c>
    </row>
    <row r="2584" spans="1:8" x14ac:dyDescent="0.35">
      <c r="A2584" s="5" t="str">
        <f>IFERROR(IF(Portafolio_Proyectos!$AR861="","","CAP-"&amp;ROW()-1),"")</f>
        <v/>
      </c>
      <c r="B2584" s="5" t="str">
        <f>IFERROR(IF(Portafolio_Proyectos!$AR861="","",Portafolio_Proyectos!$AR861),"")</f>
        <v/>
      </c>
      <c r="C2584" s="5" t="str">
        <f>IFERROR(IF(Portafolio_Proyectos!$AR861="","","Distintiva"),"")</f>
        <v/>
      </c>
      <c r="D2584" s="5" t="str">
        <f>IFERROR(IF(Portafolio_Proyectos!$AR861="","",Portafolio_Proyectos!$C861),"")</f>
        <v/>
      </c>
      <c r="E2584" s="5" t="str">
        <f>IFERROR(IF(Portafolio_Proyectos!$AR861="","",Portafolio_Proyectos!$B861),"")</f>
        <v/>
      </c>
      <c r="F2584" s="5" t="str">
        <f>IFERROR(IF(Portafolio_Proyectos!$AR861="","",Portafolio_Proyectos!$D861),"")</f>
        <v/>
      </c>
      <c r="G2584" s="5" t="str">
        <f>IFERROR(IF(Portafolio_Proyectos!$AR861="","",Portafolio_Proyectos!$A861),"")</f>
        <v/>
      </c>
      <c r="H2584" s="5" t="str">
        <f>IFERROR(IF(Portafolio_Proyectos!$AR861="","",Portafolio_Proyectos!$E861),"")</f>
        <v/>
      </c>
    </row>
    <row r="2585" spans="1:8" x14ac:dyDescent="0.35">
      <c r="A2585" s="5" t="str">
        <f>IFERROR(IF(Portafolio_Proyectos!$AP862="","","CAP-"&amp;ROW()-1),"")</f>
        <v/>
      </c>
      <c r="B2585" s="5" t="str">
        <f>IFERROR(IF(Portafolio_Proyectos!$AP862="","",Portafolio_Proyectos!$AP862),"")</f>
        <v/>
      </c>
      <c r="C2585" s="5" t="str">
        <f>IFERROR(IF(Portafolio_Proyectos!$AP862="","","Emergente"),"")</f>
        <v/>
      </c>
      <c r="D2585" s="5" t="str">
        <f>IFERROR(IF(Portafolio_Proyectos!$AP862="","",Portafolio_Proyectos!$C862),"")</f>
        <v/>
      </c>
      <c r="E2585" s="5" t="str">
        <f>IFERROR(IF(Portafolio_Proyectos!$AP862="","",Portafolio_Proyectos!$B862),"")</f>
        <v/>
      </c>
      <c r="F2585" s="5" t="str">
        <f>IFERROR(IF(Portafolio_Proyectos!$AP862="","",Portafolio_Proyectos!$D862),"")</f>
        <v/>
      </c>
      <c r="G2585" s="5" t="str">
        <f>IFERROR(IF(Portafolio_Proyectos!$AP862="","",Portafolio_Proyectos!$A862),"")</f>
        <v/>
      </c>
      <c r="H2585" s="5" t="str">
        <f>IFERROR(IF(Portafolio_Proyectos!$AP862="","",Portafolio_Proyectos!$E862),"")</f>
        <v/>
      </c>
    </row>
    <row r="2586" spans="1:8" x14ac:dyDescent="0.35">
      <c r="A2586" s="5" t="str">
        <f>IFERROR(IF(Portafolio_Proyectos!$AQ862="","","CAP-"&amp;ROW()-1),"")</f>
        <v/>
      </c>
      <c r="B2586" s="5" t="str">
        <f>IFERROR(IF(Portafolio_Proyectos!$AQ862="","",Portafolio_Proyectos!$AQ862),"")</f>
        <v/>
      </c>
      <c r="C2586" s="5" t="str">
        <f>IFERROR(IF(Portafolio_Proyectos!$AQ862="","","Consolidada"),"")</f>
        <v/>
      </c>
      <c r="D2586" s="5" t="str">
        <f>IFERROR(IF(Portafolio_Proyectos!$AQ862="","",Portafolio_Proyectos!$C862),"")</f>
        <v/>
      </c>
      <c r="E2586" s="5" t="str">
        <f>IFERROR(IF(Portafolio_Proyectos!$AQ862="","",Portafolio_Proyectos!$B862),"")</f>
        <v/>
      </c>
      <c r="F2586" s="5" t="str">
        <f>IFERROR(IF(Portafolio_Proyectos!$AQ862="","",Portafolio_Proyectos!$D862),"")</f>
        <v/>
      </c>
      <c r="G2586" s="5" t="str">
        <f>IFERROR(IF(Portafolio_Proyectos!$AQ862="","",Portafolio_Proyectos!$A862),"")</f>
        <v/>
      </c>
      <c r="H2586" s="5" t="str">
        <f>IFERROR(IF(Portafolio_Proyectos!$AQ862="","",Portafolio_Proyectos!$E862),"")</f>
        <v/>
      </c>
    </row>
    <row r="2587" spans="1:8" x14ac:dyDescent="0.35">
      <c r="A2587" s="5" t="str">
        <f>IFERROR(IF(Portafolio_Proyectos!$AR862="","","CAP-"&amp;ROW()-1),"")</f>
        <v/>
      </c>
      <c r="B2587" s="5" t="str">
        <f>IFERROR(IF(Portafolio_Proyectos!$AR862="","",Portafolio_Proyectos!$AR862),"")</f>
        <v/>
      </c>
      <c r="C2587" s="5" t="str">
        <f>IFERROR(IF(Portafolio_Proyectos!$AR862="","","Distintiva"),"")</f>
        <v/>
      </c>
      <c r="D2587" s="5" t="str">
        <f>IFERROR(IF(Portafolio_Proyectos!$AR862="","",Portafolio_Proyectos!$C862),"")</f>
        <v/>
      </c>
      <c r="E2587" s="5" t="str">
        <f>IFERROR(IF(Portafolio_Proyectos!$AR862="","",Portafolio_Proyectos!$B862),"")</f>
        <v/>
      </c>
      <c r="F2587" s="5" t="str">
        <f>IFERROR(IF(Portafolio_Proyectos!$AR862="","",Portafolio_Proyectos!$D862),"")</f>
        <v/>
      </c>
      <c r="G2587" s="5" t="str">
        <f>IFERROR(IF(Portafolio_Proyectos!$AR862="","",Portafolio_Proyectos!$A862),"")</f>
        <v/>
      </c>
      <c r="H2587" s="5" t="str">
        <f>IFERROR(IF(Portafolio_Proyectos!$AR862="","",Portafolio_Proyectos!$E862),"")</f>
        <v/>
      </c>
    </row>
    <row r="2588" spans="1:8" x14ac:dyDescent="0.35">
      <c r="A2588" s="5" t="str">
        <f>IFERROR(IF(Portafolio_Proyectos!$AP863="","","CAP-"&amp;ROW()-1),"")</f>
        <v/>
      </c>
      <c r="B2588" s="5" t="str">
        <f>IFERROR(IF(Portafolio_Proyectos!$AP863="","",Portafolio_Proyectos!$AP863),"")</f>
        <v/>
      </c>
      <c r="C2588" s="5" t="str">
        <f>IFERROR(IF(Portafolio_Proyectos!$AP863="","","Emergente"),"")</f>
        <v/>
      </c>
      <c r="D2588" s="5" t="str">
        <f>IFERROR(IF(Portafolio_Proyectos!$AP863="","",Portafolio_Proyectos!$C863),"")</f>
        <v/>
      </c>
      <c r="E2588" s="5" t="str">
        <f>IFERROR(IF(Portafolio_Proyectos!$AP863="","",Portafolio_Proyectos!$B863),"")</f>
        <v/>
      </c>
      <c r="F2588" s="5" t="str">
        <f>IFERROR(IF(Portafolio_Proyectos!$AP863="","",Portafolio_Proyectos!$D863),"")</f>
        <v/>
      </c>
      <c r="G2588" s="5" t="str">
        <f>IFERROR(IF(Portafolio_Proyectos!$AP863="","",Portafolio_Proyectos!$A863),"")</f>
        <v/>
      </c>
      <c r="H2588" s="5" t="str">
        <f>IFERROR(IF(Portafolio_Proyectos!$AP863="","",Portafolio_Proyectos!$E863),"")</f>
        <v/>
      </c>
    </row>
    <row r="2589" spans="1:8" x14ac:dyDescent="0.35">
      <c r="A2589" s="5" t="str">
        <f>IFERROR(IF(Portafolio_Proyectos!$AQ863="","","CAP-"&amp;ROW()-1),"")</f>
        <v/>
      </c>
      <c r="B2589" s="5" t="str">
        <f>IFERROR(IF(Portafolio_Proyectos!$AQ863="","",Portafolio_Proyectos!$AQ863),"")</f>
        <v/>
      </c>
      <c r="C2589" s="5" t="str">
        <f>IFERROR(IF(Portafolio_Proyectos!$AQ863="","","Consolidada"),"")</f>
        <v/>
      </c>
      <c r="D2589" s="5" t="str">
        <f>IFERROR(IF(Portafolio_Proyectos!$AQ863="","",Portafolio_Proyectos!$C863),"")</f>
        <v/>
      </c>
      <c r="E2589" s="5" t="str">
        <f>IFERROR(IF(Portafolio_Proyectos!$AQ863="","",Portafolio_Proyectos!$B863),"")</f>
        <v/>
      </c>
      <c r="F2589" s="5" t="str">
        <f>IFERROR(IF(Portafolio_Proyectos!$AQ863="","",Portafolio_Proyectos!$D863),"")</f>
        <v/>
      </c>
      <c r="G2589" s="5" t="str">
        <f>IFERROR(IF(Portafolio_Proyectos!$AQ863="","",Portafolio_Proyectos!$A863),"")</f>
        <v/>
      </c>
      <c r="H2589" s="5" t="str">
        <f>IFERROR(IF(Portafolio_Proyectos!$AQ863="","",Portafolio_Proyectos!$E863),"")</f>
        <v/>
      </c>
    </row>
    <row r="2590" spans="1:8" x14ac:dyDescent="0.35">
      <c r="A2590" s="5" t="str">
        <f>IFERROR(IF(Portafolio_Proyectos!$AR863="","","CAP-"&amp;ROW()-1),"")</f>
        <v/>
      </c>
      <c r="B2590" s="5" t="str">
        <f>IFERROR(IF(Portafolio_Proyectos!$AR863="","",Portafolio_Proyectos!$AR863),"")</f>
        <v/>
      </c>
      <c r="C2590" s="5" t="str">
        <f>IFERROR(IF(Portafolio_Proyectos!$AR863="","","Distintiva"),"")</f>
        <v/>
      </c>
      <c r="D2590" s="5" t="str">
        <f>IFERROR(IF(Portafolio_Proyectos!$AR863="","",Portafolio_Proyectos!$C863),"")</f>
        <v/>
      </c>
      <c r="E2590" s="5" t="str">
        <f>IFERROR(IF(Portafolio_Proyectos!$AR863="","",Portafolio_Proyectos!$B863),"")</f>
        <v/>
      </c>
      <c r="F2590" s="5" t="str">
        <f>IFERROR(IF(Portafolio_Proyectos!$AR863="","",Portafolio_Proyectos!$D863),"")</f>
        <v/>
      </c>
      <c r="G2590" s="5" t="str">
        <f>IFERROR(IF(Portafolio_Proyectos!$AR863="","",Portafolio_Proyectos!$A863),"")</f>
        <v/>
      </c>
      <c r="H2590" s="5" t="str">
        <f>IFERROR(IF(Portafolio_Proyectos!$AR863="","",Portafolio_Proyectos!$E863),"")</f>
        <v/>
      </c>
    </row>
    <row r="2591" spans="1:8" x14ac:dyDescent="0.35">
      <c r="A2591" s="5" t="str">
        <f>IFERROR(IF(Portafolio_Proyectos!$AP864="","","CAP-"&amp;ROW()-1),"")</f>
        <v/>
      </c>
      <c r="B2591" s="5" t="str">
        <f>IFERROR(IF(Portafolio_Proyectos!$AP864="","",Portafolio_Proyectos!$AP864),"")</f>
        <v/>
      </c>
      <c r="C2591" s="5" t="str">
        <f>IFERROR(IF(Portafolio_Proyectos!$AP864="","","Emergente"),"")</f>
        <v/>
      </c>
      <c r="D2591" s="5" t="str">
        <f>IFERROR(IF(Portafolio_Proyectos!$AP864="","",Portafolio_Proyectos!$C864),"")</f>
        <v/>
      </c>
      <c r="E2591" s="5" t="str">
        <f>IFERROR(IF(Portafolio_Proyectos!$AP864="","",Portafolio_Proyectos!$B864),"")</f>
        <v/>
      </c>
      <c r="F2591" s="5" t="str">
        <f>IFERROR(IF(Portafolio_Proyectos!$AP864="","",Portafolio_Proyectos!$D864),"")</f>
        <v/>
      </c>
      <c r="G2591" s="5" t="str">
        <f>IFERROR(IF(Portafolio_Proyectos!$AP864="","",Portafolio_Proyectos!$A864),"")</f>
        <v/>
      </c>
      <c r="H2591" s="5" t="str">
        <f>IFERROR(IF(Portafolio_Proyectos!$AP864="","",Portafolio_Proyectos!$E864),"")</f>
        <v/>
      </c>
    </row>
    <row r="2592" spans="1:8" x14ac:dyDescent="0.35">
      <c r="A2592" s="5" t="str">
        <f>IFERROR(IF(Portafolio_Proyectos!$AQ864="","","CAP-"&amp;ROW()-1),"")</f>
        <v/>
      </c>
      <c r="B2592" s="5" t="str">
        <f>IFERROR(IF(Portafolio_Proyectos!$AQ864="","",Portafolio_Proyectos!$AQ864),"")</f>
        <v/>
      </c>
      <c r="C2592" s="5" t="str">
        <f>IFERROR(IF(Portafolio_Proyectos!$AQ864="","","Consolidada"),"")</f>
        <v/>
      </c>
      <c r="D2592" s="5" t="str">
        <f>IFERROR(IF(Portafolio_Proyectos!$AQ864="","",Portafolio_Proyectos!$C864),"")</f>
        <v/>
      </c>
      <c r="E2592" s="5" t="str">
        <f>IFERROR(IF(Portafolio_Proyectos!$AQ864="","",Portafolio_Proyectos!$B864),"")</f>
        <v/>
      </c>
      <c r="F2592" s="5" t="str">
        <f>IFERROR(IF(Portafolio_Proyectos!$AQ864="","",Portafolio_Proyectos!$D864),"")</f>
        <v/>
      </c>
      <c r="G2592" s="5" t="str">
        <f>IFERROR(IF(Portafolio_Proyectos!$AQ864="","",Portafolio_Proyectos!$A864),"")</f>
        <v/>
      </c>
      <c r="H2592" s="5" t="str">
        <f>IFERROR(IF(Portafolio_Proyectos!$AQ864="","",Portafolio_Proyectos!$E864),"")</f>
        <v/>
      </c>
    </row>
    <row r="2593" spans="1:8" x14ac:dyDescent="0.35">
      <c r="A2593" s="5" t="str">
        <f>IFERROR(IF(Portafolio_Proyectos!$AR864="","","CAP-"&amp;ROW()-1),"")</f>
        <v/>
      </c>
      <c r="B2593" s="5" t="str">
        <f>IFERROR(IF(Portafolio_Proyectos!$AR864="","",Portafolio_Proyectos!$AR864),"")</f>
        <v/>
      </c>
      <c r="C2593" s="5" t="str">
        <f>IFERROR(IF(Portafolio_Proyectos!$AR864="","","Distintiva"),"")</f>
        <v/>
      </c>
      <c r="D2593" s="5" t="str">
        <f>IFERROR(IF(Portafolio_Proyectos!$AR864="","",Portafolio_Proyectos!$C864),"")</f>
        <v/>
      </c>
      <c r="E2593" s="5" t="str">
        <f>IFERROR(IF(Portafolio_Proyectos!$AR864="","",Portafolio_Proyectos!$B864),"")</f>
        <v/>
      </c>
      <c r="F2593" s="5" t="str">
        <f>IFERROR(IF(Portafolio_Proyectos!$AR864="","",Portafolio_Proyectos!$D864),"")</f>
        <v/>
      </c>
      <c r="G2593" s="5" t="str">
        <f>IFERROR(IF(Portafolio_Proyectos!$AR864="","",Portafolio_Proyectos!$A864),"")</f>
        <v/>
      </c>
      <c r="H2593" s="5" t="str">
        <f>IFERROR(IF(Portafolio_Proyectos!$AR864="","",Portafolio_Proyectos!$E864),"")</f>
        <v/>
      </c>
    </row>
    <row r="2594" spans="1:8" x14ac:dyDescent="0.35">
      <c r="A2594" s="5" t="str">
        <f>IFERROR(IF(Portafolio_Proyectos!$AP865="","","CAP-"&amp;ROW()-1),"")</f>
        <v/>
      </c>
      <c r="B2594" s="5" t="str">
        <f>IFERROR(IF(Portafolio_Proyectos!$AP865="","",Portafolio_Proyectos!$AP865),"")</f>
        <v/>
      </c>
      <c r="C2594" s="5" t="str">
        <f>IFERROR(IF(Portafolio_Proyectos!$AP865="","","Emergente"),"")</f>
        <v/>
      </c>
      <c r="D2594" s="5" t="str">
        <f>IFERROR(IF(Portafolio_Proyectos!$AP865="","",Portafolio_Proyectos!$C865),"")</f>
        <v/>
      </c>
      <c r="E2594" s="5" t="str">
        <f>IFERROR(IF(Portafolio_Proyectos!$AP865="","",Portafolio_Proyectos!$B865),"")</f>
        <v/>
      </c>
      <c r="F2594" s="5" t="str">
        <f>IFERROR(IF(Portafolio_Proyectos!$AP865="","",Portafolio_Proyectos!$D865),"")</f>
        <v/>
      </c>
      <c r="G2594" s="5" t="str">
        <f>IFERROR(IF(Portafolio_Proyectos!$AP865="","",Portafolio_Proyectos!$A865),"")</f>
        <v/>
      </c>
      <c r="H2594" s="5" t="str">
        <f>IFERROR(IF(Portafolio_Proyectos!$AP865="","",Portafolio_Proyectos!$E865),"")</f>
        <v/>
      </c>
    </row>
    <row r="2595" spans="1:8" x14ac:dyDescent="0.35">
      <c r="A2595" s="5" t="str">
        <f>IFERROR(IF(Portafolio_Proyectos!$AQ865="","","CAP-"&amp;ROW()-1),"")</f>
        <v/>
      </c>
      <c r="B2595" s="5" t="str">
        <f>IFERROR(IF(Portafolio_Proyectos!$AQ865="","",Portafolio_Proyectos!$AQ865),"")</f>
        <v/>
      </c>
      <c r="C2595" s="5" t="str">
        <f>IFERROR(IF(Portafolio_Proyectos!$AQ865="","","Consolidada"),"")</f>
        <v/>
      </c>
      <c r="D2595" s="5" t="str">
        <f>IFERROR(IF(Portafolio_Proyectos!$AQ865="","",Portafolio_Proyectos!$C865),"")</f>
        <v/>
      </c>
      <c r="E2595" s="5" t="str">
        <f>IFERROR(IF(Portafolio_Proyectos!$AQ865="","",Portafolio_Proyectos!$B865),"")</f>
        <v/>
      </c>
      <c r="F2595" s="5" t="str">
        <f>IFERROR(IF(Portafolio_Proyectos!$AQ865="","",Portafolio_Proyectos!$D865),"")</f>
        <v/>
      </c>
      <c r="G2595" s="5" t="str">
        <f>IFERROR(IF(Portafolio_Proyectos!$AQ865="","",Portafolio_Proyectos!$A865),"")</f>
        <v/>
      </c>
      <c r="H2595" s="5" t="str">
        <f>IFERROR(IF(Portafolio_Proyectos!$AQ865="","",Portafolio_Proyectos!$E865),"")</f>
        <v/>
      </c>
    </row>
    <row r="2596" spans="1:8" x14ac:dyDescent="0.35">
      <c r="A2596" s="5" t="str">
        <f>IFERROR(IF(Portafolio_Proyectos!$AR865="","","CAP-"&amp;ROW()-1),"")</f>
        <v/>
      </c>
      <c r="B2596" s="5" t="str">
        <f>IFERROR(IF(Portafolio_Proyectos!$AR865="","",Portafolio_Proyectos!$AR865),"")</f>
        <v/>
      </c>
      <c r="C2596" s="5" t="str">
        <f>IFERROR(IF(Portafolio_Proyectos!$AR865="","","Distintiva"),"")</f>
        <v/>
      </c>
      <c r="D2596" s="5" t="str">
        <f>IFERROR(IF(Portafolio_Proyectos!$AR865="","",Portafolio_Proyectos!$C865),"")</f>
        <v/>
      </c>
      <c r="E2596" s="5" t="str">
        <f>IFERROR(IF(Portafolio_Proyectos!$AR865="","",Portafolio_Proyectos!$B865),"")</f>
        <v/>
      </c>
      <c r="F2596" s="5" t="str">
        <f>IFERROR(IF(Portafolio_Proyectos!$AR865="","",Portafolio_Proyectos!$D865),"")</f>
        <v/>
      </c>
      <c r="G2596" s="5" t="str">
        <f>IFERROR(IF(Portafolio_Proyectos!$AR865="","",Portafolio_Proyectos!$A865),"")</f>
        <v/>
      </c>
      <c r="H2596" s="5" t="str">
        <f>IFERROR(IF(Portafolio_Proyectos!$AR865="","",Portafolio_Proyectos!$E865),"")</f>
        <v/>
      </c>
    </row>
    <row r="2597" spans="1:8" x14ac:dyDescent="0.35">
      <c r="A2597" s="5" t="str">
        <f>IFERROR(IF(Portafolio_Proyectos!$AP866="","","CAP-"&amp;ROW()-1),"")</f>
        <v/>
      </c>
      <c r="B2597" s="5" t="str">
        <f>IFERROR(IF(Portafolio_Proyectos!$AP866="","",Portafolio_Proyectos!$AP866),"")</f>
        <v/>
      </c>
      <c r="C2597" s="5" t="str">
        <f>IFERROR(IF(Portafolio_Proyectos!$AP866="","","Emergente"),"")</f>
        <v/>
      </c>
      <c r="D2597" s="5" t="str">
        <f>IFERROR(IF(Portafolio_Proyectos!$AP866="","",Portafolio_Proyectos!$C866),"")</f>
        <v/>
      </c>
      <c r="E2597" s="5" t="str">
        <f>IFERROR(IF(Portafolio_Proyectos!$AP866="","",Portafolio_Proyectos!$B866),"")</f>
        <v/>
      </c>
      <c r="F2597" s="5" t="str">
        <f>IFERROR(IF(Portafolio_Proyectos!$AP866="","",Portafolio_Proyectos!$D866),"")</f>
        <v/>
      </c>
      <c r="G2597" s="5" t="str">
        <f>IFERROR(IF(Portafolio_Proyectos!$AP866="","",Portafolio_Proyectos!$A866),"")</f>
        <v/>
      </c>
      <c r="H2597" s="5" t="str">
        <f>IFERROR(IF(Portafolio_Proyectos!$AP866="","",Portafolio_Proyectos!$E866),"")</f>
        <v/>
      </c>
    </row>
    <row r="2598" spans="1:8" x14ac:dyDescent="0.35">
      <c r="A2598" s="5" t="str">
        <f>IFERROR(IF(Portafolio_Proyectos!$AQ866="","","CAP-"&amp;ROW()-1),"")</f>
        <v/>
      </c>
      <c r="B2598" s="5" t="str">
        <f>IFERROR(IF(Portafolio_Proyectos!$AQ866="","",Portafolio_Proyectos!$AQ866),"")</f>
        <v/>
      </c>
      <c r="C2598" s="5" t="str">
        <f>IFERROR(IF(Portafolio_Proyectos!$AQ866="","","Consolidada"),"")</f>
        <v/>
      </c>
      <c r="D2598" s="5" t="str">
        <f>IFERROR(IF(Portafolio_Proyectos!$AQ866="","",Portafolio_Proyectos!$C866),"")</f>
        <v/>
      </c>
      <c r="E2598" s="5" t="str">
        <f>IFERROR(IF(Portafolio_Proyectos!$AQ866="","",Portafolio_Proyectos!$B866),"")</f>
        <v/>
      </c>
      <c r="F2598" s="5" t="str">
        <f>IFERROR(IF(Portafolio_Proyectos!$AQ866="","",Portafolio_Proyectos!$D866),"")</f>
        <v/>
      </c>
      <c r="G2598" s="5" t="str">
        <f>IFERROR(IF(Portafolio_Proyectos!$AQ866="","",Portafolio_Proyectos!$A866),"")</f>
        <v/>
      </c>
      <c r="H2598" s="5" t="str">
        <f>IFERROR(IF(Portafolio_Proyectos!$AQ866="","",Portafolio_Proyectos!$E866),"")</f>
        <v/>
      </c>
    </row>
    <row r="2599" spans="1:8" x14ac:dyDescent="0.35">
      <c r="A2599" s="5" t="str">
        <f>IFERROR(IF(Portafolio_Proyectos!$AR866="","","CAP-"&amp;ROW()-1),"")</f>
        <v/>
      </c>
      <c r="B2599" s="5" t="str">
        <f>IFERROR(IF(Portafolio_Proyectos!$AR866="","",Portafolio_Proyectos!$AR866),"")</f>
        <v/>
      </c>
      <c r="C2599" s="5" t="str">
        <f>IFERROR(IF(Portafolio_Proyectos!$AR866="","","Distintiva"),"")</f>
        <v/>
      </c>
      <c r="D2599" s="5" t="str">
        <f>IFERROR(IF(Portafolio_Proyectos!$AR866="","",Portafolio_Proyectos!$C866),"")</f>
        <v/>
      </c>
      <c r="E2599" s="5" t="str">
        <f>IFERROR(IF(Portafolio_Proyectos!$AR866="","",Portafolio_Proyectos!$B866),"")</f>
        <v/>
      </c>
      <c r="F2599" s="5" t="str">
        <f>IFERROR(IF(Portafolio_Proyectos!$AR866="","",Portafolio_Proyectos!$D866),"")</f>
        <v/>
      </c>
      <c r="G2599" s="5" t="str">
        <f>IFERROR(IF(Portafolio_Proyectos!$AR866="","",Portafolio_Proyectos!$A866),"")</f>
        <v/>
      </c>
      <c r="H2599" s="5" t="str">
        <f>IFERROR(IF(Portafolio_Proyectos!$AR866="","",Portafolio_Proyectos!$E866),"")</f>
        <v/>
      </c>
    </row>
    <row r="2600" spans="1:8" x14ac:dyDescent="0.35">
      <c r="A2600" s="5" t="str">
        <f>IFERROR(IF(Portafolio_Proyectos!$AP867="","","CAP-"&amp;ROW()-1),"")</f>
        <v/>
      </c>
      <c r="B2600" s="5" t="str">
        <f>IFERROR(IF(Portafolio_Proyectos!$AP867="","",Portafolio_Proyectos!$AP867),"")</f>
        <v/>
      </c>
      <c r="C2600" s="5" t="str">
        <f>IFERROR(IF(Portafolio_Proyectos!$AP867="","","Emergente"),"")</f>
        <v/>
      </c>
      <c r="D2600" s="5" t="str">
        <f>IFERROR(IF(Portafolio_Proyectos!$AP867="","",Portafolio_Proyectos!$C867),"")</f>
        <v/>
      </c>
      <c r="E2600" s="5" t="str">
        <f>IFERROR(IF(Portafolio_Proyectos!$AP867="","",Portafolio_Proyectos!$B867),"")</f>
        <v/>
      </c>
      <c r="F2600" s="5" t="str">
        <f>IFERROR(IF(Portafolio_Proyectos!$AP867="","",Portafolio_Proyectos!$D867),"")</f>
        <v/>
      </c>
      <c r="G2600" s="5" t="str">
        <f>IFERROR(IF(Portafolio_Proyectos!$AP867="","",Portafolio_Proyectos!$A867),"")</f>
        <v/>
      </c>
      <c r="H2600" s="5" t="str">
        <f>IFERROR(IF(Portafolio_Proyectos!$AP867="","",Portafolio_Proyectos!$E867),"")</f>
        <v/>
      </c>
    </row>
    <row r="2601" spans="1:8" x14ac:dyDescent="0.35">
      <c r="A2601" s="5" t="str">
        <f>IFERROR(IF(Portafolio_Proyectos!$AQ867="","","CAP-"&amp;ROW()-1),"")</f>
        <v/>
      </c>
      <c r="B2601" s="5" t="str">
        <f>IFERROR(IF(Portafolio_Proyectos!$AQ867="","",Portafolio_Proyectos!$AQ867),"")</f>
        <v/>
      </c>
      <c r="C2601" s="5" t="str">
        <f>IFERROR(IF(Portafolio_Proyectos!$AQ867="","","Consolidada"),"")</f>
        <v/>
      </c>
      <c r="D2601" s="5" t="str">
        <f>IFERROR(IF(Portafolio_Proyectos!$AQ867="","",Portafolio_Proyectos!$C867),"")</f>
        <v/>
      </c>
      <c r="E2601" s="5" t="str">
        <f>IFERROR(IF(Portafolio_Proyectos!$AQ867="","",Portafolio_Proyectos!$B867),"")</f>
        <v/>
      </c>
      <c r="F2601" s="5" t="str">
        <f>IFERROR(IF(Portafolio_Proyectos!$AQ867="","",Portafolio_Proyectos!$D867),"")</f>
        <v/>
      </c>
      <c r="G2601" s="5" t="str">
        <f>IFERROR(IF(Portafolio_Proyectos!$AQ867="","",Portafolio_Proyectos!$A867),"")</f>
        <v/>
      </c>
      <c r="H2601" s="5" t="str">
        <f>IFERROR(IF(Portafolio_Proyectos!$AQ867="","",Portafolio_Proyectos!$E867),"")</f>
        <v/>
      </c>
    </row>
    <row r="2602" spans="1:8" x14ac:dyDescent="0.35">
      <c r="A2602" s="5" t="str">
        <f>IFERROR(IF(Portafolio_Proyectos!$AR867="","","CAP-"&amp;ROW()-1),"")</f>
        <v/>
      </c>
      <c r="B2602" s="5" t="str">
        <f>IFERROR(IF(Portafolio_Proyectos!$AR867="","",Portafolio_Proyectos!$AR867),"")</f>
        <v/>
      </c>
      <c r="C2602" s="5" t="str">
        <f>IFERROR(IF(Portafolio_Proyectos!$AR867="","","Distintiva"),"")</f>
        <v/>
      </c>
      <c r="D2602" s="5" t="str">
        <f>IFERROR(IF(Portafolio_Proyectos!$AR867="","",Portafolio_Proyectos!$C867),"")</f>
        <v/>
      </c>
      <c r="E2602" s="5" t="str">
        <f>IFERROR(IF(Portafolio_Proyectos!$AR867="","",Portafolio_Proyectos!$B867),"")</f>
        <v/>
      </c>
      <c r="F2602" s="5" t="str">
        <f>IFERROR(IF(Portafolio_Proyectos!$AR867="","",Portafolio_Proyectos!$D867),"")</f>
        <v/>
      </c>
      <c r="G2602" s="5" t="str">
        <f>IFERROR(IF(Portafolio_Proyectos!$AR867="","",Portafolio_Proyectos!$A867),"")</f>
        <v/>
      </c>
      <c r="H2602" s="5" t="str">
        <f>IFERROR(IF(Portafolio_Proyectos!$AR867="","",Portafolio_Proyectos!$E867),"")</f>
        <v/>
      </c>
    </row>
    <row r="2603" spans="1:8" x14ac:dyDescent="0.35">
      <c r="A2603" s="5" t="str">
        <f>IFERROR(IF(Portafolio_Proyectos!$AP868="","","CAP-"&amp;ROW()-1),"")</f>
        <v/>
      </c>
      <c r="B2603" s="5" t="str">
        <f>IFERROR(IF(Portafolio_Proyectos!$AP868="","",Portafolio_Proyectos!$AP868),"")</f>
        <v/>
      </c>
      <c r="C2603" s="5" t="str">
        <f>IFERROR(IF(Portafolio_Proyectos!$AP868="","","Emergente"),"")</f>
        <v/>
      </c>
      <c r="D2603" s="5" t="str">
        <f>IFERROR(IF(Portafolio_Proyectos!$AP868="","",Portafolio_Proyectos!$C868),"")</f>
        <v/>
      </c>
      <c r="E2603" s="5" t="str">
        <f>IFERROR(IF(Portafolio_Proyectos!$AP868="","",Portafolio_Proyectos!$B868),"")</f>
        <v/>
      </c>
      <c r="F2603" s="5" t="str">
        <f>IFERROR(IF(Portafolio_Proyectos!$AP868="","",Portafolio_Proyectos!$D868),"")</f>
        <v/>
      </c>
      <c r="G2603" s="5" t="str">
        <f>IFERROR(IF(Portafolio_Proyectos!$AP868="","",Portafolio_Proyectos!$A868),"")</f>
        <v/>
      </c>
      <c r="H2603" s="5" t="str">
        <f>IFERROR(IF(Portafolio_Proyectos!$AP868="","",Portafolio_Proyectos!$E868),"")</f>
        <v/>
      </c>
    </row>
    <row r="2604" spans="1:8" x14ac:dyDescent="0.35">
      <c r="A2604" s="5" t="str">
        <f>IFERROR(IF(Portafolio_Proyectos!$AQ868="","","CAP-"&amp;ROW()-1),"")</f>
        <v/>
      </c>
      <c r="B2604" s="5" t="str">
        <f>IFERROR(IF(Portafolio_Proyectos!$AQ868="","",Portafolio_Proyectos!$AQ868),"")</f>
        <v/>
      </c>
      <c r="C2604" s="5" t="str">
        <f>IFERROR(IF(Portafolio_Proyectos!$AQ868="","","Consolidada"),"")</f>
        <v/>
      </c>
      <c r="D2604" s="5" t="str">
        <f>IFERROR(IF(Portafolio_Proyectos!$AQ868="","",Portafolio_Proyectos!$C868),"")</f>
        <v/>
      </c>
      <c r="E2604" s="5" t="str">
        <f>IFERROR(IF(Portafolio_Proyectos!$AQ868="","",Portafolio_Proyectos!$B868),"")</f>
        <v/>
      </c>
      <c r="F2604" s="5" t="str">
        <f>IFERROR(IF(Portafolio_Proyectos!$AQ868="","",Portafolio_Proyectos!$D868),"")</f>
        <v/>
      </c>
      <c r="G2604" s="5" t="str">
        <f>IFERROR(IF(Portafolio_Proyectos!$AQ868="","",Portafolio_Proyectos!$A868),"")</f>
        <v/>
      </c>
      <c r="H2604" s="5" t="str">
        <f>IFERROR(IF(Portafolio_Proyectos!$AQ868="","",Portafolio_Proyectos!$E868),"")</f>
        <v/>
      </c>
    </row>
    <row r="2605" spans="1:8" x14ac:dyDescent="0.35">
      <c r="A2605" s="5" t="str">
        <f>IFERROR(IF(Portafolio_Proyectos!$AR868="","","CAP-"&amp;ROW()-1),"")</f>
        <v/>
      </c>
      <c r="B2605" s="5" t="str">
        <f>IFERROR(IF(Portafolio_Proyectos!$AR868="","",Portafolio_Proyectos!$AR868),"")</f>
        <v/>
      </c>
      <c r="C2605" s="5" t="str">
        <f>IFERROR(IF(Portafolio_Proyectos!$AR868="","","Distintiva"),"")</f>
        <v/>
      </c>
      <c r="D2605" s="5" t="str">
        <f>IFERROR(IF(Portafolio_Proyectos!$AR868="","",Portafolio_Proyectos!$C868),"")</f>
        <v/>
      </c>
      <c r="E2605" s="5" t="str">
        <f>IFERROR(IF(Portafolio_Proyectos!$AR868="","",Portafolio_Proyectos!$B868),"")</f>
        <v/>
      </c>
      <c r="F2605" s="5" t="str">
        <f>IFERROR(IF(Portafolio_Proyectos!$AR868="","",Portafolio_Proyectos!$D868),"")</f>
        <v/>
      </c>
      <c r="G2605" s="5" t="str">
        <f>IFERROR(IF(Portafolio_Proyectos!$AR868="","",Portafolio_Proyectos!$A868),"")</f>
        <v/>
      </c>
      <c r="H2605" s="5" t="str">
        <f>IFERROR(IF(Portafolio_Proyectos!$AR868="","",Portafolio_Proyectos!$E868),"")</f>
        <v/>
      </c>
    </row>
    <row r="2606" spans="1:8" x14ac:dyDescent="0.35">
      <c r="A2606" s="5" t="str">
        <f>IFERROR(IF(Portafolio_Proyectos!$AP869="","","CAP-"&amp;ROW()-1),"")</f>
        <v/>
      </c>
      <c r="B2606" s="5" t="str">
        <f>IFERROR(IF(Portafolio_Proyectos!$AP869="","",Portafolio_Proyectos!$AP869),"")</f>
        <v/>
      </c>
      <c r="C2606" s="5" t="str">
        <f>IFERROR(IF(Portafolio_Proyectos!$AP869="","","Emergente"),"")</f>
        <v/>
      </c>
      <c r="D2606" s="5" t="str">
        <f>IFERROR(IF(Portafolio_Proyectos!$AP869="","",Portafolio_Proyectos!$C869),"")</f>
        <v/>
      </c>
      <c r="E2606" s="5" t="str">
        <f>IFERROR(IF(Portafolio_Proyectos!$AP869="","",Portafolio_Proyectos!$B869),"")</f>
        <v/>
      </c>
      <c r="F2606" s="5" t="str">
        <f>IFERROR(IF(Portafolio_Proyectos!$AP869="","",Portafolio_Proyectos!$D869),"")</f>
        <v/>
      </c>
      <c r="G2606" s="5" t="str">
        <f>IFERROR(IF(Portafolio_Proyectos!$AP869="","",Portafolio_Proyectos!$A869),"")</f>
        <v/>
      </c>
      <c r="H2606" s="5" t="str">
        <f>IFERROR(IF(Portafolio_Proyectos!$AP869="","",Portafolio_Proyectos!$E869),"")</f>
        <v/>
      </c>
    </row>
    <row r="2607" spans="1:8" x14ac:dyDescent="0.35">
      <c r="A2607" s="5" t="str">
        <f>IFERROR(IF(Portafolio_Proyectos!$AQ869="","","CAP-"&amp;ROW()-1),"")</f>
        <v/>
      </c>
      <c r="B2607" s="5" t="str">
        <f>IFERROR(IF(Portafolio_Proyectos!$AQ869="","",Portafolio_Proyectos!$AQ869),"")</f>
        <v/>
      </c>
      <c r="C2607" s="5" t="str">
        <f>IFERROR(IF(Portafolio_Proyectos!$AQ869="","","Consolidada"),"")</f>
        <v/>
      </c>
      <c r="D2607" s="5" t="str">
        <f>IFERROR(IF(Portafolio_Proyectos!$AQ869="","",Portafolio_Proyectos!$C869),"")</f>
        <v/>
      </c>
      <c r="E2607" s="5" t="str">
        <f>IFERROR(IF(Portafolio_Proyectos!$AQ869="","",Portafolio_Proyectos!$B869),"")</f>
        <v/>
      </c>
      <c r="F2607" s="5" t="str">
        <f>IFERROR(IF(Portafolio_Proyectos!$AQ869="","",Portafolio_Proyectos!$D869),"")</f>
        <v/>
      </c>
      <c r="G2607" s="5" t="str">
        <f>IFERROR(IF(Portafolio_Proyectos!$AQ869="","",Portafolio_Proyectos!$A869),"")</f>
        <v/>
      </c>
      <c r="H2607" s="5" t="str">
        <f>IFERROR(IF(Portafolio_Proyectos!$AQ869="","",Portafolio_Proyectos!$E869),"")</f>
        <v/>
      </c>
    </row>
    <row r="2608" spans="1:8" x14ac:dyDescent="0.35">
      <c r="A2608" s="5" t="str">
        <f>IFERROR(IF(Portafolio_Proyectos!$AR869="","","CAP-"&amp;ROW()-1),"")</f>
        <v/>
      </c>
      <c r="B2608" s="5" t="str">
        <f>IFERROR(IF(Portafolio_Proyectos!$AR869="","",Portafolio_Proyectos!$AR869),"")</f>
        <v/>
      </c>
      <c r="C2608" s="5" t="str">
        <f>IFERROR(IF(Portafolio_Proyectos!$AR869="","","Distintiva"),"")</f>
        <v/>
      </c>
      <c r="D2608" s="5" t="str">
        <f>IFERROR(IF(Portafolio_Proyectos!$AR869="","",Portafolio_Proyectos!$C869),"")</f>
        <v/>
      </c>
      <c r="E2608" s="5" t="str">
        <f>IFERROR(IF(Portafolio_Proyectos!$AR869="","",Portafolio_Proyectos!$B869),"")</f>
        <v/>
      </c>
      <c r="F2608" s="5" t="str">
        <f>IFERROR(IF(Portafolio_Proyectos!$AR869="","",Portafolio_Proyectos!$D869),"")</f>
        <v/>
      </c>
      <c r="G2608" s="5" t="str">
        <f>IFERROR(IF(Portafolio_Proyectos!$AR869="","",Portafolio_Proyectos!$A869),"")</f>
        <v/>
      </c>
      <c r="H2608" s="5" t="str">
        <f>IFERROR(IF(Portafolio_Proyectos!$AR869="","",Portafolio_Proyectos!$E869),"")</f>
        <v/>
      </c>
    </row>
    <row r="2609" spans="1:8" x14ac:dyDescent="0.35">
      <c r="A2609" s="5" t="str">
        <f>IFERROR(IF(Portafolio_Proyectos!$AP870="","","CAP-"&amp;ROW()-1),"")</f>
        <v/>
      </c>
      <c r="B2609" s="5" t="str">
        <f>IFERROR(IF(Portafolio_Proyectos!$AP870="","",Portafolio_Proyectos!$AP870),"")</f>
        <v/>
      </c>
      <c r="C2609" s="5" t="str">
        <f>IFERROR(IF(Portafolio_Proyectos!$AP870="","","Emergente"),"")</f>
        <v/>
      </c>
      <c r="D2609" s="5" t="str">
        <f>IFERROR(IF(Portafolio_Proyectos!$AP870="","",Portafolio_Proyectos!$C870),"")</f>
        <v/>
      </c>
      <c r="E2609" s="5" t="str">
        <f>IFERROR(IF(Portafolio_Proyectos!$AP870="","",Portafolio_Proyectos!$B870),"")</f>
        <v/>
      </c>
      <c r="F2609" s="5" t="str">
        <f>IFERROR(IF(Portafolio_Proyectos!$AP870="","",Portafolio_Proyectos!$D870),"")</f>
        <v/>
      </c>
      <c r="G2609" s="5" t="str">
        <f>IFERROR(IF(Portafolio_Proyectos!$AP870="","",Portafolio_Proyectos!$A870),"")</f>
        <v/>
      </c>
      <c r="H2609" s="5" t="str">
        <f>IFERROR(IF(Portafolio_Proyectos!$AP870="","",Portafolio_Proyectos!$E870),"")</f>
        <v/>
      </c>
    </row>
    <row r="2610" spans="1:8" x14ac:dyDescent="0.35">
      <c r="A2610" s="5" t="str">
        <f>IFERROR(IF(Portafolio_Proyectos!$AQ870="","","CAP-"&amp;ROW()-1),"")</f>
        <v/>
      </c>
      <c r="B2610" s="5" t="str">
        <f>IFERROR(IF(Portafolio_Proyectos!$AQ870="","",Portafolio_Proyectos!$AQ870),"")</f>
        <v/>
      </c>
      <c r="C2610" s="5" t="str">
        <f>IFERROR(IF(Portafolio_Proyectos!$AQ870="","","Consolidada"),"")</f>
        <v/>
      </c>
      <c r="D2610" s="5" t="str">
        <f>IFERROR(IF(Portafolio_Proyectos!$AQ870="","",Portafolio_Proyectos!$C870),"")</f>
        <v/>
      </c>
      <c r="E2610" s="5" t="str">
        <f>IFERROR(IF(Portafolio_Proyectos!$AQ870="","",Portafolio_Proyectos!$B870),"")</f>
        <v/>
      </c>
      <c r="F2610" s="5" t="str">
        <f>IFERROR(IF(Portafolio_Proyectos!$AQ870="","",Portafolio_Proyectos!$D870),"")</f>
        <v/>
      </c>
      <c r="G2610" s="5" t="str">
        <f>IFERROR(IF(Portafolio_Proyectos!$AQ870="","",Portafolio_Proyectos!$A870),"")</f>
        <v/>
      </c>
      <c r="H2610" s="5" t="str">
        <f>IFERROR(IF(Portafolio_Proyectos!$AQ870="","",Portafolio_Proyectos!$E870),"")</f>
        <v/>
      </c>
    </row>
    <row r="2611" spans="1:8" x14ac:dyDescent="0.35">
      <c r="A2611" s="5" t="str">
        <f>IFERROR(IF(Portafolio_Proyectos!$AR870="","","CAP-"&amp;ROW()-1),"")</f>
        <v/>
      </c>
      <c r="B2611" s="5" t="str">
        <f>IFERROR(IF(Portafolio_Proyectos!$AR870="","",Portafolio_Proyectos!$AR870),"")</f>
        <v/>
      </c>
      <c r="C2611" s="5" t="str">
        <f>IFERROR(IF(Portafolio_Proyectos!$AR870="","","Distintiva"),"")</f>
        <v/>
      </c>
      <c r="D2611" s="5" t="str">
        <f>IFERROR(IF(Portafolio_Proyectos!$AR870="","",Portafolio_Proyectos!$C870),"")</f>
        <v/>
      </c>
      <c r="E2611" s="5" t="str">
        <f>IFERROR(IF(Portafolio_Proyectos!$AR870="","",Portafolio_Proyectos!$B870),"")</f>
        <v/>
      </c>
      <c r="F2611" s="5" t="str">
        <f>IFERROR(IF(Portafolio_Proyectos!$AR870="","",Portafolio_Proyectos!$D870),"")</f>
        <v/>
      </c>
      <c r="G2611" s="5" t="str">
        <f>IFERROR(IF(Portafolio_Proyectos!$AR870="","",Portafolio_Proyectos!$A870),"")</f>
        <v/>
      </c>
      <c r="H2611" s="5" t="str">
        <f>IFERROR(IF(Portafolio_Proyectos!$AR870="","",Portafolio_Proyectos!$E870),"")</f>
        <v/>
      </c>
    </row>
    <row r="2612" spans="1:8" x14ac:dyDescent="0.35">
      <c r="A2612" s="5" t="str">
        <f>IFERROR(IF(Portafolio_Proyectos!$AP871="","","CAP-"&amp;ROW()-1),"")</f>
        <v/>
      </c>
      <c r="B2612" s="5" t="str">
        <f>IFERROR(IF(Portafolio_Proyectos!$AP871="","",Portafolio_Proyectos!$AP871),"")</f>
        <v/>
      </c>
      <c r="C2612" s="5" t="str">
        <f>IFERROR(IF(Portafolio_Proyectos!$AP871="","","Emergente"),"")</f>
        <v/>
      </c>
      <c r="D2612" s="5" t="str">
        <f>IFERROR(IF(Portafolio_Proyectos!$AP871="","",Portafolio_Proyectos!$C871),"")</f>
        <v/>
      </c>
      <c r="E2612" s="5" t="str">
        <f>IFERROR(IF(Portafolio_Proyectos!$AP871="","",Portafolio_Proyectos!$B871),"")</f>
        <v/>
      </c>
      <c r="F2612" s="5" t="str">
        <f>IFERROR(IF(Portafolio_Proyectos!$AP871="","",Portafolio_Proyectos!$D871),"")</f>
        <v/>
      </c>
      <c r="G2612" s="5" t="str">
        <f>IFERROR(IF(Portafolio_Proyectos!$AP871="","",Portafolio_Proyectos!$A871),"")</f>
        <v/>
      </c>
      <c r="H2612" s="5" t="str">
        <f>IFERROR(IF(Portafolio_Proyectos!$AP871="","",Portafolio_Proyectos!$E871),"")</f>
        <v/>
      </c>
    </row>
    <row r="2613" spans="1:8" x14ac:dyDescent="0.35">
      <c r="A2613" s="5" t="str">
        <f>IFERROR(IF(Portafolio_Proyectos!$AQ871="","","CAP-"&amp;ROW()-1),"")</f>
        <v/>
      </c>
      <c r="B2613" s="5" t="str">
        <f>IFERROR(IF(Portafolio_Proyectos!$AQ871="","",Portafolio_Proyectos!$AQ871),"")</f>
        <v/>
      </c>
      <c r="C2613" s="5" t="str">
        <f>IFERROR(IF(Portafolio_Proyectos!$AQ871="","","Consolidada"),"")</f>
        <v/>
      </c>
      <c r="D2613" s="5" t="str">
        <f>IFERROR(IF(Portafolio_Proyectos!$AQ871="","",Portafolio_Proyectos!$C871),"")</f>
        <v/>
      </c>
      <c r="E2613" s="5" t="str">
        <f>IFERROR(IF(Portafolio_Proyectos!$AQ871="","",Portafolio_Proyectos!$B871),"")</f>
        <v/>
      </c>
      <c r="F2613" s="5" t="str">
        <f>IFERROR(IF(Portafolio_Proyectos!$AQ871="","",Portafolio_Proyectos!$D871),"")</f>
        <v/>
      </c>
      <c r="G2613" s="5" t="str">
        <f>IFERROR(IF(Portafolio_Proyectos!$AQ871="","",Portafolio_Proyectos!$A871),"")</f>
        <v/>
      </c>
      <c r="H2613" s="5" t="str">
        <f>IFERROR(IF(Portafolio_Proyectos!$AQ871="","",Portafolio_Proyectos!$E871),"")</f>
        <v/>
      </c>
    </row>
    <row r="2614" spans="1:8" x14ac:dyDescent="0.35">
      <c r="A2614" s="5" t="str">
        <f>IFERROR(IF(Portafolio_Proyectos!$AR871="","","CAP-"&amp;ROW()-1),"")</f>
        <v/>
      </c>
      <c r="B2614" s="5" t="str">
        <f>IFERROR(IF(Portafolio_Proyectos!$AR871="","",Portafolio_Proyectos!$AR871),"")</f>
        <v/>
      </c>
      <c r="C2614" s="5" t="str">
        <f>IFERROR(IF(Portafolio_Proyectos!$AR871="","","Distintiva"),"")</f>
        <v/>
      </c>
      <c r="D2614" s="5" t="str">
        <f>IFERROR(IF(Portafolio_Proyectos!$AR871="","",Portafolio_Proyectos!$C871),"")</f>
        <v/>
      </c>
      <c r="E2614" s="5" t="str">
        <f>IFERROR(IF(Portafolio_Proyectos!$AR871="","",Portafolio_Proyectos!$B871),"")</f>
        <v/>
      </c>
      <c r="F2614" s="5" t="str">
        <f>IFERROR(IF(Portafolio_Proyectos!$AR871="","",Portafolio_Proyectos!$D871),"")</f>
        <v/>
      </c>
      <c r="G2614" s="5" t="str">
        <f>IFERROR(IF(Portafolio_Proyectos!$AR871="","",Portafolio_Proyectos!$A871),"")</f>
        <v/>
      </c>
      <c r="H2614" s="5" t="str">
        <f>IFERROR(IF(Portafolio_Proyectos!$AR871="","",Portafolio_Proyectos!$E871),"")</f>
        <v/>
      </c>
    </row>
    <row r="2615" spans="1:8" x14ac:dyDescent="0.35">
      <c r="A2615" s="5" t="str">
        <f>IFERROR(IF(Portafolio_Proyectos!$AP872="","","CAP-"&amp;ROW()-1),"")</f>
        <v/>
      </c>
      <c r="B2615" s="5" t="str">
        <f>IFERROR(IF(Portafolio_Proyectos!$AP872="","",Portafolio_Proyectos!$AP872),"")</f>
        <v/>
      </c>
      <c r="C2615" s="5" t="str">
        <f>IFERROR(IF(Portafolio_Proyectos!$AP872="","","Emergente"),"")</f>
        <v/>
      </c>
      <c r="D2615" s="5" t="str">
        <f>IFERROR(IF(Portafolio_Proyectos!$AP872="","",Portafolio_Proyectos!$C872),"")</f>
        <v/>
      </c>
      <c r="E2615" s="5" t="str">
        <f>IFERROR(IF(Portafolio_Proyectos!$AP872="","",Portafolio_Proyectos!$B872),"")</f>
        <v/>
      </c>
      <c r="F2615" s="5" t="str">
        <f>IFERROR(IF(Portafolio_Proyectos!$AP872="","",Portafolio_Proyectos!$D872),"")</f>
        <v/>
      </c>
      <c r="G2615" s="5" t="str">
        <f>IFERROR(IF(Portafolio_Proyectos!$AP872="","",Portafolio_Proyectos!$A872),"")</f>
        <v/>
      </c>
      <c r="H2615" s="5" t="str">
        <f>IFERROR(IF(Portafolio_Proyectos!$AP872="","",Portafolio_Proyectos!$E872),"")</f>
        <v/>
      </c>
    </row>
    <row r="2616" spans="1:8" x14ac:dyDescent="0.35">
      <c r="A2616" s="5" t="str">
        <f>IFERROR(IF(Portafolio_Proyectos!$AQ872="","","CAP-"&amp;ROW()-1),"")</f>
        <v/>
      </c>
      <c r="B2616" s="5" t="str">
        <f>IFERROR(IF(Portafolio_Proyectos!$AQ872="","",Portafolio_Proyectos!$AQ872),"")</f>
        <v/>
      </c>
      <c r="C2616" s="5" t="str">
        <f>IFERROR(IF(Portafolio_Proyectos!$AQ872="","","Consolidada"),"")</f>
        <v/>
      </c>
      <c r="D2616" s="5" t="str">
        <f>IFERROR(IF(Portafolio_Proyectos!$AQ872="","",Portafolio_Proyectos!$C872),"")</f>
        <v/>
      </c>
      <c r="E2616" s="5" t="str">
        <f>IFERROR(IF(Portafolio_Proyectos!$AQ872="","",Portafolio_Proyectos!$B872),"")</f>
        <v/>
      </c>
      <c r="F2616" s="5" t="str">
        <f>IFERROR(IF(Portafolio_Proyectos!$AQ872="","",Portafolio_Proyectos!$D872),"")</f>
        <v/>
      </c>
      <c r="G2616" s="5" t="str">
        <f>IFERROR(IF(Portafolio_Proyectos!$AQ872="","",Portafolio_Proyectos!$A872),"")</f>
        <v/>
      </c>
      <c r="H2616" s="5" t="str">
        <f>IFERROR(IF(Portafolio_Proyectos!$AQ872="","",Portafolio_Proyectos!$E872),"")</f>
        <v/>
      </c>
    </row>
    <row r="2617" spans="1:8" x14ac:dyDescent="0.35">
      <c r="A2617" s="5" t="str">
        <f>IFERROR(IF(Portafolio_Proyectos!$AR872="","","CAP-"&amp;ROW()-1),"")</f>
        <v/>
      </c>
      <c r="B2617" s="5" t="str">
        <f>IFERROR(IF(Portafolio_Proyectos!$AR872="","",Portafolio_Proyectos!$AR872),"")</f>
        <v/>
      </c>
      <c r="C2617" s="5" t="str">
        <f>IFERROR(IF(Portafolio_Proyectos!$AR872="","","Distintiva"),"")</f>
        <v/>
      </c>
      <c r="D2617" s="5" t="str">
        <f>IFERROR(IF(Portafolio_Proyectos!$AR872="","",Portafolio_Proyectos!$C872),"")</f>
        <v/>
      </c>
      <c r="E2617" s="5" t="str">
        <f>IFERROR(IF(Portafolio_Proyectos!$AR872="","",Portafolio_Proyectos!$B872),"")</f>
        <v/>
      </c>
      <c r="F2617" s="5" t="str">
        <f>IFERROR(IF(Portafolio_Proyectos!$AR872="","",Portafolio_Proyectos!$D872),"")</f>
        <v/>
      </c>
      <c r="G2617" s="5" t="str">
        <f>IFERROR(IF(Portafolio_Proyectos!$AR872="","",Portafolio_Proyectos!$A872),"")</f>
        <v/>
      </c>
      <c r="H2617" s="5" t="str">
        <f>IFERROR(IF(Portafolio_Proyectos!$AR872="","",Portafolio_Proyectos!$E872),"")</f>
        <v/>
      </c>
    </row>
    <row r="2618" spans="1:8" x14ac:dyDescent="0.35">
      <c r="A2618" s="5" t="str">
        <f>IFERROR(IF(Portafolio_Proyectos!$AP873="","","CAP-"&amp;ROW()-1),"")</f>
        <v/>
      </c>
      <c r="B2618" s="5" t="str">
        <f>IFERROR(IF(Portafolio_Proyectos!$AP873="","",Portafolio_Proyectos!$AP873),"")</f>
        <v/>
      </c>
      <c r="C2618" s="5" t="str">
        <f>IFERROR(IF(Portafolio_Proyectos!$AP873="","","Emergente"),"")</f>
        <v/>
      </c>
      <c r="D2618" s="5" t="str">
        <f>IFERROR(IF(Portafolio_Proyectos!$AP873="","",Portafolio_Proyectos!$C873),"")</f>
        <v/>
      </c>
      <c r="E2618" s="5" t="str">
        <f>IFERROR(IF(Portafolio_Proyectos!$AP873="","",Portafolio_Proyectos!$B873),"")</f>
        <v/>
      </c>
      <c r="F2618" s="5" t="str">
        <f>IFERROR(IF(Portafolio_Proyectos!$AP873="","",Portafolio_Proyectos!$D873),"")</f>
        <v/>
      </c>
      <c r="G2618" s="5" t="str">
        <f>IFERROR(IF(Portafolio_Proyectos!$AP873="","",Portafolio_Proyectos!$A873),"")</f>
        <v/>
      </c>
      <c r="H2618" s="5" t="str">
        <f>IFERROR(IF(Portafolio_Proyectos!$AP873="","",Portafolio_Proyectos!$E873),"")</f>
        <v/>
      </c>
    </row>
    <row r="2619" spans="1:8" x14ac:dyDescent="0.35">
      <c r="A2619" s="5" t="str">
        <f>IFERROR(IF(Portafolio_Proyectos!$AQ873="","","CAP-"&amp;ROW()-1),"")</f>
        <v/>
      </c>
      <c r="B2619" s="5" t="str">
        <f>IFERROR(IF(Portafolio_Proyectos!$AQ873="","",Portafolio_Proyectos!$AQ873),"")</f>
        <v/>
      </c>
      <c r="C2619" s="5" t="str">
        <f>IFERROR(IF(Portafolio_Proyectos!$AQ873="","","Consolidada"),"")</f>
        <v/>
      </c>
      <c r="D2619" s="5" t="str">
        <f>IFERROR(IF(Portafolio_Proyectos!$AQ873="","",Portafolio_Proyectos!$C873),"")</f>
        <v/>
      </c>
      <c r="E2619" s="5" t="str">
        <f>IFERROR(IF(Portafolio_Proyectos!$AQ873="","",Portafolio_Proyectos!$B873),"")</f>
        <v/>
      </c>
      <c r="F2619" s="5" t="str">
        <f>IFERROR(IF(Portafolio_Proyectos!$AQ873="","",Portafolio_Proyectos!$D873),"")</f>
        <v/>
      </c>
      <c r="G2619" s="5" t="str">
        <f>IFERROR(IF(Portafolio_Proyectos!$AQ873="","",Portafolio_Proyectos!$A873),"")</f>
        <v/>
      </c>
      <c r="H2619" s="5" t="str">
        <f>IFERROR(IF(Portafolio_Proyectos!$AQ873="","",Portafolio_Proyectos!$E873),"")</f>
        <v/>
      </c>
    </row>
    <row r="2620" spans="1:8" x14ac:dyDescent="0.35">
      <c r="A2620" s="5" t="str">
        <f>IFERROR(IF(Portafolio_Proyectos!$AR873="","","CAP-"&amp;ROW()-1),"")</f>
        <v/>
      </c>
      <c r="B2620" s="5" t="str">
        <f>IFERROR(IF(Portafolio_Proyectos!$AR873="","",Portafolio_Proyectos!$AR873),"")</f>
        <v/>
      </c>
      <c r="C2620" s="5" t="str">
        <f>IFERROR(IF(Portafolio_Proyectos!$AR873="","","Distintiva"),"")</f>
        <v/>
      </c>
      <c r="D2620" s="5" t="str">
        <f>IFERROR(IF(Portafolio_Proyectos!$AR873="","",Portafolio_Proyectos!$C873),"")</f>
        <v/>
      </c>
      <c r="E2620" s="5" t="str">
        <f>IFERROR(IF(Portafolio_Proyectos!$AR873="","",Portafolio_Proyectos!$B873),"")</f>
        <v/>
      </c>
      <c r="F2620" s="5" t="str">
        <f>IFERROR(IF(Portafolio_Proyectos!$AR873="","",Portafolio_Proyectos!$D873),"")</f>
        <v/>
      </c>
      <c r="G2620" s="5" t="str">
        <f>IFERROR(IF(Portafolio_Proyectos!$AR873="","",Portafolio_Proyectos!$A873),"")</f>
        <v/>
      </c>
      <c r="H2620" s="5" t="str">
        <f>IFERROR(IF(Portafolio_Proyectos!$AR873="","",Portafolio_Proyectos!$E873),"")</f>
        <v/>
      </c>
    </row>
    <row r="2621" spans="1:8" x14ac:dyDescent="0.35">
      <c r="A2621" s="5" t="str">
        <f>IFERROR(IF(Portafolio_Proyectos!$AP874="","","CAP-"&amp;ROW()-1),"")</f>
        <v/>
      </c>
      <c r="B2621" s="5" t="str">
        <f>IFERROR(IF(Portafolio_Proyectos!$AP874="","",Portafolio_Proyectos!$AP874),"")</f>
        <v/>
      </c>
      <c r="C2621" s="5" t="str">
        <f>IFERROR(IF(Portafolio_Proyectos!$AP874="","","Emergente"),"")</f>
        <v/>
      </c>
      <c r="D2621" s="5" t="str">
        <f>IFERROR(IF(Portafolio_Proyectos!$AP874="","",Portafolio_Proyectos!$C874),"")</f>
        <v/>
      </c>
      <c r="E2621" s="5" t="str">
        <f>IFERROR(IF(Portafolio_Proyectos!$AP874="","",Portafolio_Proyectos!$B874),"")</f>
        <v/>
      </c>
      <c r="F2621" s="5" t="str">
        <f>IFERROR(IF(Portafolio_Proyectos!$AP874="","",Portafolio_Proyectos!$D874),"")</f>
        <v/>
      </c>
      <c r="G2621" s="5" t="str">
        <f>IFERROR(IF(Portafolio_Proyectos!$AP874="","",Portafolio_Proyectos!$A874),"")</f>
        <v/>
      </c>
      <c r="H2621" s="5" t="str">
        <f>IFERROR(IF(Portafolio_Proyectos!$AP874="","",Portafolio_Proyectos!$E874),"")</f>
        <v/>
      </c>
    </row>
    <row r="2622" spans="1:8" x14ac:dyDescent="0.35">
      <c r="A2622" s="5" t="str">
        <f>IFERROR(IF(Portafolio_Proyectos!$AQ874="","","CAP-"&amp;ROW()-1),"")</f>
        <v/>
      </c>
      <c r="B2622" s="5" t="str">
        <f>IFERROR(IF(Portafolio_Proyectos!$AQ874="","",Portafolio_Proyectos!$AQ874),"")</f>
        <v/>
      </c>
      <c r="C2622" s="5" t="str">
        <f>IFERROR(IF(Portafolio_Proyectos!$AQ874="","","Consolidada"),"")</f>
        <v/>
      </c>
      <c r="D2622" s="5" t="str">
        <f>IFERROR(IF(Portafolio_Proyectos!$AQ874="","",Portafolio_Proyectos!$C874),"")</f>
        <v/>
      </c>
      <c r="E2622" s="5" t="str">
        <f>IFERROR(IF(Portafolio_Proyectos!$AQ874="","",Portafolio_Proyectos!$B874),"")</f>
        <v/>
      </c>
      <c r="F2622" s="5" t="str">
        <f>IFERROR(IF(Portafolio_Proyectos!$AQ874="","",Portafolio_Proyectos!$D874),"")</f>
        <v/>
      </c>
      <c r="G2622" s="5" t="str">
        <f>IFERROR(IF(Portafolio_Proyectos!$AQ874="","",Portafolio_Proyectos!$A874),"")</f>
        <v/>
      </c>
      <c r="H2622" s="5" t="str">
        <f>IFERROR(IF(Portafolio_Proyectos!$AQ874="","",Portafolio_Proyectos!$E874),"")</f>
        <v/>
      </c>
    </row>
    <row r="2623" spans="1:8" x14ac:dyDescent="0.35">
      <c r="A2623" s="5" t="str">
        <f>IFERROR(IF(Portafolio_Proyectos!$AR874="","","CAP-"&amp;ROW()-1),"")</f>
        <v/>
      </c>
      <c r="B2623" s="5" t="str">
        <f>IFERROR(IF(Portafolio_Proyectos!$AR874="","",Portafolio_Proyectos!$AR874),"")</f>
        <v/>
      </c>
      <c r="C2623" s="5" t="str">
        <f>IFERROR(IF(Portafolio_Proyectos!$AR874="","","Distintiva"),"")</f>
        <v/>
      </c>
      <c r="D2623" s="5" t="str">
        <f>IFERROR(IF(Portafolio_Proyectos!$AR874="","",Portafolio_Proyectos!$C874),"")</f>
        <v/>
      </c>
      <c r="E2623" s="5" t="str">
        <f>IFERROR(IF(Portafolio_Proyectos!$AR874="","",Portafolio_Proyectos!$B874),"")</f>
        <v/>
      </c>
      <c r="F2623" s="5" t="str">
        <f>IFERROR(IF(Portafolio_Proyectos!$AR874="","",Portafolio_Proyectos!$D874),"")</f>
        <v/>
      </c>
      <c r="G2623" s="5" t="str">
        <f>IFERROR(IF(Portafolio_Proyectos!$AR874="","",Portafolio_Proyectos!$A874),"")</f>
        <v/>
      </c>
      <c r="H2623" s="5" t="str">
        <f>IFERROR(IF(Portafolio_Proyectos!$AR874="","",Portafolio_Proyectos!$E874),"")</f>
        <v/>
      </c>
    </row>
    <row r="2624" spans="1:8" x14ac:dyDescent="0.35">
      <c r="A2624" s="5" t="str">
        <f>IFERROR(IF(Portafolio_Proyectos!$AP875="","","CAP-"&amp;ROW()-1),"")</f>
        <v/>
      </c>
      <c r="B2624" s="5" t="str">
        <f>IFERROR(IF(Portafolio_Proyectos!$AP875="","",Portafolio_Proyectos!$AP875),"")</f>
        <v/>
      </c>
      <c r="C2624" s="5" t="str">
        <f>IFERROR(IF(Portafolio_Proyectos!$AP875="","","Emergente"),"")</f>
        <v/>
      </c>
      <c r="D2624" s="5" t="str">
        <f>IFERROR(IF(Portafolio_Proyectos!$AP875="","",Portafolio_Proyectos!$C875),"")</f>
        <v/>
      </c>
      <c r="E2624" s="5" t="str">
        <f>IFERROR(IF(Portafolio_Proyectos!$AP875="","",Portafolio_Proyectos!$B875),"")</f>
        <v/>
      </c>
      <c r="F2624" s="5" t="str">
        <f>IFERROR(IF(Portafolio_Proyectos!$AP875="","",Portafolio_Proyectos!$D875),"")</f>
        <v/>
      </c>
      <c r="G2624" s="5" t="str">
        <f>IFERROR(IF(Portafolio_Proyectos!$AP875="","",Portafolio_Proyectos!$A875),"")</f>
        <v/>
      </c>
      <c r="H2624" s="5" t="str">
        <f>IFERROR(IF(Portafolio_Proyectos!$AP875="","",Portafolio_Proyectos!$E875),"")</f>
        <v/>
      </c>
    </row>
    <row r="2625" spans="1:8" x14ac:dyDescent="0.35">
      <c r="A2625" s="5" t="str">
        <f>IFERROR(IF(Portafolio_Proyectos!$AQ875="","","CAP-"&amp;ROW()-1),"")</f>
        <v/>
      </c>
      <c r="B2625" s="5" t="str">
        <f>IFERROR(IF(Portafolio_Proyectos!$AQ875="","",Portafolio_Proyectos!$AQ875),"")</f>
        <v/>
      </c>
      <c r="C2625" s="5" t="str">
        <f>IFERROR(IF(Portafolio_Proyectos!$AQ875="","","Consolidada"),"")</f>
        <v/>
      </c>
      <c r="D2625" s="5" t="str">
        <f>IFERROR(IF(Portafolio_Proyectos!$AQ875="","",Portafolio_Proyectos!$C875),"")</f>
        <v/>
      </c>
      <c r="E2625" s="5" t="str">
        <f>IFERROR(IF(Portafolio_Proyectos!$AQ875="","",Portafolio_Proyectos!$B875),"")</f>
        <v/>
      </c>
      <c r="F2625" s="5" t="str">
        <f>IFERROR(IF(Portafolio_Proyectos!$AQ875="","",Portafolio_Proyectos!$D875),"")</f>
        <v/>
      </c>
      <c r="G2625" s="5" t="str">
        <f>IFERROR(IF(Portafolio_Proyectos!$AQ875="","",Portafolio_Proyectos!$A875),"")</f>
        <v/>
      </c>
      <c r="H2625" s="5" t="str">
        <f>IFERROR(IF(Portafolio_Proyectos!$AQ875="","",Portafolio_Proyectos!$E875),"")</f>
        <v/>
      </c>
    </row>
    <row r="2626" spans="1:8" x14ac:dyDescent="0.35">
      <c r="A2626" s="5" t="str">
        <f>IFERROR(IF(Portafolio_Proyectos!$AR875="","","CAP-"&amp;ROW()-1),"")</f>
        <v/>
      </c>
      <c r="B2626" s="5" t="str">
        <f>IFERROR(IF(Portafolio_Proyectos!$AR875="","",Portafolio_Proyectos!$AR875),"")</f>
        <v/>
      </c>
      <c r="C2626" s="5" t="str">
        <f>IFERROR(IF(Portafolio_Proyectos!$AR875="","","Distintiva"),"")</f>
        <v/>
      </c>
      <c r="D2626" s="5" t="str">
        <f>IFERROR(IF(Portafolio_Proyectos!$AR875="","",Portafolio_Proyectos!$C875),"")</f>
        <v/>
      </c>
      <c r="E2626" s="5" t="str">
        <f>IFERROR(IF(Portafolio_Proyectos!$AR875="","",Portafolio_Proyectos!$B875),"")</f>
        <v/>
      </c>
      <c r="F2626" s="5" t="str">
        <f>IFERROR(IF(Portafolio_Proyectos!$AR875="","",Portafolio_Proyectos!$D875),"")</f>
        <v/>
      </c>
      <c r="G2626" s="5" t="str">
        <f>IFERROR(IF(Portafolio_Proyectos!$AR875="","",Portafolio_Proyectos!$A875),"")</f>
        <v/>
      </c>
      <c r="H2626" s="5" t="str">
        <f>IFERROR(IF(Portafolio_Proyectos!$AR875="","",Portafolio_Proyectos!$E875),"")</f>
        <v/>
      </c>
    </row>
    <row r="2627" spans="1:8" x14ac:dyDescent="0.35">
      <c r="A2627" s="5" t="str">
        <f>IFERROR(IF(Portafolio_Proyectos!$AP876="","","CAP-"&amp;ROW()-1),"")</f>
        <v/>
      </c>
      <c r="B2627" s="5" t="str">
        <f>IFERROR(IF(Portafolio_Proyectos!$AP876="","",Portafolio_Proyectos!$AP876),"")</f>
        <v/>
      </c>
      <c r="C2627" s="5" t="str">
        <f>IFERROR(IF(Portafolio_Proyectos!$AP876="","","Emergente"),"")</f>
        <v/>
      </c>
      <c r="D2627" s="5" t="str">
        <f>IFERROR(IF(Portafolio_Proyectos!$AP876="","",Portafolio_Proyectos!$C876),"")</f>
        <v/>
      </c>
      <c r="E2627" s="5" t="str">
        <f>IFERROR(IF(Portafolio_Proyectos!$AP876="","",Portafolio_Proyectos!$B876),"")</f>
        <v/>
      </c>
      <c r="F2627" s="5" t="str">
        <f>IFERROR(IF(Portafolio_Proyectos!$AP876="","",Portafolio_Proyectos!$D876),"")</f>
        <v/>
      </c>
      <c r="G2627" s="5" t="str">
        <f>IFERROR(IF(Portafolio_Proyectos!$AP876="","",Portafolio_Proyectos!$A876),"")</f>
        <v/>
      </c>
      <c r="H2627" s="5" t="str">
        <f>IFERROR(IF(Portafolio_Proyectos!$AP876="","",Portafolio_Proyectos!$E876),"")</f>
        <v/>
      </c>
    </row>
    <row r="2628" spans="1:8" x14ac:dyDescent="0.35">
      <c r="A2628" s="5" t="str">
        <f>IFERROR(IF(Portafolio_Proyectos!$AQ876="","","CAP-"&amp;ROW()-1),"")</f>
        <v/>
      </c>
      <c r="B2628" s="5" t="str">
        <f>IFERROR(IF(Portafolio_Proyectos!$AQ876="","",Portafolio_Proyectos!$AQ876),"")</f>
        <v/>
      </c>
      <c r="C2628" s="5" t="str">
        <f>IFERROR(IF(Portafolio_Proyectos!$AQ876="","","Consolidada"),"")</f>
        <v/>
      </c>
      <c r="D2628" s="5" t="str">
        <f>IFERROR(IF(Portafolio_Proyectos!$AQ876="","",Portafolio_Proyectos!$C876),"")</f>
        <v/>
      </c>
      <c r="E2628" s="5" t="str">
        <f>IFERROR(IF(Portafolio_Proyectos!$AQ876="","",Portafolio_Proyectos!$B876),"")</f>
        <v/>
      </c>
      <c r="F2628" s="5" t="str">
        <f>IFERROR(IF(Portafolio_Proyectos!$AQ876="","",Portafolio_Proyectos!$D876),"")</f>
        <v/>
      </c>
      <c r="G2628" s="5" t="str">
        <f>IFERROR(IF(Portafolio_Proyectos!$AQ876="","",Portafolio_Proyectos!$A876),"")</f>
        <v/>
      </c>
      <c r="H2628" s="5" t="str">
        <f>IFERROR(IF(Portafolio_Proyectos!$AQ876="","",Portafolio_Proyectos!$E876),"")</f>
        <v/>
      </c>
    </row>
    <row r="2629" spans="1:8" x14ac:dyDescent="0.35">
      <c r="A2629" s="5" t="str">
        <f>IFERROR(IF(Portafolio_Proyectos!$AR876="","","CAP-"&amp;ROW()-1),"")</f>
        <v/>
      </c>
      <c r="B2629" s="5" t="str">
        <f>IFERROR(IF(Portafolio_Proyectos!$AR876="","",Portafolio_Proyectos!$AR876),"")</f>
        <v/>
      </c>
      <c r="C2629" s="5" t="str">
        <f>IFERROR(IF(Portafolio_Proyectos!$AR876="","","Distintiva"),"")</f>
        <v/>
      </c>
      <c r="D2629" s="5" t="str">
        <f>IFERROR(IF(Portafolio_Proyectos!$AR876="","",Portafolio_Proyectos!$C876),"")</f>
        <v/>
      </c>
      <c r="E2629" s="5" t="str">
        <f>IFERROR(IF(Portafolio_Proyectos!$AR876="","",Portafolio_Proyectos!$B876),"")</f>
        <v/>
      </c>
      <c r="F2629" s="5" t="str">
        <f>IFERROR(IF(Portafolio_Proyectos!$AR876="","",Portafolio_Proyectos!$D876),"")</f>
        <v/>
      </c>
      <c r="G2629" s="5" t="str">
        <f>IFERROR(IF(Portafolio_Proyectos!$AR876="","",Portafolio_Proyectos!$A876),"")</f>
        <v/>
      </c>
      <c r="H2629" s="5" t="str">
        <f>IFERROR(IF(Portafolio_Proyectos!$AR876="","",Portafolio_Proyectos!$E876),"")</f>
        <v/>
      </c>
    </row>
    <row r="2630" spans="1:8" x14ac:dyDescent="0.35">
      <c r="A2630" s="5" t="str">
        <f>IFERROR(IF(Portafolio_Proyectos!$AP877="","","CAP-"&amp;ROW()-1),"")</f>
        <v/>
      </c>
      <c r="B2630" s="5" t="str">
        <f>IFERROR(IF(Portafolio_Proyectos!$AP877="","",Portafolio_Proyectos!$AP877),"")</f>
        <v/>
      </c>
      <c r="C2630" s="5" t="str">
        <f>IFERROR(IF(Portafolio_Proyectos!$AP877="","","Emergente"),"")</f>
        <v/>
      </c>
      <c r="D2630" s="5" t="str">
        <f>IFERROR(IF(Portafolio_Proyectos!$AP877="","",Portafolio_Proyectos!$C877),"")</f>
        <v/>
      </c>
      <c r="E2630" s="5" t="str">
        <f>IFERROR(IF(Portafolio_Proyectos!$AP877="","",Portafolio_Proyectos!$B877),"")</f>
        <v/>
      </c>
      <c r="F2630" s="5" t="str">
        <f>IFERROR(IF(Portafolio_Proyectos!$AP877="","",Portafolio_Proyectos!$D877),"")</f>
        <v/>
      </c>
      <c r="G2630" s="5" t="str">
        <f>IFERROR(IF(Portafolio_Proyectos!$AP877="","",Portafolio_Proyectos!$A877),"")</f>
        <v/>
      </c>
      <c r="H2630" s="5" t="str">
        <f>IFERROR(IF(Portafolio_Proyectos!$AP877="","",Portafolio_Proyectos!$E877),"")</f>
        <v/>
      </c>
    </row>
    <row r="2631" spans="1:8" x14ac:dyDescent="0.35">
      <c r="A2631" s="5" t="str">
        <f>IFERROR(IF(Portafolio_Proyectos!$AQ877="","","CAP-"&amp;ROW()-1),"")</f>
        <v/>
      </c>
      <c r="B2631" s="5" t="str">
        <f>IFERROR(IF(Portafolio_Proyectos!$AQ877="","",Portafolio_Proyectos!$AQ877),"")</f>
        <v/>
      </c>
      <c r="C2631" s="5" t="str">
        <f>IFERROR(IF(Portafolio_Proyectos!$AQ877="","","Consolidada"),"")</f>
        <v/>
      </c>
      <c r="D2631" s="5" t="str">
        <f>IFERROR(IF(Portafolio_Proyectos!$AQ877="","",Portafolio_Proyectos!$C877),"")</f>
        <v/>
      </c>
      <c r="E2631" s="5" t="str">
        <f>IFERROR(IF(Portafolio_Proyectos!$AQ877="","",Portafolio_Proyectos!$B877),"")</f>
        <v/>
      </c>
      <c r="F2631" s="5" t="str">
        <f>IFERROR(IF(Portafolio_Proyectos!$AQ877="","",Portafolio_Proyectos!$D877),"")</f>
        <v/>
      </c>
      <c r="G2631" s="5" t="str">
        <f>IFERROR(IF(Portafolio_Proyectos!$AQ877="","",Portafolio_Proyectos!$A877),"")</f>
        <v/>
      </c>
      <c r="H2631" s="5" t="str">
        <f>IFERROR(IF(Portafolio_Proyectos!$AQ877="","",Portafolio_Proyectos!$E877),"")</f>
        <v/>
      </c>
    </row>
    <row r="2632" spans="1:8" x14ac:dyDescent="0.35">
      <c r="A2632" s="5" t="str">
        <f>IFERROR(IF(Portafolio_Proyectos!$AR877="","","CAP-"&amp;ROW()-1),"")</f>
        <v/>
      </c>
      <c r="B2632" s="5" t="str">
        <f>IFERROR(IF(Portafolio_Proyectos!$AR877="","",Portafolio_Proyectos!$AR877),"")</f>
        <v/>
      </c>
      <c r="C2632" s="5" t="str">
        <f>IFERROR(IF(Portafolio_Proyectos!$AR877="","","Distintiva"),"")</f>
        <v/>
      </c>
      <c r="D2632" s="5" t="str">
        <f>IFERROR(IF(Portafolio_Proyectos!$AR877="","",Portafolio_Proyectos!$C877),"")</f>
        <v/>
      </c>
      <c r="E2632" s="5" t="str">
        <f>IFERROR(IF(Portafolio_Proyectos!$AR877="","",Portafolio_Proyectos!$B877),"")</f>
        <v/>
      </c>
      <c r="F2632" s="5" t="str">
        <f>IFERROR(IF(Portafolio_Proyectos!$AR877="","",Portafolio_Proyectos!$D877),"")</f>
        <v/>
      </c>
      <c r="G2632" s="5" t="str">
        <f>IFERROR(IF(Portafolio_Proyectos!$AR877="","",Portafolio_Proyectos!$A877),"")</f>
        <v/>
      </c>
      <c r="H2632" s="5" t="str">
        <f>IFERROR(IF(Portafolio_Proyectos!$AR877="","",Portafolio_Proyectos!$E877),"")</f>
        <v/>
      </c>
    </row>
    <row r="2633" spans="1:8" x14ac:dyDescent="0.35">
      <c r="A2633" s="5" t="str">
        <f>IFERROR(IF(Portafolio_Proyectos!$AP878="","","CAP-"&amp;ROW()-1),"")</f>
        <v/>
      </c>
      <c r="B2633" s="5" t="str">
        <f>IFERROR(IF(Portafolio_Proyectos!$AP878="","",Portafolio_Proyectos!$AP878),"")</f>
        <v/>
      </c>
      <c r="C2633" s="5" t="str">
        <f>IFERROR(IF(Portafolio_Proyectos!$AP878="","","Emergente"),"")</f>
        <v/>
      </c>
      <c r="D2633" s="5" t="str">
        <f>IFERROR(IF(Portafolio_Proyectos!$AP878="","",Portafolio_Proyectos!$C878),"")</f>
        <v/>
      </c>
      <c r="E2633" s="5" t="str">
        <f>IFERROR(IF(Portafolio_Proyectos!$AP878="","",Portafolio_Proyectos!$B878),"")</f>
        <v/>
      </c>
      <c r="F2633" s="5" t="str">
        <f>IFERROR(IF(Portafolio_Proyectos!$AP878="","",Portafolio_Proyectos!$D878),"")</f>
        <v/>
      </c>
      <c r="G2633" s="5" t="str">
        <f>IFERROR(IF(Portafolio_Proyectos!$AP878="","",Portafolio_Proyectos!$A878),"")</f>
        <v/>
      </c>
      <c r="H2633" s="5" t="str">
        <f>IFERROR(IF(Portafolio_Proyectos!$AP878="","",Portafolio_Proyectos!$E878),"")</f>
        <v/>
      </c>
    </row>
    <row r="2634" spans="1:8" x14ac:dyDescent="0.35">
      <c r="A2634" s="5" t="str">
        <f>IFERROR(IF(Portafolio_Proyectos!$AQ878="","","CAP-"&amp;ROW()-1),"")</f>
        <v/>
      </c>
      <c r="B2634" s="5" t="str">
        <f>IFERROR(IF(Portafolio_Proyectos!$AQ878="","",Portafolio_Proyectos!$AQ878),"")</f>
        <v/>
      </c>
      <c r="C2634" s="5" t="str">
        <f>IFERROR(IF(Portafolio_Proyectos!$AQ878="","","Consolidada"),"")</f>
        <v/>
      </c>
      <c r="D2634" s="5" t="str">
        <f>IFERROR(IF(Portafolio_Proyectos!$AQ878="","",Portafolio_Proyectos!$C878),"")</f>
        <v/>
      </c>
      <c r="E2634" s="5" t="str">
        <f>IFERROR(IF(Portafolio_Proyectos!$AQ878="","",Portafolio_Proyectos!$B878),"")</f>
        <v/>
      </c>
      <c r="F2634" s="5" t="str">
        <f>IFERROR(IF(Portafolio_Proyectos!$AQ878="","",Portafolio_Proyectos!$D878),"")</f>
        <v/>
      </c>
      <c r="G2634" s="5" t="str">
        <f>IFERROR(IF(Portafolio_Proyectos!$AQ878="","",Portafolio_Proyectos!$A878),"")</f>
        <v/>
      </c>
      <c r="H2634" s="5" t="str">
        <f>IFERROR(IF(Portafolio_Proyectos!$AQ878="","",Portafolio_Proyectos!$E878),"")</f>
        <v/>
      </c>
    </row>
    <row r="2635" spans="1:8" x14ac:dyDescent="0.35">
      <c r="A2635" s="5" t="str">
        <f>IFERROR(IF(Portafolio_Proyectos!$AR878="","","CAP-"&amp;ROW()-1),"")</f>
        <v/>
      </c>
      <c r="B2635" s="5" t="str">
        <f>IFERROR(IF(Portafolio_Proyectos!$AR878="","",Portafolio_Proyectos!$AR878),"")</f>
        <v/>
      </c>
      <c r="C2635" s="5" t="str">
        <f>IFERROR(IF(Portafolio_Proyectos!$AR878="","","Distintiva"),"")</f>
        <v/>
      </c>
      <c r="D2635" s="5" t="str">
        <f>IFERROR(IF(Portafolio_Proyectos!$AR878="","",Portafolio_Proyectos!$C878),"")</f>
        <v/>
      </c>
      <c r="E2635" s="5" t="str">
        <f>IFERROR(IF(Portafolio_Proyectos!$AR878="","",Portafolio_Proyectos!$B878),"")</f>
        <v/>
      </c>
      <c r="F2635" s="5" t="str">
        <f>IFERROR(IF(Portafolio_Proyectos!$AR878="","",Portafolio_Proyectos!$D878),"")</f>
        <v/>
      </c>
      <c r="G2635" s="5" t="str">
        <f>IFERROR(IF(Portafolio_Proyectos!$AR878="","",Portafolio_Proyectos!$A878),"")</f>
        <v/>
      </c>
      <c r="H2635" s="5" t="str">
        <f>IFERROR(IF(Portafolio_Proyectos!$AR878="","",Portafolio_Proyectos!$E878),"")</f>
        <v/>
      </c>
    </row>
    <row r="2636" spans="1:8" x14ac:dyDescent="0.35">
      <c r="A2636" s="5" t="str">
        <f>IFERROR(IF(Portafolio_Proyectos!$AP879="","","CAP-"&amp;ROW()-1),"")</f>
        <v/>
      </c>
      <c r="B2636" s="5" t="str">
        <f>IFERROR(IF(Portafolio_Proyectos!$AP879="","",Portafolio_Proyectos!$AP879),"")</f>
        <v/>
      </c>
      <c r="C2636" s="5" t="str">
        <f>IFERROR(IF(Portafolio_Proyectos!$AP879="","","Emergente"),"")</f>
        <v/>
      </c>
      <c r="D2636" s="5" t="str">
        <f>IFERROR(IF(Portafolio_Proyectos!$AP879="","",Portafolio_Proyectos!$C879),"")</f>
        <v/>
      </c>
      <c r="E2636" s="5" t="str">
        <f>IFERROR(IF(Portafolio_Proyectos!$AP879="","",Portafolio_Proyectos!$B879),"")</f>
        <v/>
      </c>
      <c r="F2636" s="5" t="str">
        <f>IFERROR(IF(Portafolio_Proyectos!$AP879="","",Portafolio_Proyectos!$D879),"")</f>
        <v/>
      </c>
      <c r="G2636" s="5" t="str">
        <f>IFERROR(IF(Portafolio_Proyectos!$AP879="","",Portafolio_Proyectos!$A879),"")</f>
        <v/>
      </c>
      <c r="H2636" s="5" t="str">
        <f>IFERROR(IF(Portafolio_Proyectos!$AP879="","",Portafolio_Proyectos!$E879),"")</f>
        <v/>
      </c>
    </row>
    <row r="2637" spans="1:8" x14ac:dyDescent="0.35">
      <c r="A2637" s="5" t="str">
        <f>IFERROR(IF(Portafolio_Proyectos!$AQ879="","","CAP-"&amp;ROW()-1),"")</f>
        <v/>
      </c>
      <c r="B2637" s="5" t="str">
        <f>IFERROR(IF(Portafolio_Proyectos!$AQ879="","",Portafolio_Proyectos!$AQ879),"")</f>
        <v/>
      </c>
      <c r="C2637" s="5" t="str">
        <f>IFERROR(IF(Portafolio_Proyectos!$AQ879="","","Consolidada"),"")</f>
        <v/>
      </c>
      <c r="D2637" s="5" t="str">
        <f>IFERROR(IF(Portafolio_Proyectos!$AQ879="","",Portafolio_Proyectos!$C879),"")</f>
        <v/>
      </c>
      <c r="E2637" s="5" t="str">
        <f>IFERROR(IF(Portafolio_Proyectos!$AQ879="","",Portafolio_Proyectos!$B879),"")</f>
        <v/>
      </c>
      <c r="F2637" s="5" t="str">
        <f>IFERROR(IF(Portafolio_Proyectos!$AQ879="","",Portafolio_Proyectos!$D879),"")</f>
        <v/>
      </c>
      <c r="G2637" s="5" t="str">
        <f>IFERROR(IF(Portafolio_Proyectos!$AQ879="","",Portafolio_Proyectos!$A879),"")</f>
        <v/>
      </c>
      <c r="H2637" s="5" t="str">
        <f>IFERROR(IF(Portafolio_Proyectos!$AQ879="","",Portafolio_Proyectos!$E879),"")</f>
        <v/>
      </c>
    </row>
    <row r="2638" spans="1:8" x14ac:dyDescent="0.35">
      <c r="A2638" s="5" t="str">
        <f>IFERROR(IF(Portafolio_Proyectos!$AR879="","","CAP-"&amp;ROW()-1),"")</f>
        <v/>
      </c>
      <c r="B2638" s="5" t="str">
        <f>IFERROR(IF(Portafolio_Proyectos!$AR879="","",Portafolio_Proyectos!$AR879),"")</f>
        <v/>
      </c>
      <c r="C2638" s="5" t="str">
        <f>IFERROR(IF(Portafolio_Proyectos!$AR879="","","Distintiva"),"")</f>
        <v/>
      </c>
      <c r="D2638" s="5" t="str">
        <f>IFERROR(IF(Portafolio_Proyectos!$AR879="","",Portafolio_Proyectos!$C879),"")</f>
        <v/>
      </c>
      <c r="E2638" s="5" t="str">
        <f>IFERROR(IF(Portafolio_Proyectos!$AR879="","",Portafolio_Proyectos!$B879),"")</f>
        <v/>
      </c>
      <c r="F2638" s="5" t="str">
        <f>IFERROR(IF(Portafolio_Proyectos!$AR879="","",Portafolio_Proyectos!$D879),"")</f>
        <v/>
      </c>
      <c r="G2638" s="5" t="str">
        <f>IFERROR(IF(Portafolio_Proyectos!$AR879="","",Portafolio_Proyectos!$A879),"")</f>
        <v/>
      </c>
      <c r="H2638" s="5" t="str">
        <f>IFERROR(IF(Portafolio_Proyectos!$AR879="","",Portafolio_Proyectos!$E879),"")</f>
        <v/>
      </c>
    </row>
    <row r="2639" spans="1:8" x14ac:dyDescent="0.35">
      <c r="A2639" s="5" t="str">
        <f>IFERROR(IF(Portafolio_Proyectos!$AP880="","","CAP-"&amp;ROW()-1),"")</f>
        <v/>
      </c>
      <c r="B2639" s="5" t="str">
        <f>IFERROR(IF(Portafolio_Proyectos!$AP880="","",Portafolio_Proyectos!$AP880),"")</f>
        <v/>
      </c>
      <c r="C2639" s="5" t="str">
        <f>IFERROR(IF(Portafolio_Proyectos!$AP880="","","Emergente"),"")</f>
        <v/>
      </c>
      <c r="D2639" s="5" t="str">
        <f>IFERROR(IF(Portafolio_Proyectos!$AP880="","",Portafolio_Proyectos!$C880),"")</f>
        <v/>
      </c>
      <c r="E2639" s="5" t="str">
        <f>IFERROR(IF(Portafolio_Proyectos!$AP880="","",Portafolio_Proyectos!$B880),"")</f>
        <v/>
      </c>
      <c r="F2639" s="5" t="str">
        <f>IFERROR(IF(Portafolio_Proyectos!$AP880="","",Portafolio_Proyectos!$D880),"")</f>
        <v/>
      </c>
      <c r="G2639" s="5" t="str">
        <f>IFERROR(IF(Portafolio_Proyectos!$AP880="","",Portafolio_Proyectos!$A880),"")</f>
        <v/>
      </c>
      <c r="H2639" s="5" t="str">
        <f>IFERROR(IF(Portafolio_Proyectos!$AP880="","",Portafolio_Proyectos!$E880),"")</f>
        <v/>
      </c>
    </row>
    <row r="2640" spans="1:8" x14ac:dyDescent="0.35">
      <c r="A2640" s="5" t="str">
        <f>IFERROR(IF(Portafolio_Proyectos!$AQ880="","","CAP-"&amp;ROW()-1),"")</f>
        <v/>
      </c>
      <c r="B2640" s="5" t="str">
        <f>IFERROR(IF(Portafolio_Proyectos!$AQ880="","",Portafolio_Proyectos!$AQ880),"")</f>
        <v/>
      </c>
      <c r="C2640" s="5" t="str">
        <f>IFERROR(IF(Portafolio_Proyectos!$AQ880="","","Consolidada"),"")</f>
        <v/>
      </c>
      <c r="D2640" s="5" t="str">
        <f>IFERROR(IF(Portafolio_Proyectos!$AQ880="","",Portafolio_Proyectos!$C880),"")</f>
        <v/>
      </c>
      <c r="E2640" s="5" t="str">
        <f>IFERROR(IF(Portafolio_Proyectos!$AQ880="","",Portafolio_Proyectos!$B880),"")</f>
        <v/>
      </c>
      <c r="F2640" s="5" t="str">
        <f>IFERROR(IF(Portafolio_Proyectos!$AQ880="","",Portafolio_Proyectos!$D880),"")</f>
        <v/>
      </c>
      <c r="G2640" s="5" t="str">
        <f>IFERROR(IF(Portafolio_Proyectos!$AQ880="","",Portafolio_Proyectos!$A880),"")</f>
        <v/>
      </c>
      <c r="H2640" s="5" t="str">
        <f>IFERROR(IF(Portafolio_Proyectos!$AQ880="","",Portafolio_Proyectos!$E880),"")</f>
        <v/>
      </c>
    </row>
    <row r="2641" spans="1:8" x14ac:dyDescent="0.35">
      <c r="A2641" s="5" t="str">
        <f>IFERROR(IF(Portafolio_Proyectos!$AR880="","","CAP-"&amp;ROW()-1),"")</f>
        <v/>
      </c>
      <c r="B2641" s="5" t="str">
        <f>IFERROR(IF(Portafolio_Proyectos!$AR880="","",Portafolio_Proyectos!$AR880),"")</f>
        <v/>
      </c>
      <c r="C2641" s="5" t="str">
        <f>IFERROR(IF(Portafolio_Proyectos!$AR880="","","Distintiva"),"")</f>
        <v/>
      </c>
      <c r="D2641" s="5" t="str">
        <f>IFERROR(IF(Portafolio_Proyectos!$AR880="","",Portafolio_Proyectos!$C880),"")</f>
        <v/>
      </c>
      <c r="E2641" s="5" t="str">
        <f>IFERROR(IF(Portafolio_Proyectos!$AR880="","",Portafolio_Proyectos!$B880),"")</f>
        <v/>
      </c>
      <c r="F2641" s="5" t="str">
        <f>IFERROR(IF(Portafolio_Proyectos!$AR880="","",Portafolio_Proyectos!$D880),"")</f>
        <v/>
      </c>
      <c r="G2641" s="5" t="str">
        <f>IFERROR(IF(Portafolio_Proyectos!$AR880="","",Portafolio_Proyectos!$A880),"")</f>
        <v/>
      </c>
      <c r="H2641" s="5" t="str">
        <f>IFERROR(IF(Portafolio_Proyectos!$AR880="","",Portafolio_Proyectos!$E880),"")</f>
        <v/>
      </c>
    </row>
    <row r="2642" spans="1:8" x14ac:dyDescent="0.35">
      <c r="A2642" s="5" t="str">
        <f>IFERROR(IF(Portafolio_Proyectos!$AP881="","","CAP-"&amp;ROW()-1),"")</f>
        <v/>
      </c>
      <c r="B2642" s="5" t="str">
        <f>IFERROR(IF(Portafolio_Proyectos!$AP881="","",Portafolio_Proyectos!$AP881),"")</f>
        <v/>
      </c>
      <c r="C2642" s="5" t="str">
        <f>IFERROR(IF(Portafolio_Proyectos!$AP881="","","Emergente"),"")</f>
        <v/>
      </c>
      <c r="D2642" s="5" t="str">
        <f>IFERROR(IF(Portafolio_Proyectos!$AP881="","",Portafolio_Proyectos!$C881),"")</f>
        <v/>
      </c>
      <c r="E2642" s="5" t="str">
        <f>IFERROR(IF(Portafolio_Proyectos!$AP881="","",Portafolio_Proyectos!$B881),"")</f>
        <v/>
      </c>
      <c r="F2642" s="5" t="str">
        <f>IFERROR(IF(Portafolio_Proyectos!$AP881="","",Portafolio_Proyectos!$D881),"")</f>
        <v/>
      </c>
      <c r="G2642" s="5" t="str">
        <f>IFERROR(IF(Portafolio_Proyectos!$AP881="","",Portafolio_Proyectos!$A881),"")</f>
        <v/>
      </c>
      <c r="H2642" s="5" t="str">
        <f>IFERROR(IF(Portafolio_Proyectos!$AP881="","",Portafolio_Proyectos!$E881),"")</f>
        <v/>
      </c>
    </row>
    <row r="2643" spans="1:8" x14ac:dyDescent="0.35">
      <c r="A2643" s="5" t="str">
        <f>IFERROR(IF(Portafolio_Proyectos!$AQ881="","","CAP-"&amp;ROW()-1),"")</f>
        <v/>
      </c>
      <c r="B2643" s="5" t="str">
        <f>IFERROR(IF(Portafolio_Proyectos!$AQ881="","",Portafolio_Proyectos!$AQ881),"")</f>
        <v/>
      </c>
      <c r="C2643" s="5" t="str">
        <f>IFERROR(IF(Portafolio_Proyectos!$AQ881="","","Consolidada"),"")</f>
        <v/>
      </c>
      <c r="D2643" s="5" t="str">
        <f>IFERROR(IF(Portafolio_Proyectos!$AQ881="","",Portafolio_Proyectos!$C881),"")</f>
        <v/>
      </c>
      <c r="E2643" s="5" t="str">
        <f>IFERROR(IF(Portafolio_Proyectos!$AQ881="","",Portafolio_Proyectos!$B881),"")</f>
        <v/>
      </c>
      <c r="F2643" s="5" t="str">
        <f>IFERROR(IF(Portafolio_Proyectos!$AQ881="","",Portafolio_Proyectos!$D881),"")</f>
        <v/>
      </c>
      <c r="G2643" s="5" t="str">
        <f>IFERROR(IF(Portafolio_Proyectos!$AQ881="","",Portafolio_Proyectos!$A881),"")</f>
        <v/>
      </c>
      <c r="H2643" s="5" t="str">
        <f>IFERROR(IF(Portafolio_Proyectos!$AQ881="","",Portafolio_Proyectos!$E881),"")</f>
        <v/>
      </c>
    </row>
    <row r="2644" spans="1:8" x14ac:dyDescent="0.35">
      <c r="A2644" s="5" t="str">
        <f>IFERROR(IF(Portafolio_Proyectos!$AR881="","","CAP-"&amp;ROW()-1),"")</f>
        <v/>
      </c>
      <c r="B2644" s="5" t="str">
        <f>IFERROR(IF(Portafolio_Proyectos!$AR881="","",Portafolio_Proyectos!$AR881),"")</f>
        <v/>
      </c>
      <c r="C2644" s="5" t="str">
        <f>IFERROR(IF(Portafolio_Proyectos!$AR881="","","Distintiva"),"")</f>
        <v/>
      </c>
      <c r="D2644" s="5" t="str">
        <f>IFERROR(IF(Portafolio_Proyectos!$AR881="","",Portafolio_Proyectos!$C881),"")</f>
        <v/>
      </c>
      <c r="E2644" s="5" t="str">
        <f>IFERROR(IF(Portafolio_Proyectos!$AR881="","",Portafolio_Proyectos!$B881),"")</f>
        <v/>
      </c>
      <c r="F2644" s="5" t="str">
        <f>IFERROR(IF(Portafolio_Proyectos!$AR881="","",Portafolio_Proyectos!$D881),"")</f>
        <v/>
      </c>
      <c r="G2644" s="5" t="str">
        <f>IFERROR(IF(Portafolio_Proyectos!$AR881="","",Portafolio_Proyectos!$A881),"")</f>
        <v/>
      </c>
      <c r="H2644" s="5" t="str">
        <f>IFERROR(IF(Portafolio_Proyectos!$AR881="","",Portafolio_Proyectos!$E881),"")</f>
        <v/>
      </c>
    </row>
    <row r="2645" spans="1:8" x14ac:dyDescent="0.35">
      <c r="A2645" s="5" t="str">
        <f>IFERROR(IF(Portafolio_Proyectos!$AP882="","","CAP-"&amp;ROW()-1),"")</f>
        <v/>
      </c>
      <c r="B2645" s="5" t="str">
        <f>IFERROR(IF(Portafolio_Proyectos!$AP882="","",Portafolio_Proyectos!$AP882),"")</f>
        <v/>
      </c>
      <c r="C2645" s="5" t="str">
        <f>IFERROR(IF(Portafolio_Proyectos!$AP882="","","Emergente"),"")</f>
        <v/>
      </c>
      <c r="D2645" s="5" t="str">
        <f>IFERROR(IF(Portafolio_Proyectos!$AP882="","",Portafolio_Proyectos!$C882),"")</f>
        <v/>
      </c>
      <c r="E2645" s="5" t="str">
        <f>IFERROR(IF(Portafolio_Proyectos!$AP882="","",Portafolio_Proyectos!$B882),"")</f>
        <v/>
      </c>
      <c r="F2645" s="5" t="str">
        <f>IFERROR(IF(Portafolio_Proyectos!$AP882="","",Portafolio_Proyectos!$D882),"")</f>
        <v/>
      </c>
      <c r="G2645" s="5" t="str">
        <f>IFERROR(IF(Portafolio_Proyectos!$AP882="","",Portafolio_Proyectos!$A882),"")</f>
        <v/>
      </c>
      <c r="H2645" s="5" t="str">
        <f>IFERROR(IF(Portafolio_Proyectos!$AP882="","",Portafolio_Proyectos!$E882),"")</f>
        <v/>
      </c>
    </row>
    <row r="2646" spans="1:8" x14ac:dyDescent="0.35">
      <c r="A2646" s="5" t="str">
        <f>IFERROR(IF(Portafolio_Proyectos!$AQ882="","","CAP-"&amp;ROW()-1),"")</f>
        <v/>
      </c>
      <c r="B2646" s="5" t="str">
        <f>IFERROR(IF(Portafolio_Proyectos!$AQ882="","",Portafolio_Proyectos!$AQ882),"")</f>
        <v/>
      </c>
      <c r="C2646" s="5" t="str">
        <f>IFERROR(IF(Portafolio_Proyectos!$AQ882="","","Consolidada"),"")</f>
        <v/>
      </c>
      <c r="D2646" s="5" t="str">
        <f>IFERROR(IF(Portafolio_Proyectos!$AQ882="","",Portafolio_Proyectos!$C882),"")</f>
        <v/>
      </c>
      <c r="E2646" s="5" t="str">
        <f>IFERROR(IF(Portafolio_Proyectos!$AQ882="","",Portafolio_Proyectos!$B882),"")</f>
        <v/>
      </c>
      <c r="F2646" s="5" t="str">
        <f>IFERROR(IF(Portafolio_Proyectos!$AQ882="","",Portafolio_Proyectos!$D882),"")</f>
        <v/>
      </c>
      <c r="G2646" s="5" t="str">
        <f>IFERROR(IF(Portafolio_Proyectos!$AQ882="","",Portafolio_Proyectos!$A882),"")</f>
        <v/>
      </c>
      <c r="H2646" s="5" t="str">
        <f>IFERROR(IF(Portafolio_Proyectos!$AQ882="","",Portafolio_Proyectos!$E882),"")</f>
        <v/>
      </c>
    </row>
    <row r="2647" spans="1:8" x14ac:dyDescent="0.35">
      <c r="A2647" s="5" t="str">
        <f>IFERROR(IF(Portafolio_Proyectos!$AR882="","","CAP-"&amp;ROW()-1),"")</f>
        <v/>
      </c>
      <c r="B2647" s="5" t="str">
        <f>IFERROR(IF(Portafolio_Proyectos!$AR882="","",Portafolio_Proyectos!$AR882),"")</f>
        <v/>
      </c>
      <c r="C2647" s="5" t="str">
        <f>IFERROR(IF(Portafolio_Proyectos!$AR882="","","Distintiva"),"")</f>
        <v/>
      </c>
      <c r="D2647" s="5" t="str">
        <f>IFERROR(IF(Portafolio_Proyectos!$AR882="","",Portafolio_Proyectos!$C882),"")</f>
        <v/>
      </c>
      <c r="E2647" s="5" t="str">
        <f>IFERROR(IF(Portafolio_Proyectos!$AR882="","",Portafolio_Proyectos!$B882),"")</f>
        <v/>
      </c>
      <c r="F2647" s="5" t="str">
        <f>IFERROR(IF(Portafolio_Proyectos!$AR882="","",Portafolio_Proyectos!$D882),"")</f>
        <v/>
      </c>
      <c r="G2647" s="5" t="str">
        <f>IFERROR(IF(Portafolio_Proyectos!$AR882="","",Portafolio_Proyectos!$A882),"")</f>
        <v/>
      </c>
      <c r="H2647" s="5" t="str">
        <f>IFERROR(IF(Portafolio_Proyectos!$AR882="","",Portafolio_Proyectos!$E882),"")</f>
        <v/>
      </c>
    </row>
    <row r="2648" spans="1:8" x14ac:dyDescent="0.35">
      <c r="A2648" s="5" t="str">
        <f>IFERROR(IF(Portafolio_Proyectos!$AP883="","","CAP-"&amp;ROW()-1),"")</f>
        <v/>
      </c>
      <c r="B2648" s="5" t="str">
        <f>IFERROR(IF(Portafolio_Proyectos!$AP883="","",Portafolio_Proyectos!$AP883),"")</f>
        <v/>
      </c>
      <c r="C2648" s="5" t="str">
        <f>IFERROR(IF(Portafolio_Proyectos!$AP883="","","Emergente"),"")</f>
        <v/>
      </c>
      <c r="D2648" s="5" t="str">
        <f>IFERROR(IF(Portafolio_Proyectos!$AP883="","",Portafolio_Proyectos!$C883),"")</f>
        <v/>
      </c>
      <c r="E2648" s="5" t="str">
        <f>IFERROR(IF(Portafolio_Proyectos!$AP883="","",Portafolio_Proyectos!$B883),"")</f>
        <v/>
      </c>
      <c r="F2648" s="5" t="str">
        <f>IFERROR(IF(Portafolio_Proyectos!$AP883="","",Portafolio_Proyectos!$D883),"")</f>
        <v/>
      </c>
      <c r="G2648" s="5" t="str">
        <f>IFERROR(IF(Portafolio_Proyectos!$AP883="","",Portafolio_Proyectos!$A883),"")</f>
        <v/>
      </c>
      <c r="H2648" s="5" t="str">
        <f>IFERROR(IF(Portafolio_Proyectos!$AP883="","",Portafolio_Proyectos!$E883),"")</f>
        <v/>
      </c>
    </row>
    <row r="2649" spans="1:8" x14ac:dyDescent="0.35">
      <c r="A2649" s="5" t="str">
        <f>IFERROR(IF(Portafolio_Proyectos!$AQ883="","","CAP-"&amp;ROW()-1),"")</f>
        <v/>
      </c>
      <c r="B2649" s="5" t="str">
        <f>IFERROR(IF(Portafolio_Proyectos!$AQ883="","",Portafolio_Proyectos!$AQ883),"")</f>
        <v/>
      </c>
      <c r="C2649" s="5" t="str">
        <f>IFERROR(IF(Portafolio_Proyectos!$AQ883="","","Consolidada"),"")</f>
        <v/>
      </c>
      <c r="D2649" s="5" t="str">
        <f>IFERROR(IF(Portafolio_Proyectos!$AQ883="","",Portafolio_Proyectos!$C883),"")</f>
        <v/>
      </c>
      <c r="E2649" s="5" t="str">
        <f>IFERROR(IF(Portafolio_Proyectos!$AQ883="","",Portafolio_Proyectos!$B883),"")</f>
        <v/>
      </c>
      <c r="F2649" s="5" t="str">
        <f>IFERROR(IF(Portafolio_Proyectos!$AQ883="","",Portafolio_Proyectos!$D883),"")</f>
        <v/>
      </c>
      <c r="G2649" s="5" t="str">
        <f>IFERROR(IF(Portafolio_Proyectos!$AQ883="","",Portafolio_Proyectos!$A883),"")</f>
        <v/>
      </c>
      <c r="H2649" s="5" t="str">
        <f>IFERROR(IF(Portafolio_Proyectos!$AQ883="","",Portafolio_Proyectos!$E883),"")</f>
        <v/>
      </c>
    </row>
    <row r="2650" spans="1:8" x14ac:dyDescent="0.35">
      <c r="A2650" s="5" t="str">
        <f>IFERROR(IF(Portafolio_Proyectos!$AR883="","","CAP-"&amp;ROW()-1),"")</f>
        <v/>
      </c>
      <c r="B2650" s="5" t="str">
        <f>IFERROR(IF(Portafolio_Proyectos!$AR883="","",Portafolio_Proyectos!$AR883),"")</f>
        <v/>
      </c>
      <c r="C2650" s="5" t="str">
        <f>IFERROR(IF(Portafolio_Proyectos!$AR883="","","Distintiva"),"")</f>
        <v/>
      </c>
      <c r="D2650" s="5" t="str">
        <f>IFERROR(IF(Portafolio_Proyectos!$AR883="","",Portafolio_Proyectos!$C883),"")</f>
        <v/>
      </c>
      <c r="E2650" s="5" t="str">
        <f>IFERROR(IF(Portafolio_Proyectos!$AR883="","",Portafolio_Proyectos!$B883),"")</f>
        <v/>
      </c>
      <c r="F2650" s="5" t="str">
        <f>IFERROR(IF(Portafolio_Proyectos!$AR883="","",Portafolio_Proyectos!$D883),"")</f>
        <v/>
      </c>
      <c r="G2650" s="5" t="str">
        <f>IFERROR(IF(Portafolio_Proyectos!$AR883="","",Portafolio_Proyectos!$A883),"")</f>
        <v/>
      </c>
      <c r="H2650" s="5" t="str">
        <f>IFERROR(IF(Portafolio_Proyectos!$AR883="","",Portafolio_Proyectos!$E883),"")</f>
        <v/>
      </c>
    </row>
    <row r="2651" spans="1:8" x14ac:dyDescent="0.35">
      <c r="A2651" s="5" t="str">
        <f>IFERROR(IF(Portafolio_Proyectos!$AP884="","","CAP-"&amp;ROW()-1),"")</f>
        <v/>
      </c>
      <c r="B2651" s="5" t="str">
        <f>IFERROR(IF(Portafolio_Proyectos!$AP884="","",Portafolio_Proyectos!$AP884),"")</f>
        <v/>
      </c>
      <c r="C2651" s="5" t="str">
        <f>IFERROR(IF(Portafolio_Proyectos!$AP884="","","Emergente"),"")</f>
        <v/>
      </c>
      <c r="D2651" s="5" t="str">
        <f>IFERROR(IF(Portafolio_Proyectos!$AP884="","",Portafolio_Proyectos!$C884),"")</f>
        <v/>
      </c>
      <c r="E2651" s="5" t="str">
        <f>IFERROR(IF(Portafolio_Proyectos!$AP884="","",Portafolio_Proyectos!$B884),"")</f>
        <v/>
      </c>
      <c r="F2651" s="5" t="str">
        <f>IFERROR(IF(Portafolio_Proyectos!$AP884="","",Portafolio_Proyectos!$D884),"")</f>
        <v/>
      </c>
      <c r="G2651" s="5" t="str">
        <f>IFERROR(IF(Portafolio_Proyectos!$AP884="","",Portafolio_Proyectos!$A884),"")</f>
        <v/>
      </c>
      <c r="H2651" s="5" t="str">
        <f>IFERROR(IF(Portafolio_Proyectos!$AP884="","",Portafolio_Proyectos!$E884),"")</f>
        <v/>
      </c>
    </row>
    <row r="2652" spans="1:8" x14ac:dyDescent="0.35">
      <c r="A2652" s="5" t="str">
        <f>IFERROR(IF(Portafolio_Proyectos!$AQ884="","","CAP-"&amp;ROW()-1),"")</f>
        <v/>
      </c>
      <c r="B2652" s="5" t="str">
        <f>IFERROR(IF(Portafolio_Proyectos!$AQ884="","",Portafolio_Proyectos!$AQ884),"")</f>
        <v/>
      </c>
      <c r="C2652" s="5" t="str">
        <f>IFERROR(IF(Portafolio_Proyectos!$AQ884="","","Consolidada"),"")</f>
        <v/>
      </c>
      <c r="D2652" s="5" t="str">
        <f>IFERROR(IF(Portafolio_Proyectos!$AQ884="","",Portafolio_Proyectos!$C884),"")</f>
        <v/>
      </c>
      <c r="E2652" s="5" t="str">
        <f>IFERROR(IF(Portafolio_Proyectos!$AQ884="","",Portafolio_Proyectos!$B884),"")</f>
        <v/>
      </c>
      <c r="F2652" s="5" t="str">
        <f>IFERROR(IF(Portafolio_Proyectos!$AQ884="","",Portafolio_Proyectos!$D884),"")</f>
        <v/>
      </c>
      <c r="G2652" s="5" t="str">
        <f>IFERROR(IF(Portafolio_Proyectos!$AQ884="","",Portafolio_Proyectos!$A884),"")</f>
        <v/>
      </c>
      <c r="H2652" s="5" t="str">
        <f>IFERROR(IF(Portafolio_Proyectos!$AQ884="","",Portafolio_Proyectos!$E884),"")</f>
        <v/>
      </c>
    </row>
    <row r="2653" spans="1:8" x14ac:dyDescent="0.35">
      <c r="A2653" s="5" t="str">
        <f>IFERROR(IF(Portafolio_Proyectos!$AR884="","","CAP-"&amp;ROW()-1),"")</f>
        <v/>
      </c>
      <c r="B2653" s="5" t="str">
        <f>IFERROR(IF(Portafolio_Proyectos!$AR884="","",Portafolio_Proyectos!$AR884),"")</f>
        <v/>
      </c>
      <c r="C2653" s="5" t="str">
        <f>IFERROR(IF(Portafolio_Proyectos!$AR884="","","Distintiva"),"")</f>
        <v/>
      </c>
      <c r="D2653" s="5" t="str">
        <f>IFERROR(IF(Portafolio_Proyectos!$AR884="","",Portafolio_Proyectos!$C884),"")</f>
        <v/>
      </c>
      <c r="E2653" s="5" t="str">
        <f>IFERROR(IF(Portafolio_Proyectos!$AR884="","",Portafolio_Proyectos!$B884),"")</f>
        <v/>
      </c>
      <c r="F2653" s="5" t="str">
        <f>IFERROR(IF(Portafolio_Proyectos!$AR884="","",Portafolio_Proyectos!$D884),"")</f>
        <v/>
      </c>
      <c r="G2653" s="5" t="str">
        <f>IFERROR(IF(Portafolio_Proyectos!$AR884="","",Portafolio_Proyectos!$A884),"")</f>
        <v/>
      </c>
      <c r="H2653" s="5" t="str">
        <f>IFERROR(IF(Portafolio_Proyectos!$AR884="","",Portafolio_Proyectos!$E884),"")</f>
        <v/>
      </c>
    </row>
    <row r="2654" spans="1:8" x14ac:dyDescent="0.35">
      <c r="A2654" s="5" t="str">
        <f>IFERROR(IF(Portafolio_Proyectos!$AP885="","","CAP-"&amp;ROW()-1),"")</f>
        <v/>
      </c>
      <c r="B2654" s="5" t="str">
        <f>IFERROR(IF(Portafolio_Proyectos!$AP885="","",Portafolio_Proyectos!$AP885),"")</f>
        <v/>
      </c>
      <c r="C2654" s="5" t="str">
        <f>IFERROR(IF(Portafolio_Proyectos!$AP885="","","Emergente"),"")</f>
        <v/>
      </c>
      <c r="D2654" s="5" t="str">
        <f>IFERROR(IF(Portafolio_Proyectos!$AP885="","",Portafolio_Proyectos!$C885),"")</f>
        <v/>
      </c>
      <c r="E2654" s="5" t="str">
        <f>IFERROR(IF(Portafolio_Proyectos!$AP885="","",Portafolio_Proyectos!$B885),"")</f>
        <v/>
      </c>
      <c r="F2654" s="5" t="str">
        <f>IFERROR(IF(Portafolio_Proyectos!$AP885="","",Portafolio_Proyectos!$D885),"")</f>
        <v/>
      </c>
      <c r="G2654" s="5" t="str">
        <f>IFERROR(IF(Portafolio_Proyectos!$AP885="","",Portafolio_Proyectos!$A885),"")</f>
        <v/>
      </c>
      <c r="H2654" s="5" t="str">
        <f>IFERROR(IF(Portafolio_Proyectos!$AP885="","",Portafolio_Proyectos!$E885),"")</f>
        <v/>
      </c>
    </row>
    <row r="2655" spans="1:8" x14ac:dyDescent="0.35">
      <c r="A2655" s="5" t="str">
        <f>IFERROR(IF(Portafolio_Proyectos!$AQ885="","","CAP-"&amp;ROW()-1),"")</f>
        <v/>
      </c>
      <c r="B2655" s="5" t="str">
        <f>IFERROR(IF(Portafolio_Proyectos!$AQ885="","",Portafolio_Proyectos!$AQ885),"")</f>
        <v/>
      </c>
      <c r="C2655" s="5" t="str">
        <f>IFERROR(IF(Portafolio_Proyectos!$AQ885="","","Consolidada"),"")</f>
        <v/>
      </c>
      <c r="D2655" s="5" t="str">
        <f>IFERROR(IF(Portafolio_Proyectos!$AQ885="","",Portafolio_Proyectos!$C885),"")</f>
        <v/>
      </c>
      <c r="E2655" s="5" t="str">
        <f>IFERROR(IF(Portafolio_Proyectos!$AQ885="","",Portafolio_Proyectos!$B885),"")</f>
        <v/>
      </c>
      <c r="F2655" s="5" t="str">
        <f>IFERROR(IF(Portafolio_Proyectos!$AQ885="","",Portafolio_Proyectos!$D885),"")</f>
        <v/>
      </c>
      <c r="G2655" s="5" t="str">
        <f>IFERROR(IF(Portafolio_Proyectos!$AQ885="","",Portafolio_Proyectos!$A885),"")</f>
        <v/>
      </c>
      <c r="H2655" s="5" t="str">
        <f>IFERROR(IF(Portafolio_Proyectos!$AQ885="","",Portafolio_Proyectos!$E885),"")</f>
        <v/>
      </c>
    </row>
    <row r="2656" spans="1:8" x14ac:dyDescent="0.35">
      <c r="A2656" s="5" t="str">
        <f>IFERROR(IF(Portafolio_Proyectos!$AR885="","","CAP-"&amp;ROW()-1),"")</f>
        <v/>
      </c>
      <c r="B2656" s="5" t="str">
        <f>IFERROR(IF(Portafolio_Proyectos!$AR885="","",Portafolio_Proyectos!$AR885),"")</f>
        <v/>
      </c>
      <c r="C2656" s="5" t="str">
        <f>IFERROR(IF(Portafolio_Proyectos!$AR885="","","Distintiva"),"")</f>
        <v/>
      </c>
      <c r="D2656" s="5" t="str">
        <f>IFERROR(IF(Portafolio_Proyectos!$AR885="","",Portafolio_Proyectos!$C885),"")</f>
        <v/>
      </c>
      <c r="E2656" s="5" t="str">
        <f>IFERROR(IF(Portafolio_Proyectos!$AR885="","",Portafolio_Proyectos!$B885),"")</f>
        <v/>
      </c>
      <c r="F2656" s="5" t="str">
        <f>IFERROR(IF(Portafolio_Proyectos!$AR885="","",Portafolio_Proyectos!$D885),"")</f>
        <v/>
      </c>
      <c r="G2656" s="5" t="str">
        <f>IFERROR(IF(Portafolio_Proyectos!$AR885="","",Portafolio_Proyectos!$A885),"")</f>
        <v/>
      </c>
      <c r="H2656" s="5" t="str">
        <f>IFERROR(IF(Portafolio_Proyectos!$AR885="","",Portafolio_Proyectos!$E885),"")</f>
        <v/>
      </c>
    </row>
    <row r="2657" spans="1:8" x14ac:dyDescent="0.35">
      <c r="A2657" s="5" t="str">
        <f>IFERROR(IF(Portafolio_Proyectos!$AP886="","","CAP-"&amp;ROW()-1),"")</f>
        <v/>
      </c>
      <c r="B2657" s="5" t="str">
        <f>IFERROR(IF(Portafolio_Proyectos!$AP886="","",Portafolio_Proyectos!$AP886),"")</f>
        <v/>
      </c>
      <c r="C2657" s="5" t="str">
        <f>IFERROR(IF(Portafolio_Proyectos!$AP886="","","Emergente"),"")</f>
        <v/>
      </c>
      <c r="D2657" s="5" t="str">
        <f>IFERROR(IF(Portafolio_Proyectos!$AP886="","",Portafolio_Proyectos!$C886),"")</f>
        <v/>
      </c>
      <c r="E2657" s="5" t="str">
        <f>IFERROR(IF(Portafolio_Proyectos!$AP886="","",Portafolio_Proyectos!$B886),"")</f>
        <v/>
      </c>
      <c r="F2657" s="5" t="str">
        <f>IFERROR(IF(Portafolio_Proyectos!$AP886="","",Portafolio_Proyectos!$D886),"")</f>
        <v/>
      </c>
      <c r="G2657" s="5" t="str">
        <f>IFERROR(IF(Portafolio_Proyectos!$AP886="","",Portafolio_Proyectos!$A886),"")</f>
        <v/>
      </c>
      <c r="H2657" s="5" t="str">
        <f>IFERROR(IF(Portafolio_Proyectos!$AP886="","",Portafolio_Proyectos!$E886),"")</f>
        <v/>
      </c>
    </row>
    <row r="2658" spans="1:8" x14ac:dyDescent="0.35">
      <c r="A2658" s="5" t="str">
        <f>IFERROR(IF(Portafolio_Proyectos!$AQ886="","","CAP-"&amp;ROW()-1),"")</f>
        <v/>
      </c>
      <c r="B2658" s="5" t="str">
        <f>IFERROR(IF(Portafolio_Proyectos!$AQ886="","",Portafolio_Proyectos!$AQ886),"")</f>
        <v/>
      </c>
      <c r="C2658" s="5" t="str">
        <f>IFERROR(IF(Portafolio_Proyectos!$AQ886="","","Consolidada"),"")</f>
        <v/>
      </c>
      <c r="D2658" s="5" t="str">
        <f>IFERROR(IF(Portafolio_Proyectos!$AQ886="","",Portafolio_Proyectos!$C886),"")</f>
        <v/>
      </c>
      <c r="E2658" s="5" t="str">
        <f>IFERROR(IF(Portafolio_Proyectos!$AQ886="","",Portafolio_Proyectos!$B886),"")</f>
        <v/>
      </c>
      <c r="F2658" s="5" t="str">
        <f>IFERROR(IF(Portafolio_Proyectos!$AQ886="","",Portafolio_Proyectos!$D886),"")</f>
        <v/>
      </c>
      <c r="G2658" s="5" t="str">
        <f>IFERROR(IF(Portafolio_Proyectos!$AQ886="","",Portafolio_Proyectos!$A886),"")</f>
        <v/>
      </c>
      <c r="H2658" s="5" t="str">
        <f>IFERROR(IF(Portafolio_Proyectos!$AQ886="","",Portafolio_Proyectos!$E886),"")</f>
        <v/>
      </c>
    </row>
    <row r="2659" spans="1:8" x14ac:dyDescent="0.35">
      <c r="A2659" s="5" t="str">
        <f>IFERROR(IF(Portafolio_Proyectos!$AR886="","","CAP-"&amp;ROW()-1),"")</f>
        <v/>
      </c>
      <c r="B2659" s="5" t="str">
        <f>IFERROR(IF(Portafolio_Proyectos!$AR886="","",Portafolio_Proyectos!$AR886),"")</f>
        <v/>
      </c>
      <c r="C2659" s="5" t="str">
        <f>IFERROR(IF(Portafolio_Proyectos!$AR886="","","Distintiva"),"")</f>
        <v/>
      </c>
      <c r="D2659" s="5" t="str">
        <f>IFERROR(IF(Portafolio_Proyectos!$AR886="","",Portafolio_Proyectos!$C886),"")</f>
        <v/>
      </c>
      <c r="E2659" s="5" t="str">
        <f>IFERROR(IF(Portafolio_Proyectos!$AR886="","",Portafolio_Proyectos!$B886),"")</f>
        <v/>
      </c>
      <c r="F2659" s="5" t="str">
        <f>IFERROR(IF(Portafolio_Proyectos!$AR886="","",Portafolio_Proyectos!$D886),"")</f>
        <v/>
      </c>
      <c r="G2659" s="5" t="str">
        <f>IFERROR(IF(Portafolio_Proyectos!$AR886="","",Portafolio_Proyectos!$A886),"")</f>
        <v/>
      </c>
      <c r="H2659" s="5" t="str">
        <f>IFERROR(IF(Portafolio_Proyectos!$AR886="","",Portafolio_Proyectos!$E886),"")</f>
        <v/>
      </c>
    </row>
    <row r="2660" spans="1:8" x14ac:dyDescent="0.35">
      <c r="A2660" s="5" t="str">
        <f>IFERROR(IF(Portafolio_Proyectos!$AP887="","","CAP-"&amp;ROW()-1),"")</f>
        <v/>
      </c>
      <c r="B2660" s="5" t="str">
        <f>IFERROR(IF(Portafolio_Proyectos!$AP887="","",Portafolio_Proyectos!$AP887),"")</f>
        <v/>
      </c>
      <c r="C2660" s="5" t="str">
        <f>IFERROR(IF(Portafolio_Proyectos!$AP887="","","Emergente"),"")</f>
        <v/>
      </c>
      <c r="D2660" s="5" t="str">
        <f>IFERROR(IF(Portafolio_Proyectos!$AP887="","",Portafolio_Proyectos!$C887),"")</f>
        <v/>
      </c>
      <c r="E2660" s="5" t="str">
        <f>IFERROR(IF(Portafolio_Proyectos!$AP887="","",Portafolio_Proyectos!$B887),"")</f>
        <v/>
      </c>
      <c r="F2660" s="5" t="str">
        <f>IFERROR(IF(Portafolio_Proyectos!$AP887="","",Portafolio_Proyectos!$D887),"")</f>
        <v/>
      </c>
      <c r="G2660" s="5" t="str">
        <f>IFERROR(IF(Portafolio_Proyectos!$AP887="","",Portafolio_Proyectos!$A887),"")</f>
        <v/>
      </c>
      <c r="H2660" s="5" t="str">
        <f>IFERROR(IF(Portafolio_Proyectos!$AP887="","",Portafolio_Proyectos!$E887),"")</f>
        <v/>
      </c>
    </row>
    <row r="2661" spans="1:8" x14ac:dyDescent="0.35">
      <c r="A2661" s="5" t="str">
        <f>IFERROR(IF(Portafolio_Proyectos!$AQ887="","","CAP-"&amp;ROW()-1),"")</f>
        <v/>
      </c>
      <c r="B2661" s="5" t="str">
        <f>IFERROR(IF(Portafolio_Proyectos!$AQ887="","",Portafolio_Proyectos!$AQ887),"")</f>
        <v/>
      </c>
      <c r="C2661" s="5" t="str">
        <f>IFERROR(IF(Portafolio_Proyectos!$AQ887="","","Consolidada"),"")</f>
        <v/>
      </c>
      <c r="D2661" s="5" t="str">
        <f>IFERROR(IF(Portafolio_Proyectos!$AQ887="","",Portafolio_Proyectos!$C887),"")</f>
        <v/>
      </c>
      <c r="E2661" s="5" t="str">
        <f>IFERROR(IF(Portafolio_Proyectos!$AQ887="","",Portafolio_Proyectos!$B887),"")</f>
        <v/>
      </c>
      <c r="F2661" s="5" t="str">
        <f>IFERROR(IF(Portafolio_Proyectos!$AQ887="","",Portafolio_Proyectos!$D887),"")</f>
        <v/>
      </c>
      <c r="G2661" s="5" t="str">
        <f>IFERROR(IF(Portafolio_Proyectos!$AQ887="","",Portafolio_Proyectos!$A887),"")</f>
        <v/>
      </c>
      <c r="H2661" s="5" t="str">
        <f>IFERROR(IF(Portafolio_Proyectos!$AQ887="","",Portafolio_Proyectos!$E887),"")</f>
        <v/>
      </c>
    </row>
    <row r="2662" spans="1:8" x14ac:dyDescent="0.35">
      <c r="A2662" s="5" t="str">
        <f>IFERROR(IF(Portafolio_Proyectos!$AR887="","","CAP-"&amp;ROW()-1),"")</f>
        <v/>
      </c>
      <c r="B2662" s="5" t="str">
        <f>IFERROR(IF(Portafolio_Proyectos!$AR887="","",Portafolio_Proyectos!$AR887),"")</f>
        <v/>
      </c>
      <c r="C2662" s="5" t="str">
        <f>IFERROR(IF(Portafolio_Proyectos!$AR887="","","Distintiva"),"")</f>
        <v/>
      </c>
      <c r="D2662" s="5" t="str">
        <f>IFERROR(IF(Portafolio_Proyectos!$AR887="","",Portafolio_Proyectos!$C887),"")</f>
        <v/>
      </c>
      <c r="E2662" s="5" t="str">
        <f>IFERROR(IF(Portafolio_Proyectos!$AR887="","",Portafolio_Proyectos!$B887),"")</f>
        <v/>
      </c>
      <c r="F2662" s="5" t="str">
        <f>IFERROR(IF(Portafolio_Proyectos!$AR887="","",Portafolio_Proyectos!$D887),"")</f>
        <v/>
      </c>
      <c r="G2662" s="5" t="str">
        <f>IFERROR(IF(Portafolio_Proyectos!$AR887="","",Portafolio_Proyectos!$A887),"")</f>
        <v/>
      </c>
      <c r="H2662" s="5" t="str">
        <f>IFERROR(IF(Portafolio_Proyectos!$AR887="","",Portafolio_Proyectos!$E887),"")</f>
        <v/>
      </c>
    </row>
    <row r="2663" spans="1:8" x14ac:dyDescent="0.35">
      <c r="A2663" s="5" t="str">
        <f>IFERROR(IF(Portafolio_Proyectos!$AP888="","","CAP-"&amp;ROW()-1),"")</f>
        <v/>
      </c>
      <c r="B2663" s="5" t="str">
        <f>IFERROR(IF(Portafolio_Proyectos!$AP888="","",Portafolio_Proyectos!$AP888),"")</f>
        <v/>
      </c>
      <c r="C2663" s="5" t="str">
        <f>IFERROR(IF(Portafolio_Proyectos!$AP888="","","Emergente"),"")</f>
        <v/>
      </c>
      <c r="D2663" s="5" t="str">
        <f>IFERROR(IF(Portafolio_Proyectos!$AP888="","",Portafolio_Proyectos!$C888),"")</f>
        <v/>
      </c>
      <c r="E2663" s="5" t="str">
        <f>IFERROR(IF(Portafolio_Proyectos!$AP888="","",Portafolio_Proyectos!$B888),"")</f>
        <v/>
      </c>
      <c r="F2663" s="5" t="str">
        <f>IFERROR(IF(Portafolio_Proyectos!$AP888="","",Portafolio_Proyectos!$D888),"")</f>
        <v/>
      </c>
      <c r="G2663" s="5" t="str">
        <f>IFERROR(IF(Portafolio_Proyectos!$AP888="","",Portafolio_Proyectos!$A888),"")</f>
        <v/>
      </c>
      <c r="H2663" s="5" t="str">
        <f>IFERROR(IF(Portafolio_Proyectos!$AP888="","",Portafolio_Proyectos!$E888),"")</f>
        <v/>
      </c>
    </row>
    <row r="2664" spans="1:8" x14ac:dyDescent="0.35">
      <c r="A2664" s="5" t="str">
        <f>IFERROR(IF(Portafolio_Proyectos!$AQ888="","","CAP-"&amp;ROW()-1),"")</f>
        <v/>
      </c>
      <c r="B2664" s="5" t="str">
        <f>IFERROR(IF(Portafolio_Proyectos!$AQ888="","",Portafolio_Proyectos!$AQ888),"")</f>
        <v/>
      </c>
      <c r="C2664" s="5" t="str">
        <f>IFERROR(IF(Portafolio_Proyectos!$AQ888="","","Consolidada"),"")</f>
        <v/>
      </c>
      <c r="D2664" s="5" t="str">
        <f>IFERROR(IF(Portafolio_Proyectos!$AQ888="","",Portafolio_Proyectos!$C888),"")</f>
        <v/>
      </c>
      <c r="E2664" s="5" t="str">
        <f>IFERROR(IF(Portafolio_Proyectos!$AQ888="","",Portafolio_Proyectos!$B888),"")</f>
        <v/>
      </c>
      <c r="F2664" s="5" t="str">
        <f>IFERROR(IF(Portafolio_Proyectos!$AQ888="","",Portafolio_Proyectos!$D888),"")</f>
        <v/>
      </c>
      <c r="G2664" s="5" t="str">
        <f>IFERROR(IF(Portafolio_Proyectos!$AQ888="","",Portafolio_Proyectos!$A888),"")</f>
        <v/>
      </c>
      <c r="H2664" s="5" t="str">
        <f>IFERROR(IF(Portafolio_Proyectos!$AQ888="","",Portafolio_Proyectos!$E888),"")</f>
        <v/>
      </c>
    </row>
    <row r="2665" spans="1:8" x14ac:dyDescent="0.35">
      <c r="A2665" s="5" t="str">
        <f>IFERROR(IF(Portafolio_Proyectos!$AR888="","","CAP-"&amp;ROW()-1),"")</f>
        <v/>
      </c>
      <c r="B2665" s="5" t="str">
        <f>IFERROR(IF(Portafolio_Proyectos!$AR888="","",Portafolio_Proyectos!$AR888),"")</f>
        <v/>
      </c>
      <c r="C2665" s="5" t="str">
        <f>IFERROR(IF(Portafolio_Proyectos!$AR888="","","Distintiva"),"")</f>
        <v/>
      </c>
      <c r="D2665" s="5" t="str">
        <f>IFERROR(IF(Portafolio_Proyectos!$AR888="","",Portafolio_Proyectos!$C888),"")</f>
        <v/>
      </c>
      <c r="E2665" s="5" t="str">
        <f>IFERROR(IF(Portafolio_Proyectos!$AR888="","",Portafolio_Proyectos!$B888),"")</f>
        <v/>
      </c>
      <c r="F2665" s="5" t="str">
        <f>IFERROR(IF(Portafolio_Proyectos!$AR888="","",Portafolio_Proyectos!$D888),"")</f>
        <v/>
      </c>
      <c r="G2665" s="5" t="str">
        <f>IFERROR(IF(Portafolio_Proyectos!$AR888="","",Portafolio_Proyectos!$A888),"")</f>
        <v/>
      </c>
      <c r="H2665" s="5" t="str">
        <f>IFERROR(IF(Portafolio_Proyectos!$AR888="","",Portafolio_Proyectos!$E888),"")</f>
        <v/>
      </c>
    </row>
    <row r="2666" spans="1:8" x14ac:dyDescent="0.35">
      <c r="A2666" s="5" t="str">
        <f>IFERROR(IF(Portafolio_Proyectos!$AP889="","","CAP-"&amp;ROW()-1),"")</f>
        <v/>
      </c>
      <c r="B2666" s="5" t="str">
        <f>IFERROR(IF(Portafolio_Proyectos!$AP889="","",Portafolio_Proyectos!$AP889),"")</f>
        <v/>
      </c>
      <c r="C2666" s="5" t="str">
        <f>IFERROR(IF(Portafolio_Proyectos!$AP889="","","Emergente"),"")</f>
        <v/>
      </c>
      <c r="D2666" s="5" t="str">
        <f>IFERROR(IF(Portafolio_Proyectos!$AP889="","",Portafolio_Proyectos!$C889),"")</f>
        <v/>
      </c>
      <c r="E2666" s="5" t="str">
        <f>IFERROR(IF(Portafolio_Proyectos!$AP889="","",Portafolio_Proyectos!$B889),"")</f>
        <v/>
      </c>
      <c r="F2666" s="5" t="str">
        <f>IFERROR(IF(Portafolio_Proyectos!$AP889="","",Portafolio_Proyectos!$D889),"")</f>
        <v/>
      </c>
      <c r="G2666" s="5" t="str">
        <f>IFERROR(IF(Portafolio_Proyectos!$AP889="","",Portafolio_Proyectos!$A889),"")</f>
        <v/>
      </c>
      <c r="H2666" s="5" t="str">
        <f>IFERROR(IF(Portafolio_Proyectos!$AP889="","",Portafolio_Proyectos!$E889),"")</f>
        <v/>
      </c>
    </row>
    <row r="2667" spans="1:8" x14ac:dyDescent="0.35">
      <c r="A2667" s="5" t="str">
        <f>IFERROR(IF(Portafolio_Proyectos!$AQ889="","","CAP-"&amp;ROW()-1),"")</f>
        <v/>
      </c>
      <c r="B2667" s="5" t="str">
        <f>IFERROR(IF(Portafolio_Proyectos!$AQ889="","",Portafolio_Proyectos!$AQ889),"")</f>
        <v/>
      </c>
      <c r="C2667" s="5" t="str">
        <f>IFERROR(IF(Portafolio_Proyectos!$AQ889="","","Consolidada"),"")</f>
        <v/>
      </c>
      <c r="D2667" s="5" t="str">
        <f>IFERROR(IF(Portafolio_Proyectos!$AQ889="","",Portafolio_Proyectos!$C889),"")</f>
        <v/>
      </c>
      <c r="E2667" s="5" t="str">
        <f>IFERROR(IF(Portafolio_Proyectos!$AQ889="","",Portafolio_Proyectos!$B889),"")</f>
        <v/>
      </c>
      <c r="F2667" s="5" t="str">
        <f>IFERROR(IF(Portafolio_Proyectos!$AQ889="","",Portafolio_Proyectos!$D889),"")</f>
        <v/>
      </c>
      <c r="G2667" s="5" t="str">
        <f>IFERROR(IF(Portafolio_Proyectos!$AQ889="","",Portafolio_Proyectos!$A889),"")</f>
        <v/>
      </c>
      <c r="H2667" s="5" t="str">
        <f>IFERROR(IF(Portafolio_Proyectos!$AQ889="","",Portafolio_Proyectos!$E889),"")</f>
        <v/>
      </c>
    </row>
    <row r="2668" spans="1:8" x14ac:dyDescent="0.35">
      <c r="A2668" s="5" t="str">
        <f>IFERROR(IF(Portafolio_Proyectos!$AR889="","","CAP-"&amp;ROW()-1),"")</f>
        <v/>
      </c>
      <c r="B2668" s="5" t="str">
        <f>IFERROR(IF(Portafolio_Proyectos!$AR889="","",Portafolio_Proyectos!$AR889),"")</f>
        <v/>
      </c>
      <c r="C2668" s="5" t="str">
        <f>IFERROR(IF(Portafolio_Proyectos!$AR889="","","Distintiva"),"")</f>
        <v/>
      </c>
      <c r="D2668" s="5" t="str">
        <f>IFERROR(IF(Portafolio_Proyectos!$AR889="","",Portafolio_Proyectos!$C889),"")</f>
        <v/>
      </c>
      <c r="E2668" s="5" t="str">
        <f>IFERROR(IF(Portafolio_Proyectos!$AR889="","",Portafolio_Proyectos!$B889),"")</f>
        <v/>
      </c>
      <c r="F2668" s="5" t="str">
        <f>IFERROR(IF(Portafolio_Proyectos!$AR889="","",Portafolio_Proyectos!$D889),"")</f>
        <v/>
      </c>
      <c r="G2668" s="5" t="str">
        <f>IFERROR(IF(Portafolio_Proyectos!$AR889="","",Portafolio_Proyectos!$A889),"")</f>
        <v/>
      </c>
      <c r="H2668" s="5" t="str">
        <f>IFERROR(IF(Portafolio_Proyectos!$AR889="","",Portafolio_Proyectos!$E889),"")</f>
        <v/>
      </c>
    </row>
    <row r="2669" spans="1:8" x14ac:dyDescent="0.35">
      <c r="A2669" s="5" t="str">
        <f>IFERROR(IF(Portafolio_Proyectos!$AP890="","","CAP-"&amp;ROW()-1),"")</f>
        <v/>
      </c>
      <c r="B2669" s="5" t="str">
        <f>IFERROR(IF(Portafolio_Proyectos!$AP890="","",Portafolio_Proyectos!$AP890),"")</f>
        <v/>
      </c>
      <c r="C2669" s="5" t="str">
        <f>IFERROR(IF(Portafolio_Proyectos!$AP890="","","Emergente"),"")</f>
        <v/>
      </c>
      <c r="D2669" s="5" t="str">
        <f>IFERROR(IF(Portafolio_Proyectos!$AP890="","",Portafolio_Proyectos!$C890),"")</f>
        <v/>
      </c>
      <c r="E2669" s="5" t="str">
        <f>IFERROR(IF(Portafolio_Proyectos!$AP890="","",Portafolio_Proyectos!$B890),"")</f>
        <v/>
      </c>
      <c r="F2669" s="5" t="str">
        <f>IFERROR(IF(Portafolio_Proyectos!$AP890="","",Portafolio_Proyectos!$D890),"")</f>
        <v/>
      </c>
      <c r="G2669" s="5" t="str">
        <f>IFERROR(IF(Portafolio_Proyectos!$AP890="","",Portafolio_Proyectos!$A890),"")</f>
        <v/>
      </c>
      <c r="H2669" s="5" t="str">
        <f>IFERROR(IF(Portafolio_Proyectos!$AP890="","",Portafolio_Proyectos!$E890),"")</f>
        <v/>
      </c>
    </row>
    <row r="2670" spans="1:8" x14ac:dyDescent="0.35">
      <c r="A2670" s="5" t="str">
        <f>IFERROR(IF(Portafolio_Proyectos!$AQ890="","","CAP-"&amp;ROW()-1),"")</f>
        <v/>
      </c>
      <c r="B2670" s="5" t="str">
        <f>IFERROR(IF(Portafolio_Proyectos!$AQ890="","",Portafolio_Proyectos!$AQ890),"")</f>
        <v/>
      </c>
      <c r="C2670" s="5" t="str">
        <f>IFERROR(IF(Portafolio_Proyectos!$AQ890="","","Consolidada"),"")</f>
        <v/>
      </c>
      <c r="D2670" s="5" t="str">
        <f>IFERROR(IF(Portafolio_Proyectos!$AQ890="","",Portafolio_Proyectos!$C890),"")</f>
        <v/>
      </c>
      <c r="E2670" s="5" t="str">
        <f>IFERROR(IF(Portafolio_Proyectos!$AQ890="","",Portafolio_Proyectos!$B890),"")</f>
        <v/>
      </c>
      <c r="F2670" s="5" t="str">
        <f>IFERROR(IF(Portafolio_Proyectos!$AQ890="","",Portafolio_Proyectos!$D890),"")</f>
        <v/>
      </c>
      <c r="G2670" s="5" t="str">
        <f>IFERROR(IF(Portafolio_Proyectos!$AQ890="","",Portafolio_Proyectos!$A890),"")</f>
        <v/>
      </c>
      <c r="H2670" s="5" t="str">
        <f>IFERROR(IF(Portafolio_Proyectos!$AQ890="","",Portafolio_Proyectos!$E890),"")</f>
        <v/>
      </c>
    </row>
    <row r="2671" spans="1:8" x14ac:dyDescent="0.35">
      <c r="A2671" s="5" t="str">
        <f>IFERROR(IF(Portafolio_Proyectos!$AR890="","","CAP-"&amp;ROW()-1),"")</f>
        <v/>
      </c>
      <c r="B2671" s="5" t="str">
        <f>IFERROR(IF(Portafolio_Proyectos!$AR890="","",Portafolio_Proyectos!$AR890),"")</f>
        <v/>
      </c>
      <c r="C2671" s="5" t="str">
        <f>IFERROR(IF(Portafolio_Proyectos!$AR890="","","Distintiva"),"")</f>
        <v/>
      </c>
      <c r="D2671" s="5" t="str">
        <f>IFERROR(IF(Portafolio_Proyectos!$AR890="","",Portafolio_Proyectos!$C890),"")</f>
        <v/>
      </c>
      <c r="E2671" s="5" t="str">
        <f>IFERROR(IF(Portafolio_Proyectos!$AR890="","",Portafolio_Proyectos!$B890),"")</f>
        <v/>
      </c>
      <c r="F2671" s="5" t="str">
        <f>IFERROR(IF(Portafolio_Proyectos!$AR890="","",Portafolio_Proyectos!$D890),"")</f>
        <v/>
      </c>
      <c r="G2671" s="5" t="str">
        <f>IFERROR(IF(Portafolio_Proyectos!$AR890="","",Portafolio_Proyectos!$A890),"")</f>
        <v/>
      </c>
      <c r="H2671" s="5" t="str">
        <f>IFERROR(IF(Portafolio_Proyectos!$AR890="","",Portafolio_Proyectos!$E890),"")</f>
        <v/>
      </c>
    </row>
    <row r="2672" spans="1:8" x14ac:dyDescent="0.35">
      <c r="A2672" s="5" t="str">
        <f>IFERROR(IF(Portafolio_Proyectos!$AP891="","","CAP-"&amp;ROW()-1),"")</f>
        <v/>
      </c>
      <c r="B2672" s="5" t="str">
        <f>IFERROR(IF(Portafolio_Proyectos!$AP891="","",Portafolio_Proyectos!$AP891),"")</f>
        <v/>
      </c>
      <c r="C2672" s="5" t="str">
        <f>IFERROR(IF(Portafolio_Proyectos!$AP891="","","Emergente"),"")</f>
        <v/>
      </c>
      <c r="D2672" s="5" t="str">
        <f>IFERROR(IF(Portafolio_Proyectos!$AP891="","",Portafolio_Proyectos!$C891),"")</f>
        <v/>
      </c>
      <c r="E2672" s="5" t="str">
        <f>IFERROR(IF(Portafolio_Proyectos!$AP891="","",Portafolio_Proyectos!$B891),"")</f>
        <v/>
      </c>
      <c r="F2672" s="5" t="str">
        <f>IFERROR(IF(Portafolio_Proyectos!$AP891="","",Portafolio_Proyectos!$D891),"")</f>
        <v/>
      </c>
      <c r="G2672" s="5" t="str">
        <f>IFERROR(IF(Portafolio_Proyectos!$AP891="","",Portafolio_Proyectos!$A891),"")</f>
        <v/>
      </c>
      <c r="H2672" s="5" t="str">
        <f>IFERROR(IF(Portafolio_Proyectos!$AP891="","",Portafolio_Proyectos!$E891),"")</f>
        <v/>
      </c>
    </row>
    <row r="2673" spans="1:8" x14ac:dyDescent="0.35">
      <c r="A2673" s="5" t="str">
        <f>IFERROR(IF(Portafolio_Proyectos!$AQ891="","","CAP-"&amp;ROW()-1),"")</f>
        <v/>
      </c>
      <c r="B2673" s="5" t="str">
        <f>IFERROR(IF(Portafolio_Proyectos!$AQ891="","",Portafolio_Proyectos!$AQ891),"")</f>
        <v/>
      </c>
      <c r="C2673" s="5" t="str">
        <f>IFERROR(IF(Portafolio_Proyectos!$AQ891="","","Consolidada"),"")</f>
        <v/>
      </c>
      <c r="D2673" s="5" t="str">
        <f>IFERROR(IF(Portafolio_Proyectos!$AQ891="","",Portafolio_Proyectos!$C891),"")</f>
        <v/>
      </c>
      <c r="E2673" s="5" t="str">
        <f>IFERROR(IF(Portafolio_Proyectos!$AQ891="","",Portafolio_Proyectos!$B891),"")</f>
        <v/>
      </c>
      <c r="F2673" s="5" t="str">
        <f>IFERROR(IF(Portafolio_Proyectos!$AQ891="","",Portafolio_Proyectos!$D891),"")</f>
        <v/>
      </c>
      <c r="G2673" s="5" t="str">
        <f>IFERROR(IF(Portafolio_Proyectos!$AQ891="","",Portafolio_Proyectos!$A891),"")</f>
        <v/>
      </c>
      <c r="H2673" s="5" t="str">
        <f>IFERROR(IF(Portafolio_Proyectos!$AQ891="","",Portafolio_Proyectos!$E891),"")</f>
        <v/>
      </c>
    </row>
    <row r="2674" spans="1:8" x14ac:dyDescent="0.35">
      <c r="A2674" s="5" t="str">
        <f>IFERROR(IF(Portafolio_Proyectos!$AR891="","","CAP-"&amp;ROW()-1),"")</f>
        <v/>
      </c>
      <c r="B2674" s="5" t="str">
        <f>IFERROR(IF(Portafolio_Proyectos!$AR891="","",Portafolio_Proyectos!$AR891),"")</f>
        <v/>
      </c>
      <c r="C2674" s="5" t="str">
        <f>IFERROR(IF(Portafolio_Proyectos!$AR891="","","Distintiva"),"")</f>
        <v/>
      </c>
      <c r="D2674" s="5" t="str">
        <f>IFERROR(IF(Portafolio_Proyectos!$AR891="","",Portafolio_Proyectos!$C891),"")</f>
        <v/>
      </c>
      <c r="E2674" s="5" t="str">
        <f>IFERROR(IF(Portafolio_Proyectos!$AR891="","",Portafolio_Proyectos!$B891),"")</f>
        <v/>
      </c>
      <c r="F2674" s="5" t="str">
        <f>IFERROR(IF(Portafolio_Proyectos!$AR891="","",Portafolio_Proyectos!$D891),"")</f>
        <v/>
      </c>
      <c r="G2674" s="5" t="str">
        <f>IFERROR(IF(Portafolio_Proyectos!$AR891="","",Portafolio_Proyectos!$A891),"")</f>
        <v/>
      </c>
      <c r="H2674" s="5" t="str">
        <f>IFERROR(IF(Portafolio_Proyectos!$AR891="","",Portafolio_Proyectos!$E891),"")</f>
        <v/>
      </c>
    </row>
    <row r="2675" spans="1:8" x14ac:dyDescent="0.35">
      <c r="A2675" s="5" t="str">
        <f>IFERROR(IF(Portafolio_Proyectos!$AP892="","","CAP-"&amp;ROW()-1),"")</f>
        <v/>
      </c>
      <c r="B2675" s="5" t="str">
        <f>IFERROR(IF(Portafolio_Proyectos!$AP892="","",Portafolio_Proyectos!$AP892),"")</f>
        <v/>
      </c>
      <c r="C2675" s="5" t="str">
        <f>IFERROR(IF(Portafolio_Proyectos!$AP892="","","Emergente"),"")</f>
        <v/>
      </c>
      <c r="D2675" s="5" t="str">
        <f>IFERROR(IF(Portafolio_Proyectos!$AP892="","",Portafolio_Proyectos!$C892),"")</f>
        <v/>
      </c>
      <c r="E2675" s="5" t="str">
        <f>IFERROR(IF(Portafolio_Proyectos!$AP892="","",Portafolio_Proyectos!$B892),"")</f>
        <v/>
      </c>
      <c r="F2675" s="5" t="str">
        <f>IFERROR(IF(Portafolio_Proyectos!$AP892="","",Portafolio_Proyectos!$D892),"")</f>
        <v/>
      </c>
      <c r="G2675" s="5" t="str">
        <f>IFERROR(IF(Portafolio_Proyectos!$AP892="","",Portafolio_Proyectos!$A892),"")</f>
        <v/>
      </c>
      <c r="H2675" s="5" t="str">
        <f>IFERROR(IF(Portafolio_Proyectos!$AP892="","",Portafolio_Proyectos!$E892),"")</f>
        <v/>
      </c>
    </row>
    <row r="2676" spans="1:8" x14ac:dyDescent="0.35">
      <c r="A2676" s="5" t="str">
        <f>IFERROR(IF(Portafolio_Proyectos!$AQ892="","","CAP-"&amp;ROW()-1),"")</f>
        <v/>
      </c>
      <c r="B2676" s="5" t="str">
        <f>IFERROR(IF(Portafolio_Proyectos!$AQ892="","",Portafolio_Proyectos!$AQ892),"")</f>
        <v/>
      </c>
      <c r="C2676" s="5" t="str">
        <f>IFERROR(IF(Portafolio_Proyectos!$AQ892="","","Consolidada"),"")</f>
        <v/>
      </c>
      <c r="D2676" s="5" t="str">
        <f>IFERROR(IF(Portafolio_Proyectos!$AQ892="","",Portafolio_Proyectos!$C892),"")</f>
        <v/>
      </c>
      <c r="E2676" s="5" t="str">
        <f>IFERROR(IF(Portafolio_Proyectos!$AQ892="","",Portafolio_Proyectos!$B892),"")</f>
        <v/>
      </c>
      <c r="F2676" s="5" t="str">
        <f>IFERROR(IF(Portafolio_Proyectos!$AQ892="","",Portafolio_Proyectos!$D892),"")</f>
        <v/>
      </c>
      <c r="G2676" s="5" t="str">
        <f>IFERROR(IF(Portafolio_Proyectos!$AQ892="","",Portafolio_Proyectos!$A892),"")</f>
        <v/>
      </c>
      <c r="H2676" s="5" t="str">
        <f>IFERROR(IF(Portafolio_Proyectos!$AQ892="","",Portafolio_Proyectos!$E892),"")</f>
        <v/>
      </c>
    </row>
    <row r="2677" spans="1:8" x14ac:dyDescent="0.35">
      <c r="A2677" s="5" t="str">
        <f>IFERROR(IF(Portafolio_Proyectos!$AR892="","","CAP-"&amp;ROW()-1),"")</f>
        <v/>
      </c>
      <c r="B2677" s="5" t="str">
        <f>IFERROR(IF(Portafolio_Proyectos!$AR892="","",Portafolio_Proyectos!$AR892),"")</f>
        <v/>
      </c>
      <c r="C2677" s="5" t="str">
        <f>IFERROR(IF(Portafolio_Proyectos!$AR892="","","Distintiva"),"")</f>
        <v/>
      </c>
      <c r="D2677" s="5" t="str">
        <f>IFERROR(IF(Portafolio_Proyectos!$AR892="","",Portafolio_Proyectos!$C892),"")</f>
        <v/>
      </c>
      <c r="E2677" s="5" t="str">
        <f>IFERROR(IF(Portafolio_Proyectos!$AR892="","",Portafolio_Proyectos!$B892),"")</f>
        <v/>
      </c>
      <c r="F2677" s="5" t="str">
        <f>IFERROR(IF(Portafolio_Proyectos!$AR892="","",Portafolio_Proyectos!$D892),"")</f>
        <v/>
      </c>
      <c r="G2677" s="5" t="str">
        <f>IFERROR(IF(Portafolio_Proyectos!$AR892="","",Portafolio_Proyectos!$A892),"")</f>
        <v/>
      </c>
      <c r="H2677" s="5" t="str">
        <f>IFERROR(IF(Portafolio_Proyectos!$AR892="","",Portafolio_Proyectos!$E892),"")</f>
        <v/>
      </c>
    </row>
    <row r="2678" spans="1:8" x14ac:dyDescent="0.35">
      <c r="A2678" s="5" t="str">
        <f>IFERROR(IF(Portafolio_Proyectos!$AP893="","","CAP-"&amp;ROW()-1),"")</f>
        <v/>
      </c>
      <c r="B2678" s="5" t="str">
        <f>IFERROR(IF(Portafolio_Proyectos!$AP893="","",Portafolio_Proyectos!$AP893),"")</f>
        <v/>
      </c>
      <c r="C2678" s="5" t="str">
        <f>IFERROR(IF(Portafolio_Proyectos!$AP893="","","Emergente"),"")</f>
        <v/>
      </c>
      <c r="D2678" s="5" t="str">
        <f>IFERROR(IF(Portafolio_Proyectos!$AP893="","",Portafolio_Proyectos!$C893),"")</f>
        <v/>
      </c>
      <c r="E2678" s="5" t="str">
        <f>IFERROR(IF(Portafolio_Proyectos!$AP893="","",Portafolio_Proyectos!$B893),"")</f>
        <v/>
      </c>
      <c r="F2678" s="5" t="str">
        <f>IFERROR(IF(Portafolio_Proyectos!$AP893="","",Portafolio_Proyectos!$D893),"")</f>
        <v/>
      </c>
      <c r="G2678" s="5" t="str">
        <f>IFERROR(IF(Portafolio_Proyectos!$AP893="","",Portafolio_Proyectos!$A893),"")</f>
        <v/>
      </c>
      <c r="H2678" s="5" t="str">
        <f>IFERROR(IF(Portafolio_Proyectos!$AP893="","",Portafolio_Proyectos!$E893),"")</f>
        <v/>
      </c>
    </row>
    <row r="2679" spans="1:8" x14ac:dyDescent="0.35">
      <c r="A2679" s="5" t="str">
        <f>IFERROR(IF(Portafolio_Proyectos!$AQ893="","","CAP-"&amp;ROW()-1),"")</f>
        <v/>
      </c>
      <c r="B2679" s="5" t="str">
        <f>IFERROR(IF(Portafolio_Proyectos!$AQ893="","",Portafolio_Proyectos!$AQ893),"")</f>
        <v/>
      </c>
      <c r="C2679" s="5" t="str">
        <f>IFERROR(IF(Portafolio_Proyectos!$AQ893="","","Consolidada"),"")</f>
        <v/>
      </c>
      <c r="D2679" s="5" t="str">
        <f>IFERROR(IF(Portafolio_Proyectos!$AQ893="","",Portafolio_Proyectos!$C893),"")</f>
        <v/>
      </c>
      <c r="E2679" s="5" t="str">
        <f>IFERROR(IF(Portafolio_Proyectos!$AQ893="","",Portafolio_Proyectos!$B893),"")</f>
        <v/>
      </c>
      <c r="F2679" s="5" t="str">
        <f>IFERROR(IF(Portafolio_Proyectos!$AQ893="","",Portafolio_Proyectos!$D893),"")</f>
        <v/>
      </c>
      <c r="G2679" s="5" t="str">
        <f>IFERROR(IF(Portafolio_Proyectos!$AQ893="","",Portafolio_Proyectos!$A893),"")</f>
        <v/>
      </c>
      <c r="H2679" s="5" t="str">
        <f>IFERROR(IF(Portafolio_Proyectos!$AQ893="","",Portafolio_Proyectos!$E893),"")</f>
        <v/>
      </c>
    </row>
    <row r="2680" spans="1:8" x14ac:dyDescent="0.35">
      <c r="A2680" s="5" t="str">
        <f>IFERROR(IF(Portafolio_Proyectos!$AR893="","","CAP-"&amp;ROW()-1),"")</f>
        <v/>
      </c>
      <c r="B2680" s="5" t="str">
        <f>IFERROR(IF(Portafolio_Proyectos!$AR893="","",Portafolio_Proyectos!$AR893),"")</f>
        <v/>
      </c>
      <c r="C2680" s="5" t="str">
        <f>IFERROR(IF(Portafolio_Proyectos!$AR893="","","Distintiva"),"")</f>
        <v/>
      </c>
      <c r="D2680" s="5" t="str">
        <f>IFERROR(IF(Portafolio_Proyectos!$AR893="","",Portafolio_Proyectos!$C893),"")</f>
        <v/>
      </c>
      <c r="E2680" s="5" t="str">
        <f>IFERROR(IF(Portafolio_Proyectos!$AR893="","",Portafolio_Proyectos!$B893),"")</f>
        <v/>
      </c>
      <c r="F2680" s="5" t="str">
        <f>IFERROR(IF(Portafolio_Proyectos!$AR893="","",Portafolio_Proyectos!$D893),"")</f>
        <v/>
      </c>
      <c r="G2680" s="5" t="str">
        <f>IFERROR(IF(Portafolio_Proyectos!$AR893="","",Portafolio_Proyectos!$A893),"")</f>
        <v/>
      </c>
      <c r="H2680" s="5" t="str">
        <f>IFERROR(IF(Portafolio_Proyectos!$AR893="","",Portafolio_Proyectos!$E893),"")</f>
        <v/>
      </c>
    </row>
    <row r="2681" spans="1:8" x14ac:dyDescent="0.35">
      <c r="A2681" s="5" t="str">
        <f>IFERROR(IF(Portafolio_Proyectos!$AP894="","","CAP-"&amp;ROW()-1),"")</f>
        <v/>
      </c>
      <c r="B2681" s="5" t="str">
        <f>IFERROR(IF(Portafolio_Proyectos!$AP894="","",Portafolio_Proyectos!$AP894),"")</f>
        <v/>
      </c>
      <c r="C2681" s="5" t="str">
        <f>IFERROR(IF(Portafolio_Proyectos!$AP894="","","Emergente"),"")</f>
        <v/>
      </c>
      <c r="D2681" s="5" t="str">
        <f>IFERROR(IF(Portafolio_Proyectos!$AP894="","",Portafolio_Proyectos!$C894),"")</f>
        <v/>
      </c>
      <c r="E2681" s="5" t="str">
        <f>IFERROR(IF(Portafolio_Proyectos!$AP894="","",Portafolio_Proyectos!$B894),"")</f>
        <v/>
      </c>
      <c r="F2681" s="5" t="str">
        <f>IFERROR(IF(Portafolio_Proyectos!$AP894="","",Portafolio_Proyectos!$D894),"")</f>
        <v/>
      </c>
      <c r="G2681" s="5" t="str">
        <f>IFERROR(IF(Portafolio_Proyectos!$AP894="","",Portafolio_Proyectos!$A894),"")</f>
        <v/>
      </c>
      <c r="H2681" s="5" t="str">
        <f>IFERROR(IF(Portafolio_Proyectos!$AP894="","",Portafolio_Proyectos!$E894),"")</f>
        <v/>
      </c>
    </row>
    <row r="2682" spans="1:8" x14ac:dyDescent="0.35">
      <c r="A2682" s="5" t="str">
        <f>IFERROR(IF(Portafolio_Proyectos!$AQ894="","","CAP-"&amp;ROW()-1),"")</f>
        <v/>
      </c>
      <c r="B2682" s="5" t="str">
        <f>IFERROR(IF(Portafolio_Proyectos!$AQ894="","",Portafolio_Proyectos!$AQ894),"")</f>
        <v/>
      </c>
      <c r="C2682" s="5" t="str">
        <f>IFERROR(IF(Portafolio_Proyectos!$AQ894="","","Consolidada"),"")</f>
        <v/>
      </c>
      <c r="D2682" s="5" t="str">
        <f>IFERROR(IF(Portafolio_Proyectos!$AQ894="","",Portafolio_Proyectos!$C894),"")</f>
        <v/>
      </c>
      <c r="E2682" s="5" t="str">
        <f>IFERROR(IF(Portafolio_Proyectos!$AQ894="","",Portafolio_Proyectos!$B894),"")</f>
        <v/>
      </c>
      <c r="F2682" s="5" t="str">
        <f>IFERROR(IF(Portafolio_Proyectos!$AQ894="","",Portafolio_Proyectos!$D894),"")</f>
        <v/>
      </c>
      <c r="G2682" s="5" t="str">
        <f>IFERROR(IF(Portafolio_Proyectos!$AQ894="","",Portafolio_Proyectos!$A894),"")</f>
        <v/>
      </c>
      <c r="H2682" s="5" t="str">
        <f>IFERROR(IF(Portafolio_Proyectos!$AQ894="","",Portafolio_Proyectos!$E894),"")</f>
        <v/>
      </c>
    </row>
    <row r="2683" spans="1:8" x14ac:dyDescent="0.35">
      <c r="A2683" s="5" t="str">
        <f>IFERROR(IF(Portafolio_Proyectos!$AR894="","","CAP-"&amp;ROW()-1),"")</f>
        <v/>
      </c>
      <c r="B2683" s="5" t="str">
        <f>IFERROR(IF(Portafolio_Proyectos!$AR894="","",Portafolio_Proyectos!$AR894),"")</f>
        <v/>
      </c>
      <c r="C2683" s="5" t="str">
        <f>IFERROR(IF(Portafolio_Proyectos!$AR894="","","Distintiva"),"")</f>
        <v/>
      </c>
      <c r="D2683" s="5" t="str">
        <f>IFERROR(IF(Portafolio_Proyectos!$AR894="","",Portafolio_Proyectos!$C894),"")</f>
        <v/>
      </c>
      <c r="E2683" s="5" t="str">
        <f>IFERROR(IF(Portafolio_Proyectos!$AR894="","",Portafolio_Proyectos!$B894),"")</f>
        <v/>
      </c>
      <c r="F2683" s="5" t="str">
        <f>IFERROR(IF(Portafolio_Proyectos!$AR894="","",Portafolio_Proyectos!$D894),"")</f>
        <v/>
      </c>
      <c r="G2683" s="5" t="str">
        <f>IFERROR(IF(Portafolio_Proyectos!$AR894="","",Portafolio_Proyectos!$A894),"")</f>
        <v/>
      </c>
      <c r="H2683" s="5" t="str">
        <f>IFERROR(IF(Portafolio_Proyectos!$AR894="","",Portafolio_Proyectos!$E894),"")</f>
        <v/>
      </c>
    </row>
    <row r="2684" spans="1:8" x14ac:dyDescent="0.35">
      <c r="A2684" s="5" t="str">
        <f>IFERROR(IF(Portafolio_Proyectos!$AP895="","","CAP-"&amp;ROW()-1),"")</f>
        <v/>
      </c>
      <c r="B2684" s="5" t="str">
        <f>IFERROR(IF(Portafolio_Proyectos!$AP895="","",Portafolio_Proyectos!$AP895),"")</f>
        <v/>
      </c>
      <c r="C2684" s="5" t="str">
        <f>IFERROR(IF(Portafolio_Proyectos!$AP895="","","Emergente"),"")</f>
        <v/>
      </c>
      <c r="D2684" s="5" t="str">
        <f>IFERROR(IF(Portafolio_Proyectos!$AP895="","",Portafolio_Proyectos!$C895),"")</f>
        <v/>
      </c>
      <c r="E2684" s="5" t="str">
        <f>IFERROR(IF(Portafolio_Proyectos!$AP895="","",Portafolio_Proyectos!$B895),"")</f>
        <v/>
      </c>
      <c r="F2684" s="5" t="str">
        <f>IFERROR(IF(Portafolio_Proyectos!$AP895="","",Portafolio_Proyectos!$D895),"")</f>
        <v/>
      </c>
      <c r="G2684" s="5" t="str">
        <f>IFERROR(IF(Portafolio_Proyectos!$AP895="","",Portafolio_Proyectos!$A895),"")</f>
        <v/>
      </c>
      <c r="H2684" s="5" t="str">
        <f>IFERROR(IF(Portafolio_Proyectos!$AP895="","",Portafolio_Proyectos!$E895),"")</f>
        <v/>
      </c>
    </row>
    <row r="2685" spans="1:8" x14ac:dyDescent="0.35">
      <c r="A2685" s="5" t="str">
        <f>IFERROR(IF(Portafolio_Proyectos!$AQ895="","","CAP-"&amp;ROW()-1),"")</f>
        <v/>
      </c>
      <c r="B2685" s="5" t="str">
        <f>IFERROR(IF(Portafolio_Proyectos!$AQ895="","",Portafolio_Proyectos!$AQ895),"")</f>
        <v/>
      </c>
      <c r="C2685" s="5" t="str">
        <f>IFERROR(IF(Portafolio_Proyectos!$AQ895="","","Consolidada"),"")</f>
        <v/>
      </c>
      <c r="D2685" s="5" t="str">
        <f>IFERROR(IF(Portafolio_Proyectos!$AQ895="","",Portafolio_Proyectos!$C895),"")</f>
        <v/>
      </c>
      <c r="E2685" s="5" t="str">
        <f>IFERROR(IF(Portafolio_Proyectos!$AQ895="","",Portafolio_Proyectos!$B895),"")</f>
        <v/>
      </c>
      <c r="F2685" s="5" t="str">
        <f>IFERROR(IF(Portafolio_Proyectos!$AQ895="","",Portafolio_Proyectos!$D895),"")</f>
        <v/>
      </c>
      <c r="G2685" s="5" t="str">
        <f>IFERROR(IF(Portafolio_Proyectos!$AQ895="","",Portafolio_Proyectos!$A895),"")</f>
        <v/>
      </c>
      <c r="H2685" s="5" t="str">
        <f>IFERROR(IF(Portafolio_Proyectos!$AQ895="","",Portafolio_Proyectos!$E895),"")</f>
        <v/>
      </c>
    </row>
    <row r="2686" spans="1:8" x14ac:dyDescent="0.35">
      <c r="A2686" s="5" t="str">
        <f>IFERROR(IF(Portafolio_Proyectos!$AR895="","","CAP-"&amp;ROW()-1),"")</f>
        <v/>
      </c>
      <c r="B2686" s="5" t="str">
        <f>IFERROR(IF(Portafolio_Proyectos!$AR895="","",Portafolio_Proyectos!$AR895),"")</f>
        <v/>
      </c>
      <c r="C2686" s="5" t="str">
        <f>IFERROR(IF(Portafolio_Proyectos!$AR895="","","Distintiva"),"")</f>
        <v/>
      </c>
      <c r="D2686" s="5" t="str">
        <f>IFERROR(IF(Portafolio_Proyectos!$AR895="","",Portafolio_Proyectos!$C895),"")</f>
        <v/>
      </c>
      <c r="E2686" s="5" t="str">
        <f>IFERROR(IF(Portafolio_Proyectos!$AR895="","",Portafolio_Proyectos!$B895),"")</f>
        <v/>
      </c>
      <c r="F2686" s="5" t="str">
        <f>IFERROR(IF(Portafolio_Proyectos!$AR895="","",Portafolio_Proyectos!$D895),"")</f>
        <v/>
      </c>
      <c r="G2686" s="5" t="str">
        <f>IFERROR(IF(Portafolio_Proyectos!$AR895="","",Portafolio_Proyectos!$A895),"")</f>
        <v/>
      </c>
      <c r="H2686" s="5" t="str">
        <f>IFERROR(IF(Portafolio_Proyectos!$AR895="","",Portafolio_Proyectos!$E895),"")</f>
        <v/>
      </c>
    </row>
    <row r="2687" spans="1:8" x14ac:dyDescent="0.35">
      <c r="A2687" s="5" t="str">
        <f>IFERROR(IF(Portafolio_Proyectos!$AP896="","","CAP-"&amp;ROW()-1),"")</f>
        <v/>
      </c>
      <c r="B2687" s="5" t="str">
        <f>IFERROR(IF(Portafolio_Proyectos!$AP896="","",Portafolio_Proyectos!$AP896),"")</f>
        <v/>
      </c>
      <c r="C2687" s="5" t="str">
        <f>IFERROR(IF(Portafolio_Proyectos!$AP896="","","Emergente"),"")</f>
        <v/>
      </c>
      <c r="D2687" s="5" t="str">
        <f>IFERROR(IF(Portafolio_Proyectos!$AP896="","",Portafolio_Proyectos!$C896),"")</f>
        <v/>
      </c>
      <c r="E2687" s="5" t="str">
        <f>IFERROR(IF(Portafolio_Proyectos!$AP896="","",Portafolio_Proyectos!$B896),"")</f>
        <v/>
      </c>
      <c r="F2687" s="5" t="str">
        <f>IFERROR(IF(Portafolio_Proyectos!$AP896="","",Portafolio_Proyectos!$D896),"")</f>
        <v/>
      </c>
      <c r="G2687" s="5" t="str">
        <f>IFERROR(IF(Portafolio_Proyectos!$AP896="","",Portafolio_Proyectos!$A896),"")</f>
        <v/>
      </c>
      <c r="H2687" s="5" t="str">
        <f>IFERROR(IF(Portafolio_Proyectos!$AP896="","",Portafolio_Proyectos!$E896),"")</f>
        <v/>
      </c>
    </row>
    <row r="2688" spans="1:8" x14ac:dyDescent="0.35">
      <c r="A2688" s="5" t="str">
        <f>IFERROR(IF(Portafolio_Proyectos!$AQ896="","","CAP-"&amp;ROW()-1),"")</f>
        <v/>
      </c>
      <c r="B2688" s="5" t="str">
        <f>IFERROR(IF(Portafolio_Proyectos!$AQ896="","",Portafolio_Proyectos!$AQ896),"")</f>
        <v/>
      </c>
      <c r="C2688" s="5" t="str">
        <f>IFERROR(IF(Portafolio_Proyectos!$AQ896="","","Consolidada"),"")</f>
        <v/>
      </c>
      <c r="D2688" s="5" t="str">
        <f>IFERROR(IF(Portafolio_Proyectos!$AQ896="","",Portafolio_Proyectos!$C896),"")</f>
        <v/>
      </c>
      <c r="E2688" s="5" t="str">
        <f>IFERROR(IF(Portafolio_Proyectos!$AQ896="","",Portafolio_Proyectos!$B896),"")</f>
        <v/>
      </c>
      <c r="F2688" s="5" t="str">
        <f>IFERROR(IF(Portafolio_Proyectos!$AQ896="","",Portafolio_Proyectos!$D896),"")</f>
        <v/>
      </c>
      <c r="G2688" s="5" t="str">
        <f>IFERROR(IF(Portafolio_Proyectos!$AQ896="","",Portafolio_Proyectos!$A896),"")</f>
        <v/>
      </c>
      <c r="H2688" s="5" t="str">
        <f>IFERROR(IF(Portafolio_Proyectos!$AQ896="","",Portafolio_Proyectos!$E896),"")</f>
        <v/>
      </c>
    </row>
    <row r="2689" spans="1:8" x14ac:dyDescent="0.35">
      <c r="A2689" s="5" t="str">
        <f>IFERROR(IF(Portafolio_Proyectos!$AR896="","","CAP-"&amp;ROW()-1),"")</f>
        <v/>
      </c>
      <c r="B2689" s="5" t="str">
        <f>IFERROR(IF(Portafolio_Proyectos!$AR896="","",Portafolio_Proyectos!$AR896),"")</f>
        <v/>
      </c>
      <c r="C2689" s="5" t="str">
        <f>IFERROR(IF(Portafolio_Proyectos!$AR896="","","Distintiva"),"")</f>
        <v/>
      </c>
      <c r="D2689" s="5" t="str">
        <f>IFERROR(IF(Portafolio_Proyectos!$AR896="","",Portafolio_Proyectos!$C896),"")</f>
        <v/>
      </c>
      <c r="E2689" s="5" t="str">
        <f>IFERROR(IF(Portafolio_Proyectos!$AR896="","",Portafolio_Proyectos!$B896),"")</f>
        <v/>
      </c>
      <c r="F2689" s="5" t="str">
        <f>IFERROR(IF(Portafolio_Proyectos!$AR896="","",Portafolio_Proyectos!$D896),"")</f>
        <v/>
      </c>
      <c r="G2689" s="5" t="str">
        <f>IFERROR(IF(Portafolio_Proyectos!$AR896="","",Portafolio_Proyectos!$A896),"")</f>
        <v/>
      </c>
      <c r="H2689" s="5" t="str">
        <f>IFERROR(IF(Portafolio_Proyectos!$AR896="","",Portafolio_Proyectos!$E896),"")</f>
        <v/>
      </c>
    </row>
    <row r="2690" spans="1:8" x14ac:dyDescent="0.35">
      <c r="A2690" s="5" t="str">
        <f>IFERROR(IF(Portafolio_Proyectos!$AP897="","","CAP-"&amp;ROW()-1),"")</f>
        <v/>
      </c>
      <c r="B2690" s="5" t="str">
        <f>IFERROR(IF(Portafolio_Proyectos!$AP897="","",Portafolio_Proyectos!$AP897),"")</f>
        <v/>
      </c>
      <c r="C2690" s="5" t="str">
        <f>IFERROR(IF(Portafolio_Proyectos!$AP897="","","Emergente"),"")</f>
        <v/>
      </c>
      <c r="D2690" s="5" t="str">
        <f>IFERROR(IF(Portafolio_Proyectos!$AP897="","",Portafolio_Proyectos!$C897),"")</f>
        <v/>
      </c>
      <c r="E2690" s="5" t="str">
        <f>IFERROR(IF(Portafolio_Proyectos!$AP897="","",Portafolio_Proyectos!$B897),"")</f>
        <v/>
      </c>
      <c r="F2690" s="5" t="str">
        <f>IFERROR(IF(Portafolio_Proyectos!$AP897="","",Portafolio_Proyectos!$D897),"")</f>
        <v/>
      </c>
      <c r="G2690" s="5" t="str">
        <f>IFERROR(IF(Portafolio_Proyectos!$AP897="","",Portafolio_Proyectos!$A897),"")</f>
        <v/>
      </c>
      <c r="H2690" s="5" t="str">
        <f>IFERROR(IF(Portafolio_Proyectos!$AP897="","",Portafolio_Proyectos!$E897),"")</f>
        <v/>
      </c>
    </row>
    <row r="2691" spans="1:8" x14ac:dyDescent="0.35">
      <c r="A2691" s="5" t="str">
        <f>IFERROR(IF(Portafolio_Proyectos!$AQ897="","","CAP-"&amp;ROW()-1),"")</f>
        <v/>
      </c>
      <c r="B2691" s="5" t="str">
        <f>IFERROR(IF(Portafolio_Proyectos!$AQ897="","",Portafolio_Proyectos!$AQ897),"")</f>
        <v/>
      </c>
      <c r="C2691" s="5" t="str">
        <f>IFERROR(IF(Portafolio_Proyectos!$AQ897="","","Consolidada"),"")</f>
        <v/>
      </c>
      <c r="D2691" s="5" t="str">
        <f>IFERROR(IF(Portafolio_Proyectos!$AQ897="","",Portafolio_Proyectos!$C897),"")</f>
        <v/>
      </c>
      <c r="E2691" s="5" t="str">
        <f>IFERROR(IF(Portafolio_Proyectos!$AQ897="","",Portafolio_Proyectos!$B897),"")</f>
        <v/>
      </c>
      <c r="F2691" s="5" t="str">
        <f>IFERROR(IF(Portafolio_Proyectos!$AQ897="","",Portafolio_Proyectos!$D897),"")</f>
        <v/>
      </c>
      <c r="G2691" s="5" t="str">
        <f>IFERROR(IF(Portafolio_Proyectos!$AQ897="","",Portafolio_Proyectos!$A897),"")</f>
        <v/>
      </c>
      <c r="H2691" s="5" t="str">
        <f>IFERROR(IF(Portafolio_Proyectos!$AQ897="","",Portafolio_Proyectos!$E897),"")</f>
        <v/>
      </c>
    </row>
    <row r="2692" spans="1:8" x14ac:dyDescent="0.35">
      <c r="A2692" s="5" t="str">
        <f>IFERROR(IF(Portafolio_Proyectos!$AR897="","","CAP-"&amp;ROW()-1),"")</f>
        <v/>
      </c>
      <c r="B2692" s="5" t="str">
        <f>IFERROR(IF(Portafolio_Proyectos!$AR897="","",Portafolio_Proyectos!$AR897),"")</f>
        <v/>
      </c>
      <c r="C2692" s="5" t="str">
        <f>IFERROR(IF(Portafolio_Proyectos!$AR897="","","Distintiva"),"")</f>
        <v/>
      </c>
      <c r="D2692" s="5" t="str">
        <f>IFERROR(IF(Portafolio_Proyectos!$AR897="","",Portafolio_Proyectos!$C897),"")</f>
        <v/>
      </c>
      <c r="E2692" s="5" t="str">
        <f>IFERROR(IF(Portafolio_Proyectos!$AR897="","",Portafolio_Proyectos!$B897),"")</f>
        <v/>
      </c>
      <c r="F2692" s="5" t="str">
        <f>IFERROR(IF(Portafolio_Proyectos!$AR897="","",Portafolio_Proyectos!$D897),"")</f>
        <v/>
      </c>
      <c r="G2692" s="5" t="str">
        <f>IFERROR(IF(Portafolio_Proyectos!$AR897="","",Portafolio_Proyectos!$A897),"")</f>
        <v/>
      </c>
      <c r="H2692" s="5" t="str">
        <f>IFERROR(IF(Portafolio_Proyectos!$AR897="","",Portafolio_Proyectos!$E897),"")</f>
        <v/>
      </c>
    </row>
    <row r="2693" spans="1:8" x14ac:dyDescent="0.35">
      <c r="A2693" s="5" t="str">
        <f>IFERROR(IF(Portafolio_Proyectos!$AP898="","","CAP-"&amp;ROW()-1),"")</f>
        <v/>
      </c>
      <c r="B2693" s="5" t="str">
        <f>IFERROR(IF(Portafolio_Proyectos!$AP898="","",Portafolio_Proyectos!$AP898),"")</f>
        <v/>
      </c>
      <c r="C2693" s="5" t="str">
        <f>IFERROR(IF(Portafolio_Proyectos!$AP898="","","Emergente"),"")</f>
        <v/>
      </c>
      <c r="D2693" s="5" t="str">
        <f>IFERROR(IF(Portafolio_Proyectos!$AP898="","",Portafolio_Proyectos!$C898),"")</f>
        <v/>
      </c>
      <c r="E2693" s="5" t="str">
        <f>IFERROR(IF(Portafolio_Proyectos!$AP898="","",Portafolio_Proyectos!$B898),"")</f>
        <v/>
      </c>
      <c r="F2693" s="5" t="str">
        <f>IFERROR(IF(Portafolio_Proyectos!$AP898="","",Portafolio_Proyectos!$D898),"")</f>
        <v/>
      </c>
      <c r="G2693" s="5" t="str">
        <f>IFERROR(IF(Portafolio_Proyectos!$AP898="","",Portafolio_Proyectos!$A898),"")</f>
        <v/>
      </c>
      <c r="H2693" s="5" t="str">
        <f>IFERROR(IF(Portafolio_Proyectos!$AP898="","",Portafolio_Proyectos!$E898),"")</f>
        <v/>
      </c>
    </row>
    <row r="2694" spans="1:8" x14ac:dyDescent="0.35">
      <c r="A2694" s="5" t="str">
        <f>IFERROR(IF(Portafolio_Proyectos!$AQ898="","","CAP-"&amp;ROW()-1),"")</f>
        <v/>
      </c>
      <c r="B2694" s="5" t="str">
        <f>IFERROR(IF(Portafolio_Proyectos!$AQ898="","",Portafolio_Proyectos!$AQ898),"")</f>
        <v/>
      </c>
      <c r="C2694" s="5" t="str">
        <f>IFERROR(IF(Portafolio_Proyectos!$AQ898="","","Consolidada"),"")</f>
        <v/>
      </c>
      <c r="D2694" s="5" t="str">
        <f>IFERROR(IF(Portafolio_Proyectos!$AQ898="","",Portafolio_Proyectos!$C898),"")</f>
        <v/>
      </c>
      <c r="E2694" s="5" t="str">
        <f>IFERROR(IF(Portafolio_Proyectos!$AQ898="","",Portafolio_Proyectos!$B898),"")</f>
        <v/>
      </c>
      <c r="F2694" s="5" t="str">
        <f>IFERROR(IF(Portafolio_Proyectos!$AQ898="","",Portafolio_Proyectos!$D898),"")</f>
        <v/>
      </c>
      <c r="G2694" s="5" t="str">
        <f>IFERROR(IF(Portafolio_Proyectos!$AQ898="","",Portafolio_Proyectos!$A898),"")</f>
        <v/>
      </c>
      <c r="H2694" s="5" t="str">
        <f>IFERROR(IF(Portafolio_Proyectos!$AQ898="","",Portafolio_Proyectos!$E898),"")</f>
        <v/>
      </c>
    </row>
    <row r="2695" spans="1:8" x14ac:dyDescent="0.35">
      <c r="A2695" s="5" t="str">
        <f>IFERROR(IF(Portafolio_Proyectos!$AR898="","","CAP-"&amp;ROW()-1),"")</f>
        <v/>
      </c>
      <c r="B2695" s="5" t="str">
        <f>IFERROR(IF(Portafolio_Proyectos!$AR898="","",Portafolio_Proyectos!$AR898),"")</f>
        <v/>
      </c>
      <c r="C2695" s="5" t="str">
        <f>IFERROR(IF(Portafolio_Proyectos!$AR898="","","Distintiva"),"")</f>
        <v/>
      </c>
      <c r="D2695" s="5" t="str">
        <f>IFERROR(IF(Portafolio_Proyectos!$AR898="","",Portafolio_Proyectos!$C898),"")</f>
        <v/>
      </c>
      <c r="E2695" s="5" t="str">
        <f>IFERROR(IF(Portafolio_Proyectos!$AR898="","",Portafolio_Proyectos!$B898),"")</f>
        <v/>
      </c>
      <c r="F2695" s="5" t="str">
        <f>IFERROR(IF(Portafolio_Proyectos!$AR898="","",Portafolio_Proyectos!$D898),"")</f>
        <v/>
      </c>
      <c r="G2695" s="5" t="str">
        <f>IFERROR(IF(Portafolio_Proyectos!$AR898="","",Portafolio_Proyectos!$A898),"")</f>
        <v/>
      </c>
      <c r="H2695" s="5" t="str">
        <f>IFERROR(IF(Portafolio_Proyectos!$AR898="","",Portafolio_Proyectos!$E898),"")</f>
        <v/>
      </c>
    </row>
    <row r="2696" spans="1:8" x14ac:dyDescent="0.35">
      <c r="A2696" s="5" t="str">
        <f>IFERROR(IF(Portafolio_Proyectos!$AP899="","","CAP-"&amp;ROW()-1),"")</f>
        <v/>
      </c>
      <c r="B2696" s="5" t="str">
        <f>IFERROR(IF(Portafolio_Proyectos!$AP899="","",Portafolio_Proyectos!$AP899),"")</f>
        <v/>
      </c>
      <c r="C2696" s="5" t="str">
        <f>IFERROR(IF(Portafolio_Proyectos!$AP899="","","Emergente"),"")</f>
        <v/>
      </c>
      <c r="D2696" s="5" t="str">
        <f>IFERROR(IF(Portafolio_Proyectos!$AP899="","",Portafolio_Proyectos!$C899),"")</f>
        <v/>
      </c>
      <c r="E2696" s="5" t="str">
        <f>IFERROR(IF(Portafolio_Proyectos!$AP899="","",Portafolio_Proyectos!$B899),"")</f>
        <v/>
      </c>
      <c r="F2696" s="5" t="str">
        <f>IFERROR(IF(Portafolio_Proyectos!$AP899="","",Portafolio_Proyectos!$D899),"")</f>
        <v/>
      </c>
      <c r="G2696" s="5" t="str">
        <f>IFERROR(IF(Portafolio_Proyectos!$AP899="","",Portafolio_Proyectos!$A899),"")</f>
        <v/>
      </c>
      <c r="H2696" s="5" t="str">
        <f>IFERROR(IF(Portafolio_Proyectos!$AP899="","",Portafolio_Proyectos!$E899),"")</f>
        <v/>
      </c>
    </row>
    <row r="2697" spans="1:8" x14ac:dyDescent="0.35">
      <c r="A2697" s="5" t="str">
        <f>IFERROR(IF(Portafolio_Proyectos!$AQ899="","","CAP-"&amp;ROW()-1),"")</f>
        <v/>
      </c>
      <c r="B2697" s="5" t="str">
        <f>IFERROR(IF(Portafolio_Proyectos!$AQ899="","",Portafolio_Proyectos!$AQ899),"")</f>
        <v/>
      </c>
      <c r="C2697" s="5" t="str">
        <f>IFERROR(IF(Portafolio_Proyectos!$AQ899="","","Consolidada"),"")</f>
        <v/>
      </c>
      <c r="D2697" s="5" t="str">
        <f>IFERROR(IF(Portafolio_Proyectos!$AQ899="","",Portafolio_Proyectos!$C899),"")</f>
        <v/>
      </c>
      <c r="E2697" s="5" t="str">
        <f>IFERROR(IF(Portafolio_Proyectos!$AQ899="","",Portafolio_Proyectos!$B899),"")</f>
        <v/>
      </c>
      <c r="F2697" s="5" t="str">
        <f>IFERROR(IF(Portafolio_Proyectos!$AQ899="","",Portafolio_Proyectos!$D899),"")</f>
        <v/>
      </c>
      <c r="G2697" s="5" t="str">
        <f>IFERROR(IF(Portafolio_Proyectos!$AQ899="","",Portafolio_Proyectos!$A899),"")</f>
        <v/>
      </c>
      <c r="H2697" s="5" t="str">
        <f>IFERROR(IF(Portafolio_Proyectos!$AQ899="","",Portafolio_Proyectos!$E899),"")</f>
        <v/>
      </c>
    </row>
    <row r="2698" spans="1:8" x14ac:dyDescent="0.35">
      <c r="A2698" s="5" t="str">
        <f>IFERROR(IF(Portafolio_Proyectos!$AR899="","","CAP-"&amp;ROW()-1),"")</f>
        <v/>
      </c>
      <c r="B2698" s="5" t="str">
        <f>IFERROR(IF(Portafolio_Proyectos!$AR899="","",Portafolio_Proyectos!$AR899),"")</f>
        <v/>
      </c>
      <c r="C2698" s="5" t="str">
        <f>IFERROR(IF(Portafolio_Proyectos!$AR899="","","Distintiva"),"")</f>
        <v/>
      </c>
      <c r="D2698" s="5" t="str">
        <f>IFERROR(IF(Portafolio_Proyectos!$AR899="","",Portafolio_Proyectos!$C899),"")</f>
        <v/>
      </c>
      <c r="E2698" s="5" t="str">
        <f>IFERROR(IF(Portafolio_Proyectos!$AR899="","",Portafolio_Proyectos!$B899),"")</f>
        <v/>
      </c>
      <c r="F2698" s="5" t="str">
        <f>IFERROR(IF(Portafolio_Proyectos!$AR899="","",Portafolio_Proyectos!$D899),"")</f>
        <v/>
      </c>
      <c r="G2698" s="5" t="str">
        <f>IFERROR(IF(Portafolio_Proyectos!$AR899="","",Portafolio_Proyectos!$A899),"")</f>
        <v/>
      </c>
      <c r="H2698" s="5" t="str">
        <f>IFERROR(IF(Portafolio_Proyectos!$AR899="","",Portafolio_Proyectos!$E899),"")</f>
        <v/>
      </c>
    </row>
    <row r="2699" spans="1:8" x14ac:dyDescent="0.35">
      <c r="A2699" s="5" t="str">
        <f>IFERROR(IF(Portafolio_Proyectos!$AP900="","","CAP-"&amp;ROW()-1),"")</f>
        <v/>
      </c>
      <c r="B2699" s="5" t="str">
        <f>IFERROR(IF(Portafolio_Proyectos!$AP900="","",Portafolio_Proyectos!$AP900),"")</f>
        <v/>
      </c>
      <c r="C2699" s="5" t="str">
        <f>IFERROR(IF(Portafolio_Proyectos!$AP900="","","Emergente"),"")</f>
        <v/>
      </c>
      <c r="D2699" s="5" t="str">
        <f>IFERROR(IF(Portafolio_Proyectos!$AP900="","",Portafolio_Proyectos!$C900),"")</f>
        <v/>
      </c>
      <c r="E2699" s="5" t="str">
        <f>IFERROR(IF(Portafolio_Proyectos!$AP900="","",Portafolio_Proyectos!$B900),"")</f>
        <v/>
      </c>
      <c r="F2699" s="5" t="str">
        <f>IFERROR(IF(Portafolio_Proyectos!$AP900="","",Portafolio_Proyectos!$D900),"")</f>
        <v/>
      </c>
      <c r="G2699" s="5" t="str">
        <f>IFERROR(IF(Portafolio_Proyectos!$AP900="","",Portafolio_Proyectos!$A900),"")</f>
        <v/>
      </c>
      <c r="H2699" s="5" t="str">
        <f>IFERROR(IF(Portafolio_Proyectos!$AP900="","",Portafolio_Proyectos!$E900),"")</f>
        <v/>
      </c>
    </row>
    <row r="2700" spans="1:8" x14ac:dyDescent="0.35">
      <c r="A2700" s="5" t="str">
        <f>IFERROR(IF(Portafolio_Proyectos!$AQ900="","","CAP-"&amp;ROW()-1),"")</f>
        <v/>
      </c>
      <c r="B2700" s="5" t="str">
        <f>IFERROR(IF(Portafolio_Proyectos!$AQ900="","",Portafolio_Proyectos!$AQ900),"")</f>
        <v/>
      </c>
      <c r="C2700" s="5" t="str">
        <f>IFERROR(IF(Portafolio_Proyectos!$AQ900="","","Consolidada"),"")</f>
        <v/>
      </c>
      <c r="D2700" s="5" t="str">
        <f>IFERROR(IF(Portafolio_Proyectos!$AQ900="","",Portafolio_Proyectos!$C900),"")</f>
        <v/>
      </c>
      <c r="E2700" s="5" t="str">
        <f>IFERROR(IF(Portafolio_Proyectos!$AQ900="","",Portafolio_Proyectos!$B900),"")</f>
        <v/>
      </c>
      <c r="F2700" s="5" t="str">
        <f>IFERROR(IF(Portafolio_Proyectos!$AQ900="","",Portafolio_Proyectos!$D900),"")</f>
        <v/>
      </c>
      <c r="G2700" s="5" t="str">
        <f>IFERROR(IF(Portafolio_Proyectos!$AQ900="","",Portafolio_Proyectos!$A900),"")</f>
        <v/>
      </c>
      <c r="H2700" s="5" t="str">
        <f>IFERROR(IF(Portafolio_Proyectos!$AQ900="","",Portafolio_Proyectos!$E900),"")</f>
        <v/>
      </c>
    </row>
    <row r="2701" spans="1:8" x14ac:dyDescent="0.35">
      <c r="A2701" s="5" t="str">
        <f>IFERROR(IF(Portafolio_Proyectos!$AR900="","","CAP-"&amp;ROW()-1),"")</f>
        <v/>
      </c>
      <c r="B2701" s="5" t="str">
        <f>IFERROR(IF(Portafolio_Proyectos!$AR900="","",Portafolio_Proyectos!$AR900),"")</f>
        <v/>
      </c>
      <c r="C2701" s="5" t="str">
        <f>IFERROR(IF(Portafolio_Proyectos!$AR900="","","Distintiva"),"")</f>
        <v/>
      </c>
      <c r="D2701" s="5" t="str">
        <f>IFERROR(IF(Portafolio_Proyectos!$AR900="","",Portafolio_Proyectos!$C900),"")</f>
        <v/>
      </c>
      <c r="E2701" s="5" t="str">
        <f>IFERROR(IF(Portafolio_Proyectos!$AR900="","",Portafolio_Proyectos!$B900),"")</f>
        <v/>
      </c>
      <c r="F2701" s="5" t="str">
        <f>IFERROR(IF(Portafolio_Proyectos!$AR900="","",Portafolio_Proyectos!$D900),"")</f>
        <v/>
      </c>
      <c r="G2701" s="5" t="str">
        <f>IFERROR(IF(Portafolio_Proyectos!$AR900="","",Portafolio_Proyectos!$A900),"")</f>
        <v/>
      </c>
      <c r="H2701" s="5" t="str">
        <f>IFERROR(IF(Portafolio_Proyectos!$AR900="","",Portafolio_Proyectos!$E900),"")</f>
        <v/>
      </c>
    </row>
    <row r="2702" spans="1:8" x14ac:dyDescent="0.35">
      <c r="A2702" s="5" t="str">
        <f>IFERROR(IF(Portafolio_Proyectos!$AP901="","","CAP-"&amp;ROW()-1),"")</f>
        <v/>
      </c>
      <c r="B2702" s="5" t="str">
        <f>IFERROR(IF(Portafolio_Proyectos!$AP901="","",Portafolio_Proyectos!$AP901),"")</f>
        <v/>
      </c>
      <c r="C2702" s="5" t="str">
        <f>IFERROR(IF(Portafolio_Proyectos!$AP901="","","Emergente"),"")</f>
        <v/>
      </c>
      <c r="D2702" s="5" t="str">
        <f>IFERROR(IF(Portafolio_Proyectos!$AP901="","",Portafolio_Proyectos!$C901),"")</f>
        <v/>
      </c>
      <c r="E2702" s="5" t="str">
        <f>IFERROR(IF(Portafolio_Proyectos!$AP901="","",Portafolio_Proyectos!$B901),"")</f>
        <v/>
      </c>
      <c r="F2702" s="5" t="str">
        <f>IFERROR(IF(Portafolio_Proyectos!$AP901="","",Portafolio_Proyectos!$D901),"")</f>
        <v/>
      </c>
      <c r="G2702" s="5" t="str">
        <f>IFERROR(IF(Portafolio_Proyectos!$AP901="","",Portafolio_Proyectos!$A901),"")</f>
        <v/>
      </c>
      <c r="H2702" s="5" t="str">
        <f>IFERROR(IF(Portafolio_Proyectos!$AP901="","",Portafolio_Proyectos!$E901),"")</f>
        <v/>
      </c>
    </row>
    <row r="2703" spans="1:8" x14ac:dyDescent="0.35">
      <c r="A2703" s="5" t="str">
        <f>IFERROR(IF(Portafolio_Proyectos!$AQ901="","","CAP-"&amp;ROW()-1),"")</f>
        <v/>
      </c>
      <c r="B2703" s="5" t="str">
        <f>IFERROR(IF(Portafolio_Proyectos!$AQ901="","",Portafolio_Proyectos!$AQ901),"")</f>
        <v/>
      </c>
      <c r="C2703" s="5" t="str">
        <f>IFERROR(IF(Portafolio_Proyectos!$AQ901="","","Consolidada"),"")</f>
        <v/>
      </c>
      <c r="D2703" s="5" t="str">
        <f>IFERROR(IF(Portafolio_Proyectos!$AQ901="","",Portafolio_Proyectos!$C901),"")</f>
        <v/>
      </c>
      <c r="E2703" s="5" t="str">
        <f>IFERROR(IF(Portafolio_Proyectos!$AQ901="","",Portafolio_Proyectos!$B901),"")</f>
        <v/>
      </c>
      <c r="F2703" s="5" t="str">
        <f>IFERROR(IF(Portafolio_Proyectos!$AQ901="","",Portafolio_Proyectos!$D901),"")</f>
        <v/>
      </c>
      <c r="G2703" s="5" t="str">
        <f>IFERROR(IF(Portafolio_Proyectos!$AQ901="","",Portafolio_Proyectos!$A901),"")</f>
        <v/>
      </c>
      <c r="H2703" s="5" t="str">
        <f>IFERROR(IF(Portafolio_Proyectos!$AQ901="","",Portafolio_Proyectos!$E901),"")</f>
        <v/>
      </c>
    </row>
    <row r="2704" spans="1:8" x14ac:dyDescent="0.35">
      <c r="A2704" s="5" t="str">
        <f>IFERROR(IF(Portafolio_Proyectos!$AR901="","","CAP-"&amp;ROW()-1),"")</f>
        <v/>
      </c>
      <c r="B2704" s="5" t="str">
        <f>IFERROR(IF(Portafolio_Proyectos!$AR901="","",Portafolio_Proyectos!$AR901),"")</f>
        <v/>
      </c>
      <c r="C2704" s="5" t="str">
        <f>IFERROR(IF(Portafolio_Proyectos!$AR901="","","Distintiva"),"")</f>
        <v/>
      </c>
      <c r="D2704" s="5" t="str">
        <f>IFERROR(IF(Portafolio_Proyectos!$AR901="","",Portafolio_Proyectos!$C901),"")</f>
        <v/>
      </c>
      <c r="E2704" s="5" t="str">
        <f>IFERROR(IF(Portafolio_Proyectos!$AR901="","",Portafolio_Proyectos!$B901),"")</f>
        <v/>
      </c>
      <c r="F2704" s="5" t="str">
        <f>IFERROR(IF(Portafolio_Proyectos!$AR901="","",Portafolio_Proyectos!$D901),"")</f>
        <v/>
      </c>
      <c r="G2704" s="5" t="str">
        <f>IFERROR(IF(Portafolio_Proyectos!$AR901="","",Portafolio_Proyectos!$A901),"")</f>
        <v/>
      </c>
      <c r="H2704" s="5" t="str">
        <f>IFERROR(IF(Portafolio_Proyectos!$AR901="","",Portafolio_Proyectos!$E901),"")</f>
        <v/>
      </c>
    </row>
    <row r="2705" spans="1:8" x14ac:dyDescent="0.35">
      <c r="A2705" s="5" t="str">
        <f>IFERROR(IF(Portafolio_Proyectos!$AP902="","","CAP-"&amp;ROW()-1),"")</f>
        <v/>
      </c>
      <c r="B2705" s="5" t="str">
        <f>IFERROR(IF(Portafolio_Proyectos!$AP902="","",Portafolio_Proyectos!$AP902),"")</f>
        <v/>
      </c>
      <c r="C2705" s="5" t="str">
        <f>IFERROR(IF(Portafolio_Proyectos!$AP902="","","Emergente"),"")</f>
        <v/>
      </c>
      <c r="D2705" s="5" t="str">
        <f>IFERROR(IF(Portafolio_Proyectos!$AP902="","",Portafolio_Proyectos!$C902),"")</f>
        <v/>
      </c>
      <c r="E2705" s="5" t="str">
        <f>IFERROR(IF(Portafolio_Proyectos!$AP902="","",Portafolio_Proyectos!$B902),"")</f>
        <v/>
      </c>
      <c r="F2705" s="5" t="str">
        <f>IFERROR(IF(Portafolio_Proyectos!$AP902="","",Portafolio_Proyectos!$D902),"")</f>
        <v/>
      </c>
      <c r="G2705" s="5" t="str">
        <f>IFERROR(IF(Portafolio_Proyectos!$AP902="","",Portafolio_Proyectos!$A902),"")</f>
        <v/>
      </c>
      <c r="H2705" s="5" t="str">
        <f>IFERROR(IF(Portafolio_Proyectos!$AP902="","",Portafolio_Proyectos!$E902),"")</f>
        <v/>
      </c>
    </row>
    <row r="2706" spans="1:8" x14ac:dyDescent="0.35">
      <c r="A2706" s="5" t="str">
        <f>IFERROR(IF(Portafolio_Proyectos!$AQ902="","","CAP-"&amp;ROW()-1),"")</f>
        <v/>
      </c>
      <c r="B2706" s="5" t="str">
        <f>IFERROR(IF(Portafolio_Proyectos!$AQ902="","",Portafolio_Proyectos!$AQ902),"")</f>
        <v/>
      </c>
      <c r="C2706" s="5" t="str">
        <f>IFERROR(IF(Portafolio_Proyectos!$AQ902="","","Consolidada"),"")</f>
        <v/>
      </c>
      <c r="D2706" s="5" t="str">
        <f>IFERROR(IF(Portafolio_Proyectos!$AQ902="","",Portafolio_Proyectos!$C902),"")</f>
        <v/>
      </c>
      <c r="E2706" s="5" t="str">
        <f>IFERROR(IF(Portafolio_Proyectos!$AQ902="","",Portafolio_Proyectos!$B902),"")</f>
        <v/>
      </c>
      <c r="F2706" s="5" t="str">
        <f>IFERROR(IF(Portafolio_Proyectos!$AQ902="","",Portafolio_Proyectos!$D902),"")</f>
        <v/>
      </c>
      <c r="G2706" s="5" t="str">
        <f>IFERROR(IF(Portafolio_Proyectos!$AQ902="","",Portafolio_Proyectos!$A902),"")</f>
        <v/>
      </c>
      <c r="H2706" s="5" t="str">
        <f>IFERROR(IF(Portafolio_Proyectos!$AQ902="","",Portafolio_Proyectos!$E902),"")</f>
        <v/>
      </c>
    </row>
    <row r="2707" spans="1:8" x14ac:dyDescent="0.35">
      <c r="A2707" s="5" t="str">
        <f>IFERROR(IF(Portafolio_Proyectos!$AR902="","","CAP-"&amp;ROW()-1),"")</f>
        <v/>
      </c>
      <c r="B2707" s="5" t="str">
        <f>IFERROR(IF(Portafolio_Proyectos!$AR902="","",Portafolio_Proyectos!$AR902),"")</f>
        <v/>
      </c>
      <c r="C2707" s="5" t="str">
        <f>IFERROR(IF(Portafolio_Proyectos!$AR902="","","Distintiva"),"")</f>
        <v/>
      </c>
      <c r="D2707" s="5" t="str">
        <f>IFERROR(IF(Portafolio_Proyectos!$AR902="","",Portafolio_Proyectos!$C902),"")</f>
        <v/>
      </c>
      <c r="E2707" s="5" t="str">
        <f>IFERROR(IF(Portafolio_Proyectos!$AR902="","",Portafolio_Proyectos!$B902),"")</f>
        <v/>
      </c>
      <c r="F2707" s="5" t="str">
        <f>IFERROR(IF(Portafolio_Proyectos!$AR902="","",Portafolio_Proyectos!$D902),"")</f>
        <v/>
      </c>
      <c r="G2707" s="5" t="str">
        <f>IFERROR(IF(Portafolio_Proyectos!$AR902="","",Portafolio_Proyectos!$A902),"")</f>
        <v/>
      </c>
      <c r="H2707" s="5" t="str">
        <f>IFERROR(IF(Portafolio_Proyectos!$AR902="","",Portafolio_Proyectos!$E902),"")</f>
        <v/>
      </c>
    </row>
    <row r="2708" spans="1:8" x14ac:dyDescent="0.35">
      <c r="A2708" s="5" t="str">
        <f>IFERROR(IF(Portafolio_Proyectos!$AP903="","","CAP-"&amp;ROW()-1),"")</f>
        <v/>
      </c>
      <c r="B2708" s="5" t="str">
        <f>IFERROR(IF(Portafolio_Proyectos!$AP903="","",Portafolio_Proyectos!$AP903),"")</f>
        <v/>
      </c>
      <c r="C2708" s="5" t="str">
        <f>IFERROR(IF(Portafolio_Proyectos!$AP903="","","Emergente"),"")</f>
        <v/>
      </c>
      <c r="D2708" s="5" t="str">
        <f>IFERROR(IF(Portafolio_Proyectos!$AP903="","",Portafolio_Proyectos!$C903),"")</f>
        <v/>
      </c>
      <c r="E2708" s="5" t="str">
        <f>IFERROR(IF(Portafolio_Proyectos!$AP903="","",Portafolio_Proyectos!$B903),"")</f>
        <v/>
      </c>
      <c r="F2708" s="5" t="str">
        <f>IFERROR(IF(Portafolio_Proyectos!$AP903="","",Portafolio_Proyectos!$D903),"")</f>
        <v/>
      </c>
      <c r="G2708" s="5" t="str">
        <f>IFERROR(IF(Portafolio_Proyectos!$AP903="","",Portafolio_Proyectos!$A903),"")</f>
        <v/>
      </c>
      <c r="H2708" s="5" t="str">
        <f>IFERROR(IF(Portafolio_Proyectos!$AP903="","",Portafolio_Proyectos!$E903),"")</f>
        <v/>
      </c>
    </row>
    <row r="2709" spans="1:8" x14ac:dyDescent="0.35">
      <c r="A2709" s="5" t="str">
        <f>IFERROR(IF(Portafolio_Proyectos!$AQ903="","","CAP-"&amp;ROW()-1),"")</f>
        <v/>
      </c>
      <c r="B2709" s="5" t="str">
        <f>IFERROR(IF(Portafolio_Proyectos!$AQ903="","",Portafolio_Proyectos!$AQ903),"")</f>
        <v/>
      </c>
      <c r="C2709" s="5" t="str">
        <f>IFERROR(IF(Portafolio_Proyectos!$AQ903="","","Consolidada"),"")</f>
        <v/>
      </c>
      <c r="D2709" s="5" t="str">
        <f>IFERROR(IF(Portafolio_Proyectos!$AQ903="","",Portafolio_Proyectos!$C903),"")</f>
        <v/>
      </c>
      <c r="E2709" s="5" t="str">
        <f>IFERROR(IF(Portafolio_Proyectos!$AQ903="","",Portafolio_Proyectos!$B903),"")</f>
        <v/>
      </c>
      <c r="F2709" s="5" t="str">
        <f>IFERROR(IF(Portafolio_Proyectos!$AQ903="","",Portafolio_Proyectos!$D903),"")</f>
        <v/>
      </c>
      <c r="G2709" s="5" t="str">
        <f>IFERROR(IF(Portafolio_Proyectos!$AQ903="","",Portafolio_Proyectos!$A903),"")</f>
        <v/>
      </c>
      <c r="H2709" s="5" t="str">
        <f>IFERROR(IF(Portafolio_Proyectos!$AQ903="","",Portafolio_Proyectos!$E903),"")</f>
        <v/>
      </c>
    </row>
    <row r="2710" spans="1:8" x14ac:dyDescent="0.35">
      <c r="A2710" s="5" t="str">
        <f>IFERROR(IF(Portafolio_Proyectos!$AR903="","","CAP-"&amp;ROW()-1),"")</f>
        <v/>
      </c>
      <c r="B2710" s="5" t="str">
        <f>IFERROR(IF(Portafolio_Proyectos!$AR903="","",Portafolio_Proyectos!$AR903),"")</f>
        <v/>
      </c>
      <c r="C2710" s="5" t="str">
        <f>IFERROR(IF(Portafolio_Proyectos!$AR903="","","Distintiva"),"")</f>
        <v/>
      </c>
      <c r="D2710" s="5" t="str">
        <f>IFERROR(IF(Portafolio_Proyectos!$AR903="","",Portafolio_Proyectos!$C903),"")</f>
        <v/>
      </c>
      <c r="E2710" s="5" t="str">
        <f>IFERROR(IF(Portafolio_Proyectos!$AR903="","",Portafolio_Proyectos!$B903),"")</f>
        <v/>
      </c>
      <c r="F2710" s="5" t="str">
        <f>IFERROR(IF(Portafolio_Proyectos!$AR903="","",Portafolio_Proyectos!$D903),"")</f>
        <v/>
      </c>
      <c r="G2710" s="5" t="str">
        <f>IFERROR(IF(Portafolio_Proyectos!$AR903="","",Portafolio_Proyectos!$A903),"")</f>
        <v/>
      </c>
      <c r="H2710" s="5" t="str">
        <f>IFERROR(IF(Portafolio_Proyectos!$AR903="","",Portafolio_Proyectos!$E903),"")</f>
        <v/>
      </c>
    </row>
    <row r="2711" spans="1:8" x14ac:dyDescent="0.35">
      <c r="A2711" s="5" t="str">
        <f>IFERROR(IF(Portafolio_Proyectos!$AP904="","","CAP-"&amp;ROW()-1),"")</f>
        <v/>
      </c>
      <c r="B2711" s="5" t="str">
        <f>IFERROR(IF(Portafolio_Proyectos!$AP904="","",Portafolio_Proyectos!$AP904),"")</f>
        <v/>
      </c>
      <c r="C2711" s="5" t="str">
        <f>IFERROR(IF(Portafolio_Proyectos!$AP904="","","Emergente"),"")</f>
        <v/>
      </c>
      <c r="D2711" s="5" t="str">
        <f>IFERROR(IF(Portafolio_Proyectos!$AP904="","",Portafolio_Proyectos!$C904),"")</f>
        <v/>
      </c>
      <c r="E2711" s="5" t="str">
        <f>IFERROR(IF(Portafolio_Proyectos!$AP904="","",Portafolio_Proyectos!$B904),"")</f>
        <v/>
      </c>
      <c r="F2711" s="5" t="str">
        <f>IFERROR(IF(Portafolio_Proyectos!$AP904="","",Portafolio_Proyectos!$D904),"")</f>
        <v/>
      </c>
      <c r="G2711" s="5" t="str">
        <f>IFERROR(IF(Portafolio_Proyectos!$AP904="","",Portafolio_Proyectos!$A904),"")</f>
        <v/>
      </c>
      <c r="H2711" s="5" t="str">
        <f>IFERROR(IF(Portafolio_Proyectos!$AP904="","",Portafolio_Proyectos!$E904),"")</f>
        <v/>
      </c>
    </row>
    <row r="2712" spans="1:8" x14ac:dyDescent="0.35">
      <c r="A2712" s="5" t="str">
        <f>IFERROR(IF(Portafolio_Proyectos!$AQ904="","","CAP-"&amp;ROW()-1),"")</f>
        <v/>
      </c>
      <c r="B2712" s="5" t="str">
        <f>IFERROR(IF(Portafolio_Proyectos!$AQ904="","",Portafolio_Proyectos!$AQ904),"")</f>
        <v/>
      </c>
      <c r="C2712" s="5" t="str">
        <f>IFERROR(IF(Portafolio_Proyectos!$AQ904="","","Consolidada"),"")</f>
        <v/>
      </c>
      <c r="D2712" s="5" t="str">
        <f>IFERROR(IF(Portafolio_Proyectos!$AQ904="","",Portafolio_Proyectos!$C904),"")</f>
        <v/>
      </c>
      <c r="E2712" s="5" t="str">
        <f>IFERROR(IF(Portafolio_Proyectos!$AQ904="","",Portafolio_Proyectos!$B904),"")</f>
        <v/>
      </c>
      <c r="F2712" s="5" t="str">
        <f>IFERROR(IF(Portafolio_Proyectos!$AQ904="","",Portafolio_Proyectos!$D904),"")</f>
        <v/>
      </c>
      <c r="G2712" s="5" t="str">
        <f>IFERROR(IF(Portafolio_Proyectos!$AQ904="","",Portafolio_Proyectos!$A904),"")</f>
        <v/>
      </c>
      <c r="H2712" s="5" t="str">
        <f>IFERROR(IF(Portafolio_Proyectos!$AQ904="","",Portafolio_Proyectos!$E904),"")</f>
        <v/>
      </c>
    </row>
    <row r="2713" spans="1:8" x14ac:dyDescent="0.35">
      <c r="A2713" s="5" t="str">
        <f>IFERROR(IF(Portafolio_Proyectos!$AR904="","","CAP-"&amp;ROW()-1),"")</f>
        <v/>
      </c>
      <c r="B2713" s="5" t="str">
        <f>IFERROR(IF(Portafolio_Proyectos!$AR904="","",Portafolio_Proyectos!$AR904),"")</f>
        <v/>
      </c>
      <c r="C2713" s="5" t="str">
        <f>IFERROR(IF(Portafolio_Proyectos!$AR904="","","Distintiva"),"")</f>
        <v/>
      </c>
      <c r="D2713" s="5" t="str">
        <f>IFERROR(IF(Portafolio_Proyectos!$AR904="","",Portafolio_Proyectos!$C904),"")</f>
        <v/>
      </c>
      <c r="E2713" s="5" t="str">
        <f>IFERROR(IF(Portafolio_Proyectos!$AR904="","",Portafolio_Proyectos!$B904),"")</f>
        <v/>
      </c>
      <c r="F2713" s="5" t="str">
        <f>IFERROR(IF(Portafolio_Proyectos!$AR904="","",Portafolio_Proyectos!$D904),"")</f>
        <v/>
      </c>
      <c r="G2713" s="5" t="str">
        <f>IFERROR(IF(Portafolio_Proyectos!$AR904="","",Portafolio_Proyectos!$A904),"")</f>
        <v/>
      </c>
      <c r="H2713" s="5" t="str">
        <f>IFERROR(IF(Portafolio_Proyectos!$AR904="","",Portafolio_Proyectos!$E904),"")</f>
        <v/>
      </c>
    </row>
    <row r="2714" spans="1:8" x14ac:dyDescent="0.35">
      <c r="A2714" s="5" t="str">
        <f>IFERROR(IF(Portafolio_Proyectos!$AP905="","","CAP-"&amp;ROW()-1),"")</f>
        <v/>
      </c>
      <c r="B2714" s="5" t="str">
        <f>IFERROR(IF(Portafolio_Proyectos!$AP905="","",Portafolio_Proyectos!$AP905),"")</f>
        <v/>
      </c>
      <c r="C2714" s="5" t="str">
        <f>IFERROR(IF(Portafolio_Proyectos!$AP905="","","Emergente"),"")</f>
        <v/>
      </c>
      <c r="D2714" s="5" t="str">
        <f>IFERROR(IF(Portafolio_Proyectos!$AP905="","",Portafolio_Proyectos!$C905),"")</f>
        <v/>
      </c>
      <c r="E2714" s="5" t="str">
        <f>IFERROR(IF(Portafolio_Proyectos!$AP905="","",Portafolio_Proyectos!$B905),"")</f>
        <v/>
      </c>
      <c r="F2714" s="5" t="str">
        <f>IFERROR(IF(Portafolio_Proyectos!$AP905="","",Portafolio_Proyectos!$D905),"")</f>
        <v/>
      </c>
      <c r="G2714" s="5" t="str">
        <f>IFERROR(IF(Portafolio_Proyectos!$AP905="","",Portafolio_Proyectos!$A905),"")</f>
        <v/>
      </c>
      <c r="H2714" s="5" t="str">
        <f>IFERROR(IF(Portafolio_Proyectos!$AP905="","",Portafolio_Proyectos!$E905),"")</f>
        <v/>
      </c>
    </row>
    <row r="2715" spans="1:8" x14ac:dyDescent="0.35">
      <c r="A2715" s="5" t="str">
        <f>IFERROR(IF(Portafolio_Proyectos!$AQ905="","","CAP-"&amp;ROW()-1),"")</f>
        <v/>
      </c>
      <c r="B2715" s="5" t="str">
        <f>IFERROR(IF(Portafolio_Proyectos!$AQ905="","",Portafolio_Proyectos!$AQ905),"")</f>
        <v/>
      </c>
      <c r="C2715" s="5" t="str">
        <f>IFERROR(IF(Portafolio_Proyectos!$AQ905="","","Consolidada"),"")</f>
        <v/>
      </c>
      <c r="D2715" s="5" t="str">
        <f>IFERROR(IF(Portafolio_Proyectos!$AQ905="","",Portafolio_Proyectos!$C905),"")</f>
        <v/>
      </c>
      <c r="E2715" s="5" t="str">
        <f>IFERROR(IF(Portafolio_Proyectos!$AQ905="","",Portafolio_Proyectos!$B905),"")</f>
        <v/>
      </c>
      <c r="F2715" s="5" t="str">
        <f>IFERROR(IF(Portafolio_Proyectos!$AQ905="","",Portafolio_Proyectos!$D905),"")</f>
        <v/>
      </c>
      <c r="G2715" s="5" t="str">
        <f>IFERROR(IF(Portafolio_Proyectos!$AQ905="","",Portafolio_Proyectos!$A905),"")</f>
        <v/>
      </c>
      <c r="H2715" s="5" t="str">
        <f>IFERROR(IF(Portafolio_Proyectos!$AQ905="","",Portafolio_Proyectos!$E905),"")</f>
        <v/>
      </c>
    </row>
    <row r="2716" spans="1:8" x14ac:dyDescent="0.35">
      <c r="A2716" s="5" t="str">
        <f>IFERROR(IF(Portafolio_Proyectos!$AR905="","","CAP-"&amp;ROW()-1),"")</f>
        <v/>
      </c>
      <c r="B2716" s="5" t="str">
        <f>IFERROR(IF(Portafolio_Proyectos!$AR905="","",Portafolio_Proyectos!$AR905),"")</f>
        <v/>
      </c>
      <c r="C2716" s="5" t="str">
        <f>IFERROR(IF(Portafolio_Proyectos!$AR905="","","Distintiva"),"")</f>
        <v/>
      </c>
      <c r="D2716" s="5" t="str">
        <f>IFERROR(IF(Portafolio_Proyectos!$AR905="","",Portafolio_Proyectos!$C905),"")</f>
        <v/>
      </c>
      <c r="E2716" s="5" t="str">
        <f>IFERROR(IF(Portafolio_Proyectos!$AR905="","",Portafolio_Proyectos!$B905),"")</f>
        <v/>
      </c>
      <c r="F2716" s="5" t="str">
        <f>IFERROR(IF(Portafolio_Proyectos!$AR905="","",Portafolio_Proyectos!$D905),"")</f>
        <v/>
      </c>
      <c r="G2716" s="5" t="str">
        <f>IFERROR(IF(Portafolio_Proyectos!$AR905="","",Portafolio_Proyectos!$A905),"")</f>
        <v/>
      </c>
      <c r="H2716" s="5" t="str">
        <f>IFERROR(IF(Portafolio_Proyectos!$AR905="","",Portafolio_Proyectos!$E905),"")</f>
        <v/>
      </c>
    </row>
    <row r="2717" spans="1:8" x14ac:dyDescent="0.35">
      <c r="A2717" s="5" t="str">
        <f>IFERROR(IF(Portafolio_Proyectos!$AP906="","","CAP-"&amp;ROW()-1),"")</f>
        <v/>
      </c>
      <c r="B2717" s="5" t="str">
        <f>IFERROR(IF(Portafolio_Proyectos!$AP906="","",Portafolio_Proyectos!$AP906),"")</f>
        <v/>
      </c>
      <c r="C2717" s="5" t="str">
        <f>IFERROR(IF(Portafolio_Proyectos!$AP906="","","Emergente"),"")</f>
        <v/>
      </c>
      <c r="D2717" s="5" t="str">
        <f>IFERROR(IF(Portafolio_Proyectos!$AP906="","",Portafolio_Proyectos!$C906),"")</f>
        <v/>
      </c>
      <c r="E2717" s="5" t="str">
        <f>IFERROR(IF(Portafolio_Proyectos!$AP906="","",Portafolio_Proyectos!$B906),"")</f>
        <v/>
      </c>
      <c r="F2717" s="5" t="str">
        <f>IFERROR(IF(Portafolio_Proyectos!$AP906="","",Portafolio_Proyectos!$D906),"")</f>
        <v/>
      </c>
      <c r="G2717" s="5" t="str">
        <f>IFERROR(IF(Portafolio_Proyectos!$AP906="","",Portafolio_Proyectos!$A906),"")</f>
        <v/>
      </c>
      <c r="H2717" s="5" t="str">
        <f>IFERROR(IF(Portafolio_Proyectos!$AP906="","",Portafolio_Proyectos!$E906),"")</f>
        <v/>
      </c>
    </row>
    <row r="2718" spans="1:8" x14ac:dyDescent="0.35">
      <c r="A2718" s="5" t="str">
        <f>IFERROR(IF(Portafolio_Proyectos!$AQ906="","","CAP-"&amp;ROW()-1),"")</f>
        <v/>
      </c>
      <c r="B2718" s="5" t="str">
        <f>IFERROR(IF(Portafolio_Proyectos!$AQ906="","",Portafolio_Proyectos!$AQ906),"")</f>
        <v/>
      </c>
      <c r="C2718" s="5" t="str">
        <f>IFERROR(IF(Portafolio_Proyectos!$AQ906="","","Consolidada"),"")</f>
        <v/>
      </c>
      <c r="D2718" s="5" t="str">
        <f>IFERROR(IF(Portafolio_Proyectos!$AQ906="","",Portafolio_Proyectos!$C906),"")</f>
        <v/>
      </c>
      <c r="E2718" s="5" t="str">
        <f>IFERROR(IF(Portafolio_Proyectos!$AQ906="","",Portafolio_Proyectos!$B906),"")</f>
        <v/>
      </c>
      <c r="F2718" s="5" t="str">
        <f>IFERROR(IF(Portafolio_Proyectos!$AQ906="","",Portafolio_Proyectos!$D906),"")</f>
        <v/>
      </c>
      <c r="G2718" s="5" t="str">
        <f>IFERROR(IF(Portafolio_Proyectos!$AQ906="","",Portafolio_Proyectos!$A906),"")</f>
        <v/>
      </c>
      <c r="H2718" s="5" t="str">
        <f>IFERROR(IF(Portafolio_Proyectos!$AQ906="","",Portafolio_Proyectos!$E906),"")</f>
        <v/>
      </c>
    </row>
    <row r="2719" spans="1:8" x14ac:dyDescent="0.35">
      <c r="A2719" s="5" t="str">
        <f>IFERROR(IF(Portafolio_Proyectos!$AR906="","","CAP-"&amp;ROW()-1),"")</f>
        <v/>
      </c>
      <c r="B2719" s="5" t="str">
        <f>IFERROR(IF(Portafolio_Proyectos!$AR906="","",Portafolio_Proyectos!$AR906),"")</f>
        <v/>
      </c>
      <c r="C2719" s="5" t="str">
        <f>IFERROR(IF(Portafolio_Proyectos!$AR906="","","Distintiva"),"")</f>
        <v/>
      </c>
      <c r="D2719" s="5" t="str">
        <f>IFERROR(IF(Portafolio_Proyectos!$AR906="","",Portafolio_Proyectos!$C906),"")</f>
        <v/>
      </c>
      <c r="E2719" s="5" t="str">
        <f>IFERROR(IF(Portafolio_Proyectos!$AR906="","",Portafolio_Proyectos!$B906),"")</f>
        <v/>
      </c>
      <c r="F2719" s="5" t="str">
        <f>IFERROR(IF(Portafolio_Proyectos!$AR906="","",Portafolio_Proyectos!$D906),"")</f>
        <v/>
      </c>
      <c r="G2719" s="5" t="str">
        <f>IFERROR(IF(Portafolio_Proyectos!$AR906="","",Portafolio_Proyectos!$A906),"")</f>
        <v/>
      </c>
      <c r="H2719" s="5" t="str">
        <f>IFERROR(IF(Portafolio_Proyectos!$AR906="","",Portafolio_Proyectos!$E906),"")</f>
        <v/>
      </c>
    </row>
    <row r="2720" spans="1:8" x14ac:dyDescent="0.35">
      <c r="A2720" s="5" t="str">
        <f>IFERROR(IF(Portafolio_Proyectos!$AP907="","","CAP-"&amp;ROW()-1),"")</f>
        <v/>
      </c>
      <c r="B2720" s="5" t="str">
        <f>IFERROR(IF(Portafolio_Proyectos!$AP907="","",Portafolio_Proyectos!$AP907),"")</f>
        <v/>
      </c>
      <c r="C2720" s="5" t="str">
        <f>IFERROR(IF(Portafolio_Proyectos!$AP907="","","Emergente"),"")</f>
        <v/>
      </c>
      <c r="D2720" s="5" t="str">
        <f>IFERROR(IF(Portafolio_Proyectos!$AP907="","",Portafolio_Proyectos!$C907),"")</f>
        <v/>
      </c>
      <c r="E2720" s="5" t="str">
        <f>IFERROR(IF(Portafolio_Proyectos!$AP907="","",Portafolio_Proyectos!$B907),"")</f>
        <v/>
      </c>
      <c r="F2720" s="5" t="str">
        <f>IFERROR(IF(Portafolio_Proyectos!$AP907="","",Portafolio_Proyectos!$D907),"")</f>
        <v/>
      </c>
      <c r="G2720" s="5" t="str">
        <f>IFERROR(IF(Portafolio_Proyectos!$AP907="","",Portafolio_Proyectos!$A907),"")</f>
        <v/>
      </c>
      <c r="H2720" s="5" t="str">
        <f>IFERROR(IF(Portafolio_Proyectos!$AP907="","",Portafolio_Proyectos!$E907),"")</f>
        <v/>
      </c>
    </row>
    <row r="2721" spans="1:8" x14ac:dyDescent="0.35">
      <c r="A2721" s="5" t="str">
        <f>IFERROR(IF(Portafolio_Proyectos!$AQ907="","","CAP-"&amp;ROW()-1),"")</f>
        <v/>
      </c>
      <c r="B2721" s="5" t="str">
        <f>IFERROR(IF(Portafolio_Proyectos!$AQ907="","",Portafolio_Proyectos!$AQ907),"")</f>
        <v/>
      </c>
      <c r="C2721" s="5" t="str">
        <f>IFERROR(IF(Portafolio_Proyectos!$AQ907="","","Consolidada"),"")</f>
        <v/>
      </c>
      <c r="D2721" s="5" t="str">
        <f>IFERROR(IF(Portafolio_Proyectos!$AQ907="","",Portafolio_Proyectos!$C907),"")</f>
        <v/>
      </c>
      <c r="E2721" s="5" t="str">
        <f>IFERROR(IF(Portafolio_Proyectos!$AQ907="","",Portafolio_Proyectos!$B907),"")</f>
        <v/>
      </c>
      <c r="F2721" s="5" t="str">
        <f>IFERROR(IF(Portafolio_Proyectos!$AQ907="","",Portafolio_Proyectos!$D907),"")</f>
        <v/>
      </c>
      <c r="G2721" s="5" t="str">
        <f>IFERROR(IF(Portafolio_Proyectos!$AQ907="","",Portafolio_Proyectos!$A907),"")</f>
        <v/>
      </c>
      <c r="H2721" s="5" t="str">
        <f>IFERROR(IF(Portafolio_Proyectos!$AQ907="","",Portafolio_Proyectos!$E907),"")</f>
        <v/>
      </c>
    </row>
    <row r="2722" spans="1:8" x14ac:dyDescent="0.35">
      <c r="A2722" s="5" t="str">
        <f>IFERROR(IF(Portafolio_Proyectos!$AR907="","","CAP-"&amp;ROW()-1),"")</f>
        <v/>
      </c>
      <c r="B2722" s="5" t="str">
        <f>IFERROR(IF(Portafolio_Proyectos!$AR907="","",Portafolio_Proyectos!$AR907),"")</f>
        <v/>
      </c>
      <c r="C2722" s="5" t="str">
        <f>IFERROR(IF(Portafolio_Proyectos!$AR907="","","Distintiva"),"")</f>
        <v/>
      </c>
      <c r="D2722" s="5" t="str">
        <f>IFERROR(IF(Portafolio_Proyectos!$AR907="","",Portafolio_Proyectos!$C907),"")</f>
        <v/>
      </c>
      <c r="E2722" s="5" t="str">
        <f>IFERROR(IF(Portafolio_Proyectos!$AR907="","",Portafolio_Proyectos!$B907),"")</f>
        <v/>
      </c>
      <c r="F2722" s="5" t="str">
        <f>IFERROR(IF(Portafolio_Proyectos!$AR907="","",Portafolio_Proyectos!$D907),"")</f>
        <v/>
      </c>
      <c r="G2722" s="5" t="str">
        <f>IFERROR(IF(Portafolio_Proyectos!$AR907="","",Portafolio_Proyectos!$A907),"")</f>
        <v/>
      </c>
      <c r="H2722" s="5" t="str">
        <f>IFERROR(IF(Portafolio_Proyectos!$AR907="","",Portafolio_Proyectos!$E907),"")</f>
        <v/>
      </c>
    </row>
    <row r="2723" spans="1:8" x14ac:dyDescent="0.35">
      <c r="A2723" s="5" t="str">
        <f>IFERROR(IF(Portafolio_Proyectos!$AP908="","","CAP-"&amp;ROW()-1),"")</f>
        <v/>
      </c>
      <c r="B2723" s="5" t="str">
        <f>IFERROR(IF(Portafolio_Proyectos!$AP908="","",Portafolio_Proyectos!$AP908),"")</f>
        <v/>
      </c>
      <c r="C2723" s="5" t="str">
        <f>IFERROR(IF(Portafolio_Proyectos!$AP908="","","Emergente"),"")</f>
        <v/>
      </c>
      <c r="D2723" s="5" t="str">
        <f>IFERROR(IF(Portafolio_Proyectos!$AP908="","",Portafolio_Proyectos!$C908),"")</f>
        <v/>
      </c>
      <c r="E2723" s="5" t="str">
        <f>IFERROR(IF(Portafolio_Proyectos!$AP908="","",Portafolio_Proyectos!$B908),"")</f>
        <v/>
      </c>
      <c r="F2723" s="5" t="str">
        <f>IFERROR(IF(Portafolio_Proyectos!$AP908="","",Portafolio_Proyectos!$D908),"")</f>
        <v/>
      </c>
      <c r="G2723" s="5" t="str">
        <f>IFERROR(IF(Portafolio_Proyectos!$AP908="","",Portafolio_Proyectos!$A908),"")</f>
        <v/>
      </c>
      <c r="H2723" s="5" t="str">
        <f>IFERROR(IF(Portafolio_Proyectos!$AP908="","",Portafolio_Proyectos!$E908),"")</f>
        <v/>
      </c>
    </row>
    <row r="2724" spans="1:8" x14ac:dyDescent="0.35">
      <c r="A2724" s="5" t="str">
        <f>IFERROR(IF(Portafolio_Proyectos!$AQ908="","","CAP-"&amp;ROW()-1),"")</f>
        <v/>
      </c>
      <c r="B2724" s="5" t="str">
        <f>IFERROR(IF(Portafolio_Proyectos!$AQ908="","",Portafolio_Proyectos!$AQ908),"")</f>
        <v/>
      </c>
      <c r="C2724" s="5" t="str">
        <f>IFERROR(IF(Portafolio_Proyectos!$AQ908="","","Consolidada"),"")</f>
        <v/>
      </c>
      <c r="D2724" s="5" t="str">
        <f>IFERROR(IF(Portafolio_Proyectos!$AQ908="","",Portafolio_Proyectos!$C908),"")</f>
        <v/>
      </c>
      <c r="E2724" s="5" t="str">
        <f>IFERROR(IF(Portafolio_Proyectos!$AQ908="","",Portafolio_Proyectos!$B908),"")</f>
        <v/>
      </c>
      <c r="F2724" s="5" t="str">
        <f>IFERROR(IF(Portafolio_Proyectos!$AQ908="","",Portafolio_Proyectos!$D908),"")</f>
        <v/>
      </c>
      <c r="G2724" s="5" t="str">
        <f>IFERROR(IF(Portafolio_Proyectos!$AQ908="","",Portafolio_Proyectos!$A908),"")</f>
        <v/>
      </c>
      <c r="H2724" s="5" t="str">
        <f>IFERROR(IF(Portafolio_Proyectos!$AQ908="","",Portafolio_Proyectos!$E908),"")</f>
        <v/>
      </c>
    </row>
    <row r="2725" spans="1:8" x14ac:dyDescent="0.35">
      <c r="A2725" s="5" t="str">
        <f>IFERROR(IF(Portafolio_Proyectos!$AR908="","","CAP-"&amp;ROW()-1),"")</f>
        <v/>
      </c>
      <c r="B2725" s="5" t="str">
        <f>IFERROR(IF(Portafolio_Proyectos!$AR908="","",Portafolio_Proyectos!$AR908),"")</f>
        <v/>
      </c>
      <c r="C2725" s="5" t="str">
        <f>IFERROR(IF(Portafolio_Proyectos!$AR908="","","Distintiva"),"")</f>
        <v/>
      </c>
      <c r="D2725" s="5" t="str">
        <f>IFERROR(IF(Portafolio_Proyectos!$AR908="","",Portafolio_Proyectos!$C908),"")</f>
        <v/>
      </c>
      <c r="E2725" s="5" t="str">
        <f>IFERROR(IF(Portafolio_Proyectos!$AR908="","",Portafolio_Proyectos!$B908),"")</f>
        <v/>
      </c>
      <c r="F2725" s="5" t="str">
        <f>IFERROR(IF(Portafolio_Proyectos!$AR908="","",Portafolio_Proyectos!$D908),"")</f>
        <v/>
      </c>
      <c r="G2725" s="5" t="str">
        <f>IFERROR(IF(Portafolio_Proyectos!$AR908="","",Portafolio_Proyectos!$A908),"")</f>
        <v/>
      </c>
      <c r="H2725" s="5" t="str">
        <f>IFERROR(IF(Portafolio_Proyectos!$AR908="","",Portafolio_Proyectos!$E908),"")</f>
        <v/>
      </c>
    </row>
    <row r="2726" spans="1:8" x14ac:dyDescent="0.35">
      <c r="A2726" s="5" t="str">
        <f>IFERROR(IF(Portafolio_Proyectos!$AP909="","","CAP-"&amp;ROW()-1),"")</f>
        <v/>
      </c>
      <c r="B2726" s="5" t="str">
        <f>IFERROR(IF(Portafolio_Proyectos!$AP909="","",Portafolio_Proyectos!$AP909),"")</f>
        <v/>
      </c>
      <c r="C2726" s="5" t="str">
        <f>IFERROR(IF(Portafolio_Proyectos!$AP909="","","Emergente"),"")</f>
        <v/>
      </c>
      <c r="D2726" s="5" t="str">
        <f>IFERROR(IF(Portafolio_Proyectos!$AP909="","",Portafolio_Proyectos!$C909),"")</f>
        <v/>
      </c>
      <c r="E2726" s="5" t="str">
        <f>IFERROR(IF(Portafolio_Proyectos!$AP909="","",Portafolio_Proyectos!$B909),"")</f>
        <v/>
      </c>
      <c r="F2726" s="5" t="str">
        <f>IFERROR(IF(Portafolio_Proyectos!$AP909="","",Portafolio_Proyectos!$D909),"")</f>
        <v/>
      </c>
      <c r="G2726" s="5" t="str">
        <f>IFERROR(IF(Portafolio_Proyectos!$AP909="","",Portafolio_Proyectos!$A909),"")</f>
        <v/>
      </c>
      <c r="H2726" s="5" t="str">
        <f>IFERROR(IF(Portafolio_Proyectos!$AP909="","",Portafolio_Proyectos!$E909),"")</f>
        <v/>
      </c>
    </row>
    <row r="2727" spans="1:8" x14ac:dyDescent="0.35">
      <c r="A2727" s="5" t="str">
        <f>IFERROR(IF(Portafolio_Proyectos!$AQ909="","","CAP-"&amp;ROW()-1),"")</f>
        <v/>
      </c>
      <c r="B2727" s="5" t="str">
        <f>IFERROR(IF(Portafolio_Proyectos!$AQ909="","",Portafolio_Proyectos!$AQ909),"")</f>
        <v/>
      </c>
      <c r="C2727" s="5" t="str">
        <f>IFERROR(IF(Portafolio_Proyectos!$AQ909="","","Consolidada"),"")</f>
        <v/>
      </c>
      <c r="D2727" s="5" t="str">
        <f>IFERROR(IF(Portafolio_Proyectos!$AQ909="","",Portafolio_Proyectos!$C909),"")</f>
        <v/>
      </c>
      <c r="E2727" s="5" t="str">
        <f>IFERROR(IF(Portafolio_Proyectos!$AQ909="","",Portafolio_Proyectos!$B909),"")</f>
        <v/>
      </c>
      <c r="F2727" s="5" t="str">
        <f>IFERROR(IF(Portafolio_Proyectos!$AQ909="","",Portafolio_Proyectos!$D909),"")</f>
        <v/>
      </c>
      <c r="G2727" s="5" t="str">
        <f>IFERROR(IF(Portafolio_Proyectos!$AQ909="","",Portafolio_Proyectos!$A909),"")</f>
        <v/>
      </c>
      <c r="H2727" s="5" t="str">
        <f>IFERROR(IF(Portafolio_Proyectos!$AQ909="","",Portafolio_Proyectos!$E909),"")</f>
        <v/>
      </c>
    </row>
    <row r="2728" spans="1:8" x14ac:dyDescent="0.35">
      <c r="A2728" s="5" t="str">
        <f>IFERROR(IF(Portafolio_Proyectos!$AR909="","","CAP-"&amp;ROW()-1),"")</f>
        <v/>
      </c>
      <c r="B2728" s="5" t="str">
        <f>IFERROR(IF(Portafolio_Proyectos!$AR909="","",Portafolio_Proyectos!$AR909),"")</f>
        <v/>
      </c>
      <c r="C2728" s="5" t="str">
        <f>IFERROR(IF(Portafolio_Proyectos!$AR909="","","Distintiva"),"")</f>
        <v/>
      </c>
      <c r="D2728" s="5" t="str">
        <f>IFERROR(IF(Portafolio_Proyectos!$AR909="","",Portafolio_Proyectos!$C909),"")</f>
        <v/>
      </c>
      <c r="E2728" s="5" t="str">
        <f>IFERROR(IF(Portafolio_Proyectos!$AR909="","",Portafolio_Proyectos!$B909),"")</f>
        <v/>
      </c>
      <c r="F2728" s="5" t="str">
        <f>IFERROR(IF(Portafolio_Proyectos!$AR909="","",Portafolio_Proyectos!$D909),"")</f>
        <v/>
      </c>
      <c r="G2728" s="5" t="str">
        <f>IFERROR(IF(Portafolio_Proyectos!$AR909="","",Portafolio_Proyectos!$A909),"")</f>
        <v/>
      </c>
      <c r="H2728" s="5" t="str">
        <f>IFERROR(IF(Portafolio_Proyectos!$AR909="","",Portafolio_Proyectos!$E909),"")</f>
        <v/>
      </c>
    </row>
    <row r="2729" spans="1:8" x14ac:dyDescent="0.35">
      <c r="A2729" s="5" t="str">
        <f>IFERROR(IF(Portafolio_Proyectos!$AP910="","","CAP-"&amp;ROW()-1),"")</f>
        <v/>
      </c>
      <c r="B2729" s="5" t="str">
        <f>IFERROR(IF(Portafolio_Proyectos!$AP910="","",Portafolio_Proyectos!$AP910),"")</f>
        <v/>
      </c>
      <c r="C2729" s="5" t="str">
        <f>IFERROR(IF(Portafolio_Proyectos!$AP910="","","Emergente"),"")</f>
        <v/>
      </c>
      <c r="D2729" s="5" t="str">
        <f>IFERROR(IF(Portafolio_Proyectos!$AP910="","",Portafolio_Proyectos!$C910),"")</f>
        <v/>
      </c>
      <c r="E2729" s="5" t="str">
        <f>IFERROR(IF(Portafolio_Proyectos!$AP910="","",Portafolio_Proyectos!$B910),"")</f>
        <v/>
      </c>
      <c r="F2729" s="5" t="str">
        <f>IFERROR(IF(Portafolio_Proyectos!$AP910="","",Portafolio_Proyectos!$D910),"")</f>
        <v/>
      </c>
      <c r="G2729" s="5" t="str">
        <f>IFERROR(IF(Portafolio_Proyectos!$AP910="","",Portafolio_Proyectos!$A910),"")</f>
        <v/>
      </c>
      <c r="H2729" s="5" t="str">
        <f>IFERROR(IF(Portafolio_Proyectos!$AP910="","",Portafolio_Proyectos!$E910),"")</f>
        <v/>
      </c>
    </row>
    <row r="2730" spans="1:8" x14ac:dyDescent="0.35">
      <c r="A2730" s="5" t="str">
        <f>IFERROR(IF(Portafolio_Proyectos!$AQ910="","","CAP-"&amp;ROW()-1),"")</f>
        <v/>
      </c>
      <c r="B2730" s="5" t="str">
        <f>IFERROR(IF(Portafolio_Proyectos!$AQ910="","",Portafolio_Proyectos!$AQ910),"")</f>
        <v/>
      </c>
      <c r="C2730" s="5" t="str">
        <f>IFERROR(IF(Portafolio_Proyectos!$AQ910="","","Consolidada"),"")</f>
        <v/>
      </c>
      <c r="D2730" s="5" t="str">
        <f>IFERROR(IF(Portafolio_Proyectos!$AQ910="","",Portafolio_Proyectos!$C910),"")</f>
        <v/>
      </c>
      <c r="E2730" s="5" t="str">
        <f>IFERROR(IF(Portafolio_Proyectos!$AQ910="","",Portafolio_Proyectos!$B910),"")</f>
        <v/>
      </c>
      <c r="F2730" s="5" t="str">
        <f>IFERROR(IF(Portafolio_Proyectos!$AQ910="","",Portafolio_Proyectos!$D910),"")</f>
        <v/>
      </c>
      <c r="G2730" s="5" t="str">
        <f>IFERROR(IF(Portafolio_Proyectos!$AQ910="","",Portafolio_Proyectos!$A910),"")</f>
        <v/>
      </c>
      <c r="H2730" s="5" t="str">
        <f>IFERROR(IF(Portafolio_Proyectos!$AQ910="","",Portafolio_Proyectos!$E910),"")</f>
        <v/>
      </c>
    </row>
    <row r="2731" spans="1:8" x14ac:dyDescent="0.35">
      <c r="A2731" s="5" t="str">
        <f>IFERROR(IF(Portafolio_Proyectos!$AR910="","","CAP-"&amp;ROW()-1),"")</f>
        <v/>
      </c>
      <c r="B2731" s="5" t="str">
        <f>IFERROR(IF(Portafolio_Proyectos!$AR910="","",Portafolio_Proyectos!$AR910),"")</f>
        <v/>
      </c>
      <c r="C2731" s="5" t="str">
        <f>IFERROR(IF(Portafolio_Proyectos!$AR910="","","Distintiva"),"")</f>
        <v/>
      </c>
      <c r="D2731" s="5" t="str">
        <f>IFERROR(IF(Portafolio_Proyectos!$AR910="","",Portafolio_Proyectos!$C910),"")</f>
        <v/>
      </c>
      <c r="E2731" s="5" t="str">
        <f>IFERROR(IF(Portafolio_Proyectos!$AR910="","",Portafolio_Proyectos!$B910),"")</f>
        <v/>
      </c>
      <c r="F2731" s="5" t="str">
        <f>IFERROR(IF(Portafolio_Proyectos!$AR910="","",Portafolio_Proyectos!$D910),"")</f>
        <v/>
      </c>
      <c r="G2731" s="5" t="str">
        <f>IFERROR(IF(Portafolio_Proyectos!$AR910="","",Portafolio_Proyectos!$A910),"")</f>
        <v/>
      </c>
      <c r="H2731" s="5" t="str">
        <f>IFERROR(IF(Portafolio_Proyectos!$AR910="","",Portafolio_Proyectos!$E910),"")</f>
        <v/>
      </c>
    </row>
    <row r="2732" spans="1:8" x14ac:dyDescent="0.35">
      <c r="A2732" s="5" t="str">
        <f>IFERROR(IF(Portafolio_Proyectos!$AP911="","","CAP-"&amp;ROW()-1),"")</f>
        <v/>
      </c>
      <c r="B2732" s="5" t="str">
        <f>IFERROR(IF(Portafolio_Proyectos!$AP911="","",Portafolio_Proyectos!$AP911),"")</f>
        <v/>
      </c>
      <c r="C2732" s="5" t="str">
        <f>IFERROR(IF(Portafolio_Proyectos!$AP911="","","Emergente"),"")</f>
        <v/>
      </c>
      <c r="D2732" s="5" t="str">
        <f>IFERROR(IF(Portafolio_Proyectos!$AP911="","",Portafolio_Proyectos!$C911),"")</f>
        <v/>
      </c>
      <c r="E2732" s="5" t="str">
        <f>IFERROR(IF(Portafolio_Proyectos!$AP911="","",Portafolio_Proyectos!$B911),"")</f>
        <v/>
      </c>
      <c r="F2732" s="5" t="str">
        <f>IFERROR(IF(Portafolio_Proyectos!$AP911="","",Portafolio_Proyectos!$D911),"")</f>
        <v/>
      </c>
      <c r="G2732" s="5" t="str">
        <f>IFERROR(IF(Portafolio_Proyectos!$AP911="","",Portafolio_Proyectos!$A911),"")</f>
        <v/>
      </c>
      <c r="H2732" s="5" t="str">
        <f>IFERROR(IF(Portafolio_Proyectos!$AP911="","",Portafolio_Proyectos!$E911),"")</f>
        <v/>
      </c>
    </row>
    <row r="2733" spans="1:8" x14ac:dyDescent="0.35">
      <c r="A2733" s="5" t="str">
        <f>IFERROR(IF(Portafolio_Proyectos!$AQ911="","","CAP-"&amp;ROW()-1),"")</f>
        <v/>
      </c>
      <c r="B2733" s="5" t="str">
        <f>IFERROR(IF(Portafolio_Proyectos!$AQ911="","",Portafolio_Proyectos!$AQ911),"")</f>
        <v/>
      </c>
      <c r="C2733" s="5" t="str">
        <f>IFERROR(IF(Portafolio_Proyectos!$AQ911="","","Consolidada"),"")</f>
        <v/>
      </c>
      <c r="D2733" s="5" t="str">
        <f>IFERROR(IF(Portafolio_Proyectos!$AQ911="","",Portafolio_Proyectos!$C911),"")</f>
        <v/>
      </c>
      <c r="E2733" s="5" t="str">
        <f>IFERROR(IF(Portafolio_Proyectos!$AQ911="","",Portafolio_Proyectos!$B911),"")</f>
        <v/>
      </c>
      <c r="F2733" s="5" t="str">
        <f>IFERROR(IF(Portafolio_Proyectos!$AQ911="","",Portafolio_Proyectos!$D911),"")</f>
        <v/>
      </c>
      <c r="G2733" s="5" t="str">
        <f>IFERROR(IF(Portafolio_Proyectos!$AQ911="","",Portafolio_Proyectos!$A911),"")</f>
        <v/>
      </c>
      <c r="H2733" s="5" t="str">
        <f>IFERROR(IF(Portafolio_Proyectos!$AQ911="","",Portafolio_Proyectos!$E911),"")</f>
        <v/>
      </c>
    </row>
    <row r="2734" spans="1:8" x14ac:dyDescent="0.35">
      <c r="A2734" s="5" t="str">
        <f>IFERROR(IF(Portafolio_Proyectos!$AR911="","","CAP-"&amp;ROW()-1),"")</f>
        <v/>
      </c>
      <c r="B2734" s="5" t="str">
        <f>IFERROR(IF(Portafolio_Proyectos!$AR911="","",Portafolio_Proyectos!$AR911),"")</f>
        <v/>
      </c>
      <c r="C2734" s="5" t="str">
        <f>IFERROR(IF(Portafolio_Proyectos!$AR911="","","Distintiva"),"")</f>
        <v/>
      </c>
      <c r="D2734" s="5" t="str">
        <f>IFERROR(IF(Portafolio_Proyectos!$AR911="","",Portafolio_Proyectos!$C911),"")</f>
        <v/>
      </c>
      <c r="E2734" s="5" t="str">
        <f>IFERROR(IF(Portafolio_Proyectos!$AR911="","",Portafolio_Proyectos!$B911),"")</f>
        <v/>
      </c>
      <c r="F2734" s="5" t="str">
        <f>IFERROR(IF(Portafolio_Proyectos!$AR911="","",Portafolio_Proyectos!$D911),"")</f>
        <v/>
      </c>
      <c r="G2734" s="5" t="str">
        <f>IFERROR(IF(Portafolio_Proyectos!$AR911="","",Portafolio_Proyectos!$A911),"")</f>
        <v/>
      </c>
      <c r="H2734" s="5" t="str">
        <f>IFERROR(IF(Portafolio_Proyectos!$AR911="","",Portafolio_Proyectos!$E911),"")</f>
        <v/>
      </c>
    </row>
    <row r="2735" spans="1:8" x14ac:dyDescent="0.35">
      <c r="A2735" s="5" t="str">
        <f>IFERROR(IF(Portafolio_Proyectos!$AP912="","","CAP-"&amp;ROW()-1),"")</f>
        <v/>
      </c>
      <c r="B2735" s="5" t="str">
        <f>IFERROR(IF(Portafolio_Proyectos!$AP912="","",Portafolio_Proyectos!$AP912),"")</f>
        <v/>
      </c>
      <c r="C2735" s="5" t="str">
        <f>IFERROR(IF(Portafolio_Proyectos!$AP912="","","Emergente"),"")</f>
        <v/>
      </c>
      <c r="D2735" s="5" t="str">
        <f>IFERROR(IF(Portafolio_Proyectos!$AP912="","",Portafolio_Proyectos!$C912),"")</f>
        <v/>
      </c>
      <c r="E2735" s="5" t="str">
        <f>IFERROR(IF(Portafolio_Proyectos!$AP912="","",Portafolio_Proyectos!$B912),"")</f>
        <v/>
      </c>
      <c r="F2735" s="5" t="str">
        <f>IFERROR(IF(Portafolio_Proyectos!$AP912="","",Portafolio_Proyectos!$D912),"")</f>
        <v/>
      </c>
      <c r="G2735" s="5" t="str">
        <f>IFERROR(IF(Portafolio_Proyectos!$AP912="","",Portafolio_Proyectos!$A912),"")</f>
        <v/>
      </c>
      <c r="H2735" s="5" t="str">
        <f>IFERROR(IF(Portafolio_Proyectos!$AP912="","",Portafolio_Proyectos!$E912),"")</f>
        <v/>
      </c>
    </row>
    <row r="2736" spans="1:8" x14ac:dyDescent="0.35">
      <c r="A2736" s="5" t="str">
        <f>IFERROR(IF(Portafolio_Proyectos!$AQ912="","","CAP-"&amp;ROW()-1),"")</f>
        <v/>
      </c>
      <c r="B2736" s="5" t="str">
        <f>IFERROR(IF(Portafolio_Proyectos!$AQ912="","",Portafolio_Proyectos!$AQ912),"")</f>
        <v/>
      </c>
      <c r="C2736" s="5" t="str">
        <f>IFERROR(IF(Portafolio_Proyectos!$AQ912="","","Consolidada"),"")</f>
        <v/>
      </c>
      <c r="D2736" s="5" t="str">
        <f>IFERROR(IF(Portafolio_Proyectos!$AQ912="","",Portafolio_Proyectos!$C912),"")</f>
        <v/>
      </c>
      <c r="E2736" s="5" t="str">
        <f>IFERROR(IF(Portafolio_Proyectos!$AQ912="","",Portafolio_Proyectos!$B912),"")</f>
        <v/>
      </c>
      <c r="F2736" s="5" t="str">
        <f>IFERROR(IF(Portafolio_Proyectos!$AQ912="","",Portafolio_Proyectos!$D912),"")</f>
        <v/>
      </c>
      <c r="G2736" s="5" t="str">
        <f>IFERROR(IF(Portafolio_Proyectos!$AQ912="","",Portafolio_Proyectos!$A912),"")</f>
        <v/>
      </c>
      <c r="H2736" s="5" t="str">
        <f>IFERROR(IF(Portafolio_Proyectos!$AQ912="","",Portafolio_Proyectos!$E912),"")</f>
        <v/>
      </c>
    </row>
    <row r="2737" spans="1:8" x14ac:dyDescent="0.35">
      <c r="A2737" s="5" t="str">
        <f>IFERROR(IF(Portafolio_Proyectos!$AR912="","","CAP-"&amp;ROW()-1),"")</f>
        <v/>
      </c>
      <c r="B2737" s="5" t="str">
        <f>IFERROR(IF(Portafolio_Proyectos!$AR912="","",Portafolio_Proyectos!$AR912),"")</f>
        <v/>
      </c>
      <c r="C2737" s="5" t="str">
        <f>IFERROR(IF(Portafolio_Proyectos!$AR912="","","Distintiva"),"")</f>
        <v/>
      </c>
      <c r="D2737" s="5" t="str">
        <f>IFERROR(IF(Portafolio_Proyectos!$AR912="","",Portafolio_Proyectos!$C912),"")</f>
        <v/>
      </c>
      <c r="E2737" s="5" t="str">
        <f>IFERROR(IF(Portafolio_Proyectos!$AR912="","",Portafolio_Proyectos!$B912),"")</f>
        <v/>
      </c>
      <c r="F2737" s="5" t="str">
        <f>IFERROR(IF(Portafolio_Proyectos!$AR912="","",Portafolio_Proyectos!$D912),"")</f>
        <v/>
      </c>
      <c r="G2737" s="5" t="str">
        <f>IFERROR(IF(Portafolio_Proyectos!$AR912="","",Portafolio_Proyectos!$A912),"")</f>
        <v/>
      </c>
      <c r="H2737" s="5" t="str">
        <f>IFERROR(IF(Portafolio_Proyectos!$AR912="","",Portafolio_Proyectos!$E912),"")</f>
        <v/>
      </c>
    </row>
    <row r="2738" spans="1:8" x14ac:dyDescent="0.35">
      <c r="A2738" s="5" t="str">
        <f>IFERROR(IF(Portafolio_Proyectos!$AP913="","","CAP-"&amp;ROW()-1),"")</f>
        <v/>
      </c>
      <c r="B2738" s="5" t="str">
        <f>IFERROR(IF(Portafolio_Proyectos!$AP913="","",Portafolio_Proyectos!$AP913),"")</f>
        <v/>
      </c>
      <c r="C2738" s="5" t="str">
        <f>IFERROR(IF(Portafolio_Proyectos!$AP913="","","Emergente"),"")</f>
        <v/>
      </c>
      <c r="D2738" s="5" t="str">
        <f>IFERROR(IF(Portafolio_Proyectos!$AP913="","",Portafolio_Proyectos!$C913),"")</f>
        <v/>
      </c>
      <c r="E2738" s="5" t="str">
        <f>IFERROR(IF(Portafolio_Proyectos!$AP913="","",Portafolio_Proyectos!$B913),"")</f>
        <v/>
      </c>
      <c r="F2738" s="5" t="str">
        <f>IFERROR(IF(Portafolio_Proyectos!$AP913="","",Portafolio_Proyectos!$D913),"")</f>
        <v/>
      </c>
      <c r="G2738" s="5" t="str">
        <f>IFERROR(IF(Portafolio_Proyectos!$AP913="","",Portafolio_Proyectos!$A913),"")</f>
        <v/>
      </c>
      <c r="H2738" s="5" t="str">
        <f>IFERROR(IF(Portafolio_Proyectos!$AP913="","",Portafolio_Proyectos!$E913),"")</f>
        <v/>
      </c>
    </row>
    <row r="2739" spans="1:8" x14ac:dyDescent="0.35">
      <c r="A2739" s="5" t="str">
        <f>IFERROR(IF(Portafolio_Proyectos!$AQ913="","","CAP-"&amp;ROW()-1),"")</f>
        <v/>
      </c>
      <c r="B2739" s="5" t="str">
        <f>IFERROR(IF(Portafolio_Proyectos!$AQ913="","",Portafolio_Proyectos!$AQ913),"")</f>
        <v/>
      </c>
      <c r="C2739" s="5" t="str">
        <f>IFERROR(IF(Portafolio_Proyectos!$AQ913="","","Consolidada"),"")</f>
        <v/>
      </c>
      <c r="D2739" s="5" t="str">
        <f>IFERROR(IF(Portafolio_Proyectos!$AQ913="","",Portafolio_Proyectos!$C913),"")</f>
        <v/>
      </c>
      <c r="E2739" s="5" t="str">
        <f>IFERROR(IF(Portafolio_Proyectos!$AQ913="","",Portafolio_Proyectos!$B913),"")</f>
        <v/>
      </c>
      <c r="F2739" s="5" t="str">
        <f>IFERROR(IF(Portafolio_Proyectos!$AQ913="","",Portafolio_Proyectos!$D913),"")</f>
        <v/>
      </c>
      <c r="G2739" s="5" t="str">
        <f>IFERROR(IF(Portafolio_Proyectos!$AQ913="","",Portafolio_Proyectos!$A913),"")</f>
        <v/>
      </c>
      <c r="H2739" s="5" t="str">
        <f>IFERROR(IF(Portafolio_Proyectos!$AQ913="","",Portafolio_Proyectos!$E913),"")</f>
        <v/>
      </c>
    </row>
    <row r="2740" spans="1:8" x14ac:dyDescent="0.35">
      <c r="A2740" s="5" t="str">
        <f>IFERROR(IF(Portafolio_Proyectos!$AR913="","","CAP-"&amp;ROW()-1),"")</f>
        <v/>
      </c>
      <c r="B2740" s="5" t="str">
        <f>IFERROR(IF(Portafolio_Proyectos!$AR913="","",Portafolio_Proyectos!$AR913),"")</f>
        <v/>
      </c>
      <c r="C2740" s="5" t="str">
        <f>IFERROR(IF(Portafolio_Proyectos!$AR913="","","Distintiva"),"")</f>
        <v/>
      </c>
      <c r="D2740" s="5" t="str">
        <f>IFERROR(IF(Portafolio_Proyectos!$AR913="","",Portafolio_Proyectos!$C913),"")</f>
        <v/>
      </c>
      <c r="E2740" s="5" t="str">
        <f>IFERROR(IF(Portafolio_Proyectos!$AR913="","",Portafolio_Proyectos!$B913),"")</f>
        <v/>
      </c>
      <c r="F2740" s="5" t="str">
        <f>IFERROR(IF(Portafolio_Proyectos!$AR913="","",Portafolio_Proyectos!$D913),"")</f>
        <v/>
      </c>
      <c r="G2740" s="5" t="str">
        <f>IFERROR(IF(Portafolio_Proyectos!$AR913="","",Portafolio_Proyectos!$A913),"")</f>
        <v/>
      </c>
      <c r="H2740" s="5" t="str">
        <f>IFERROR(IF(Portafolio_Proyectos!$AR913="","",Portafolio_Proyectos!$E913),"")</f>
        <v/>
      </c>
    </row>
    <row r="2741" spans="1:8" x14ac:dyDescent="0.35">
      <c r="A2741" s="5" t="str">
        <f>IFERROR(IF(Portafolio_Proyectos!$AP914="","","CAP-"&amp;ROW()-1),"")</f>
        <v/>
      </c>
      <c r="B2741" s="5" t="str">
        <f>IFERROR(IF(Portafolio_Proyectos!$AP914="","",Portafolio_Proyectos!$AP914),"")</f>
        <v/>
      </c>
      <c r="C2741" s="5" t="str">
        <f>IFERROR(IF(Portafolio_Proyectos!$AP914="","","Emergente"),"")</f>
        <v/>
      </c>
      <c r="D2741" s="5" t="str">
        <f>IFERROR(IF(Portafolio_Proyectos!$AP914="","",Portafolio_Proyectos!$C914),"")</f>
        <v/>
      </c>
      <c r="E2741" s="5" t="str">
        <f>IFERROR(IF(Portafolio_Proyectos!$AP914="","",Portafolio_Proyectos!$B914),"")</f>
        <v/>
      </c>
      <c r="F2741" s="5" t="str">
        <f>IFERROR(IF(Portafolio_Proyectos!$AP914="","",Portafolio_Proyectos!$D914),"")</f>
        <v/>
      </c>
      <c r="G2741" s="5" t="str">
        <f>IFERROR(IF(Portafolio_Proyectos!$AP914="","",Portafolio_Proyectos!$A914),"")</f>
        <v/>
      </c>
      <c r="H2741" s="5" t="str">
        <f>IFERROR(IF(Portafolio_Proyectos!$AP914="","",Portafolio_Proyectos!$E914),"")</f>
        <v/>
      </c>
    </row>
    <row r="2742" spans="1:8" x14ac:dyDescent="0.35">
      <c r="A2742" s="5" t="str">
        <f>IFERROR(IF(Portafolio_Proyectos!$AQ914="","","CAP-"&amp;ROW()-1),"")</f>
        <v/>
      </c>
      <c r="B2742" s="5" t="str">
        <f>IFERROR(IF(Portafolio_Proyectos!$AQ914="","",Portafolio_Proyectos!$AQ914),"")</f>
        <v/>
      </c>
      <c r="C2742" s="5" t="str">
        <f>IFERROR(IF(Portafolio_Proyectos!$AQ914="","","Consolidada"),"")</f>
        <v/>
      </c>
      <c r="D2742" s="5" t="str">
        <f>IFERROR(IF(Portafolio_Proyectos!$AQ914="","",Portafolio_Proyectos!$C914),"")</f>
        <v/>
      </c>
      <c r="E2742" s="5" t="str">
        <f>IFERROR(IF(Portafolio_Proyectos!$AQ914="","",Portafolio_Proyectos!$B914),"")</f>
        <v/>
      </c>
      <c r="F2742" s="5" t="str">
        <f>IFERROR(IF(Portafolio_Proyectos!$AQ914="","",Portafolio_Proyectos!$D914),"")</f>
        <v/>
      </c>
      <c r="G2742" s="5" t="str">
        <f>IFERROR(IF(Portafolio_Proyectos!$AQ914="","",Portafolio_Proyectos!$A914),"")</f>
        <v/>
      </c>
      <c r="H2742" s="5" t="str">
        <f>IFERROR(IF(Portafolio_Proyectos!$AQ914="","",Portafolio_Proyectos!$E914),"")</f>
        <v/>
      </c>
    </row>
    <row r="2743" spans="1:8" x14ac:dyDescent="0.35">
      <c r="A2743" s="5" t="str">
        <f>IFERROR(IF(Portafolio_Proyectos!$AR914="","","CAP-"&amp;ROW()-1),"")</f>
        <v/>
      </c>
      <c r="B2743" s="5" t="str">
        <f>IFERROR(IF(Portafolio_Proyectos!$AR914="","",Portafolio_Proyectos!$AR914),"")</f>
        <v/>
      </c>
      <c r="C2743" s="5" t="str">
        <f>IFERROR(IF(Portafolio_Proyectos!$AR914="","","Distintiva"),"")</f>
        <v/>
      </c>
      <c r="D2743" s="5" t="str">
        <f>IFERROR(IF(Portafolio_Proyectos!$AR914="","",Portafolio_Proyectos!$C914),"")</f>
        <v/>
      </c>
      <c r="E2743" s="5" t="str">
        <f>IFERROR(IF(Portafolio_Proyectos!$AR914="","",Portafolio_Proyectos!$B914),"")</f>
        <v/>
      </c>
      <c r="F2743" s="5" t="str">
        <f>IFERROR(IF(Portafolio_Proyectos!$AR914="","",Portafolio_Proyectos!$D914),"")</f>
        <v/>
      </c>
      <c r="G2743" s="5" t="str">
        <f>IFERROR(IF(Portafolio_Proyectos!$AR914="","",Portafolio_Proyectos!$A914),"")</f>
        <v/>
      </c>
      <c r="H2743" s="5" t="str">
        <f>IFERROR(IF(Portafolio_Proyectos!$AR914="","",Portafolio_Proyectos!$E914),"")</f>
        <v/>
      </c>
    </row>
    <row r="2744" spans="1:8" x14ac:dyDescent="0.35">
      <c r="A2744" s="5" t="str">
        <f>IFERROR(IF(Portafolio_Proyectos!$AP915="","","CAP-"&amp;ROW()-1),"")</f>
        <v/>
      </c>
      <c r="B2744" s="5" t="str">
        <f>IFERROR(IF(Portafolio_Proyectos!$AP915="","",Portafolio_Proyectos!$AP915),"")</f>
        <v/>
      </c>
      <c r="C2744" s="5" t="str">
        <f>IFERROR(IF(Portafolio_Proyectos!$AP915="","","Emergente"),"")</f>
        <v/>
      </c>
      <c r="D2744" s="5" t="str">
        <f>IFERROR(IF(Portafolio_Proyectos!$AP915="","",Portafolio_Proyectos!$C915),"")</f>
        <v/>
      </c>
      <c r="E2744" s="5" t="str">
        <f>IFERROR(IF(Portafolio_Proyectos!$AP915="","",Portafolio_Proyectos!$B915),"")</f>
        <v/>
      </c>
      <c r="F2744" s="5" t="str">
        <f>IFERROR(IF(Portafolio_Proyectos!$AP915="","",Portafolio_Proyectos!$D915),"")</f>
        <v/>
      </c>
      <c r="G2744" s="5" t="str">
        <f>IFERROR(IF(Portafolio_Proyectos!$AP915="","",Portafolio_Proyectos!$A915),"")</f>
        <v/>
      </c>
      <c r="H2744" s="5" t="str">
        <f>IFERROR(IF(Portafolio_Proyectos!$AP915="","",Portafolio_Proyectos!$E915),"")</f>
        <v/>
      </c>
    </row>
    <row r="2745" spans="1:8" x14ac:dyDescent="0.35">
      <c r="A2745" s="5" t="str">
        <f>IFERROR(IF(Portafolio_Proyectos!$AQ915="","","CAP-"&amp;ROW()-1),"")</f>
        <v/>
      </c>
      <c r="B2745" s="5" t="str">
        <f>IFERROR(IF(Portafolio_Proyectos!$AQ915="","",Portafolio_Proyectos!$AQ915),"")</f>
        <v/>
      </c>
      <c r="C2745" s="5" t="str">
        <f>IFERROR(IF(Portafolio_Proyectos!$AQ915="","","Consolidada"),"")</f>
        <v/>
      </c>
      <c r="D2745" s="5" t="str">
        <f>IFERROR(IF(Portafolio_Proyectos!$AQ915="","",Portafolio_Proyectos!$C915),"")</f>
        <v/>
      </c>
      <c r="E2745" s="5" t="str">
        <f>IFERROR(IF(Portafolio_Proyectos!$AQ915="","",Portafolio_Proyectos!$B915),"")</f>
        <v/>
      </c>
      <c r="F2745" s="5" t="str">
        <f>IFERROR(IF(Portafolio_Proyectos!$AQ915="","",Portafolio_Proyectos!$D915),"")</f>
        <v/>
      </c>
      <c r="G2745" s="5" t="str">
        <f>IFERROR(IF(Portafolio_Proyectos!$AQ915="","",Portafolio_Proyectos!$A915),"")</f>
        <v/>
      </c>
      <c r="H2745" s="5" t="str">
        <f>IFERROR(IF(Portafolio_Proyectos!$AQ915="","",Portafolio_Proyectos!$E915),"")</f>
        <v/>
      </c>
    </row>
    <row r="2746" spans="1:8" x14ac:dyDescent="0.35">
      <c r="A2746" s="5" t="str">
        <f>IFERROR(IF(Portafolio_Proyectos!$AR915="","","CAP-"&amp;ROW()-1),"")</f>
        <v/>
      </c>
      <c r="B2746" s="5" t="str">
        <f>IFERROR(IF(Portafolio_Proyectos!$AR915="","",Portafolio_Proyectos!$AR915),"")</f>
        <v/>
      </c>
      <c r="C2746" s="5" t="str">
        <f>IFERROR(IF(Portafolio_Proyectos!$AR915="","","Distintiva"),"")</f>
        <v/>
      </c>
      <c r="D2746" s="5" t="str">
        <f>IFERROR(IF(Portafolio_Proyectos!$AR915="","",Portafolio_Proyectos!$C915),"")</f>
        <v/>
      </c>
      <c r="E2746" s="5" t="str">
        <f>IFERROR(IF(Portafolio_Proyectos!$AR915="","",Portafolio_Proyectos!$B915),"")</f>
        <v/>
      </c>
      <c r="F2746" s="5" t="str">
        <f>IFERROR(IF(Portafolio_Proyectos!$AR915="","",Portafolio_Proyectos!$D915),"")</f>
        <v/>
      </c>
      <c r="G2746" s="5" t="str">
        <f>IFERROR(IF(Portafolio_Proyectos!$AR915="","",Portafolio_Proyectos!$A915),"")</f>
        <v/>
      </c>
      <c r="H2746" s="5" t="str">
        <f>IFERROR(IF(Portafolio_Proyectos!$AR915="","",Portafolio_Proyectos!$E915),"")</f>
        <v/>
      </c>
    </row>
    <row r="2747" spans="1:8" x14ac:dyDescent="0.35">
      <c r="A2747" s="5" t="str">
        <f>IFERROR(IF(Portafolio_Proyectos!$AP916="","","CAP-"&amp;ROW()-1),"")</f>
        <v/>
      </c>
      <c r="B2747" s="5" t="str">
        <f>IFERROR(IF(Portafolio_Proyectos!$AP916="","",Portafolio_Proyectos!$AP916),"")</f>
        <v/>
      </c>
      <c r="C2747" s="5" t="str">
        <f>IFERROR(IF(Portafolio_Proyectos!$AP916="","","Emergente"),"")</f>
        <v/>
      </c>
      <c r="D2747" s="5" t="str">
        <f>IFERROR(IF(Portafolio_Proyectos!$AP916="","",Portafolio_Proyectos!$C916),"")</f>
        <v/>
      </c>
      <c r="E2747" s="5" t="str">
        <f>IFERROR(IF(Portafolio_Proyectos!$AP916="","",Portafolio_Proyectos!$B916),"")</f>
        <v/>
      </c>
      <c r="F2747" s="5" t="str">
        <f>IFERROR(IF(Portafolio_Proyectos!$AP916="","",Portafolio_Proyectos!$D916),"")</f>
        <v/>
      </c>
      <c r="G2747" s="5" t="str">
        <f>IFERROR(IF(Portafolio_Proyectos!$AP916="","",Portafolio_Proyectos!$A916),"")</f>
        <v/>
      </c>
      <c r="H2747" s="5" t="str">
        <f>IFERROR(IF(Portafolio_Proyectos!$AP916="","",Portafolio_Proyectos!$E916),"")</f>
        <v/>
      </c>
    </row>
    <row r="2748" spans="1:8" x14ac:dyDescent="0.35">
      <c r="A2748" s="5" t="str">
        <f>IFERROR(IF(Portafolio_Proyectos!$AQ916="","","CAP-"&amp;ROW()-1),"")</f>
        <v/>
      </c>
      <c r="B2748" s="5" t="str">
        <f>IFERROR(IF(Portafolio_Proyectos!$AQ916="","",Portafolio_Proyectos!$AQ916),"")</f>
        <v/>
      </c>
      <c r="C2748" s="5" t="str">
        <f>IFERROR(IF(Portafolio_Proyectos!$AQ916="","","Consolidada"),"")</f>
        <v/>
      </c>
      <c r="D2748" s="5" t="str">
        <f>IFERROR(IF(Portafolio_Proyectos!$AQ916="","",Portafolio_Proyectos!$C916),"")</f>
        <v/>
      </c>
      <c r="E2748" s="5" t="str">
        <f>IFERROR(IF(Portafolio_Proyectos!$AQ916="","",Portafolio_Proyectos!$B916),"")</f>
        <v/>
      </c>
      <c r="F2748" s="5" t="str">
        <f>IFERROR(IF(Portafolio_Proyectos!$AQ916="","",Portafolio_Proyectos!$D916),"")</f>
        <v/>
      </c>
      <c r="G2748" s="5" t="str">
        <f>IFERROR(IF(Portafolio_Proyectos!$AQ916="","",Portafolio_Proyectos!$A916),"")</f>
        <v/>
      </c>
      <c r="H2748" s="5" t="str">
        <f>IFERROR(IF(Portafolio_Proyectos!$AQ916="","",Portafolio_Proyectos!$E916),"")</f>
        <v/>
      </c>
    </row>
    <row r="2749" spans="1:8" x14ac:dyDescent="0.35">
      <c r="A2749" s="5" t="str">
        <f>IFERROR(IF(Portafolio_Proyectos!$AR916="","","CAP-"&amp;ROW()-1),"")</f>
        <v/>
      </c>
      <c r="B2749" s="5" t="str">
        <f>IFERROR(IF(Portafolio_Proyectos!$AR916="","",Portafolio_Proyectos!$AR916),"")</f>
        <v/>
      </c>
      <c r="C2749" s="5" t="str">
        <f>IFERROR(IF(Portafolio_Proyectos!$AR916="","","Distintiva"),"")</f>
        <v/>
      </c>
      <c r="D2749" s="5" t="str">
        <f>IFERROR(IF(Portafolio_Proyectos!$AR916="","",Portafolio_Proyectos!$C916),"")</f>
        <v/>
      </c>
      <c r="E2749" s="5" t="str">
        <f>IFERROR(IF(Portafolio_Proyectos!$AR916="","",Portafolio_Proyectos!$B916),"")</f>
        <v/>
      </c>
      <c r="F2749" s="5" t="str">
        <f>IFERROR(IF(Portafolio_Proyectos!$AR916="","",Portafolio_Proyectos!$D916),"")</f>
        <v/>
      </c>
      <c r="G2749" s="5" t="str">
        <f>IFERROR(IF(Portafolio_Proyectos!$AR916="","",Portafolio_Proyectos!$A916),"")</f>
        <v/>
      </c>
      <c r="H2749" s="5" t="str">
        <f>IFERROR(IF(Portafolio_Proyectos!$AR916="","",Portafolio_Proyectos!$E916),"")</f>
        <v/>
      </c>
    </row>
    <row r="2750" spans="1:8" x14ac:dyDescent="0.35">
      <c r="A2750" s="5" t="str">
        <f>IFERROR(IF(Portafolio_Proyectos!$AP917="","","CAP-"&amp;ROW()-1),"")</f>
        <v/>
      </c>
      <c r="B2750" s="5" t="str">
        <f>IFERROR(IF(Portafolio_Proyectos!$AP917="","",Portafolio_Proyectos!$AP917),"")</f>
        <v/>
      </c>
      <c r="C2750" s="5" t="str">
        <f>IFERROR(IF(Portafolio_Proyectos!$AP917="","","Emergente"),"")</f>
        <v/>
      </c>
      <c r="D2750" s="5" t="str">
        <f>IFERROR(IF(Portafolio_Proyectos!$AP917="","",Portafolio_Proyectos!$C917),"")</f>
        <v/>
      </c>
      <c r="E2750" s="5" t="str">
        <f>IFERROR(IF(Portafolio_Proyectos!$AP917="","",Portafolio_Proyectos!$B917),"")</f>
        <v/>
      </c>
      <c r="F2750" s="5" t="str">
        <f>IFERROR(IF(Portafolio_Proyectos!$AP917="","",Portafolio_Proyectos!$D917),"")</f>
        <v/>
      </c>
      <c r="G2750" s="5" t="str">
        <f>IFERROR(IF(Portafolio_Proyectos!$AP917="","",Portafolio_Proyectos!$A917),"")</f>
        <v/>
      </c>
      <c r="H2750" s="5" t="str">
        <f>IFERROR(IF(Portafolio_Proyectos!$AP917="","",Portafolio_Proyectos!$E917),"")</f>
        <v/>
      </c>
    </row>
    <row r="2751" spans="1:8" x14ac:dyDescent="0.35">
      <c r="A2751" s="5" t="str">
        <f>IFERROR(IF(Portafolio_Proyectos!$AQ917="","","CAP-"&amp;ROW()-1),"")</f>
        <v/>
      </c>
      <c r="B2751" s="5" t="str">
        <f>IFERROR(IF(Portafolio_Proyectos!$AQ917="","",Portafolio_Proyectos!$AQ917),"")</f>
        <v/>
      </c>
      <c r="C2751" s="5" t="str">
        <f>IFERROR(IF(Portafolio_Proyectos!$AQ917="","","Consolidada"),"")</f>
        <v/>
      </c>
      <c r="D2751" s="5" t="str">
        <f>IFERROR(IF(Portafolio_Proyectos!$AQ917="","",Portafolio_Proyectos!$C917),"")</f>
        <v/>
      </c>
      <c r="E2751" s="5" t="str">
        <f>IFERROR(IF(Portafolio_Proyectos!$AQ917="","",Portafolio_Proyectos!$B917),"")</f>
        <v/>
      </c>
      <c r="F2751" s="5" t="str">
        <f>IFERROR(IF(Portafolio_Proyectos!$AQ917="","",Portafolio_Proyectos!$D917),"")</f>
        <v/>
      </c>
      <c r="G2751" s="5" t="str">
        <f>IFERROR(IF(Portafolio_Proyectos!$AQ917="","",Portafolio_Proyectos!$A917),"")</f>
        <v/>
      </c>
      <c r="H2751" s="5" t="str">
        <f>IFERROR(IF(Portafolio_Proyectos!$AQ917="","",Portafolio_Proyectos!$E917),"")</f>
        <v/>
      </c>
    </row>
    <row r="2752" spans="1:8" x14ac:dyDescent="0.35">
      <c r="A2752" s="5" t="str">
        <f>IFERROR(IF(Portafolio_Proyectos!$AR917="","","CAP-"&amp;ROW()-1),"")</f>
        <v/>
      </c>
      <c r="B2752" s="5" t="str">
        <f>IFERROR(IF(Portafolio_Proyectos!$AR917="","",Portafolio_Proyectos!$AR917),"")</f>
        <v/>
      </c>
      <c r="C2752" s="5" t="str">
        <f>IFERROR(IF(Portafolio_Proyectos!$AR917="","","Distintiva"),"")</f>
        <v/>
      </c>
      <c r="D2752" s="5" t="str">
        <f>IFERROR(IF(Portafolio_Proyectos!$AR917="","",Portafolio_Proyectos!$C917),"")</f>
        <v/>
      </c>
      <c r="E2752" s="5" t="str">
        <f>IFERROR(IF(Portafolio_Proyectos!$AR917="","",Portafolio_Proyectos!$B917),"")</f>
        <v/>
      </c>
      <c r="F2752" s="5" t="str">
        <f>IFERROR(IF(Portafolio_Proyectos!$AR917="","",Portafolio_Proyectos!$D917),"")</f>
        <v/>
      </c>
      <c r="G2752" s="5" t="str">
        <f>IFERROR(IF(Portafolio_Proyectos!$AR917="","",Portafolio_Proyectos!$A917),"")</f>
        <v/>
      </c>
      <c r="H2752" s="5" t="str">
        <f>IFERROR(IF(Portafolio_Proyectos!$AR917="","",Portafolio_Proyectos!$E917),"")</f>
        <v/>
      </c>
    </row>
    <row r="2753" spans="1:8" x14ac:dyDescent="0.35">
      <c r="A2753" s="5" t="str">
        <f>IFERROR(IF(Portafolio_Proyectos!$AP918="","","CAP-"&amp;ROW()-1),"")</f>
        <v/>
      </c>
      <c r="B2753" s="5" t="str">
        <f>IFERROR(IF(Portafolio_Proyectos!$AP918="","",Portafolio_Proyectos!$AP918),"")</f>
        <v/>
      </c>
      <c r="C2753" s="5" t="str">
        <f>IFERROR(IF(Portafolio_Proyectos!$AP918="","","Emergente"),"")</f>
        <v/>
      </c>
      <c r="D2753" s="5" t="str">
        <f>IFERROR(IF(Portafolio_Proyectos!$AP918="","",Portafolio_Proyectos!$C918),"")</f>
        <v/>
      </c>
      <c r="E2753" s="5" t="str">
        <f>IFERROR(IF(Portafolio_Proyectos!$AP918="","",Portafolio_Proyectos!$B918),"")</f>
        <v/>
      </c>
      <c r="F2753" s="5" t="str">
        <f>IFERROR(IF(Portafolio_Proyectos!$AP918="","",Portafolio_Proyectos!$D918),"")</f>
        <v/>
      </c>
      <c r="G2753" s="5" t="str">
        <f>IFERROR(IF(Portafolio_Proyectos!$AP918="","",Portafolio_Proyectos!$A918),"")</f>
        <v/>
      </c>
      <c r="H2753" s="5" t="str">
        <f>IFERROR(IF(Portafolio_Proyectos!$AP918="","",Portafolio_Proyectos!$E918),"")</f>
        <v/>
      </c>
    </row>
    <row r="2754" spans="1:8" x14ac:dyDescent="0.35">
      <c r="A2754" s="5" t="str">
        <f>IFERROR(IF(Portafolio_Proyectos!$AQ918="","","CAP-"&amp;ROW()-1),"")</f>
        <v/>
      </c>
      <c r="B2754" s="5" t="str">
        <f>IFERROR(IF(Portafolio_Proyectos!$AQ918="","",Portafolio_Proyectos!$AQ918),"")</f>
        <v/>
      </c>
      <c r="C2754" s="5" t="str">
        <f>IFERROR(IF(Portafolio_Proyectos!$AQ918="","","Consolidada"),"")</f>
        <v/>
      </c>
      <c r="D2754" s="5" t="str">
        <f>IFERROR(IF(Portafolio_Proyectos!$AQ918="","",Portafolio_Proyectos!$C918),"")</f>
        <v/>
      </c>
      <c r="E2754" s="5" t="str">
        <f>IFERROR(IF(Portafolio_Proyectos!$AQ918="","",Portafolio_Proyectos!$B918),"")</f>
        <v/>
      </c>
      <c r="F2754" s="5" t="str">
        <f>IFERROR(IF(Portafolio_Proyectos!$AQ918="","",Portafolio_Proyectos!$D918),"")</f>
        <v/>
      </c>
      <c r="G2754" s="5" t="str">
        <f>IFERROR(IF(Portafolio_Proyectos!$AQ918="","",Portafolio_Proyectos!$A918),"")</f>
        <v/>
      </c>
      <c r="H2754" s="5" t="str">
        <f>IFERROR(IF(Portafolio_Proyectos!$AQ918="","",Portafolio_Proyectos!$E918),"")</f>
        <v/>
      </c>
    </row>
    <row r="2755" spans="1:8" x14ac:dyDescent="0.35">
      <c r="A2755" s="5" t="str">
        <f>IFERROR(IF(Portafolio_Proyectos!$AR918="","","CAP-"&amp;ROW()-1),"")</f>
        <v/>
      </c>
      <c r="B2755" s="5" t="str">
        <f>IFERROR(IF(Portafolio_Proyectos!$AR918="","",Portafolio_Proyectos!$AR918),"")</f>
        <v/>
      </c>
      <c r="C2755" s="5" t="str">
        <f>IFERROR(IF(Portafolio_Proyectos!$AR918="","","Distintiva"),"")</f>
        <v/>
      </c>
      <c r="D2755" s="5" t="str">
        <f>IFERROR(IF(Portafolio_Proyectos!$AR918="","",Portafolio_Proyectos!$C918),"")</f>
        <v/>
      </c>
      <c r="E2755" s="5" t="str">
        <f>IFERROR(IF(Portafolio_Proyectos!$AR918="","",Portafolio_Proyectos!$B918),"")</f>
        <v/>
      </c>
      <c r="F2755" s="5" t="str">
        <f>IFERROR(IF(Portafolio_Proyectos!$AR918="","",Portafolio_Proyectos!$D918),"")</f>
        <v/>
      </c>
      <c r="G2755" s="5" t="str">
        <f>IFERROR(IF(Portafolio_Proyectos!$AR918="","",Portafolio_Proyectos!$A918),"")</f>
        <v/>
      </c>
      <c r="H2755" s="5" t="str">
        <f>IFERROR(IF(Portafolio_Proyectos!$AR918="","",Portafolio_Proyectos!$E918),"")</f>
        <v/>
      </c>
    </row>
    <row r="2756" spans="1:8" x14ac:dyDescent="0.35">
      <c r="A2756" s="5" t="str">
        <f>IFERROR(IF(Portafolio_Proyectos!$AP919="","","CAP-"&amp;ROW()-1),"")</f>
        <v/>
      </c>
      <c r="B2756" s="5" t="str">
        <f>IFERROR(IF(Portafolio_Proyectos!$AP919="","",Portafolio_Proyectos!$AP919),"")</f>
        <v/>
      </c>
      <c r="C2756" s="5" t="str">
        <f>IFERROR(IF(Portafolio_Proyectos!$AP919="","","Emergente"),"")</f>
        <v/>
      </c>
      <c r="D2756" s="5" t="str">
        <f>IFERROR(IF(Portafolio_Proyectos!$AP919="","",Portafolio_Proyectos!$C919),"")</f>
        <v/>
      </c>
      <c r="E2756" s="5" t="str">
        <f>IFERROR(IF(Portafolio_Proyectos!$AP919="","",Portafolio_Proyectos!$B919),"")</f>
        <v/>
      </c>
      <c r="F2756" s="5" t="str">
        <f>IFERROR(IF(Portafolio_Proyectos!$AP919="","",Portafolio_Proyectos!$D919),"")</f>
        <v/>
      </c>
      <c r="G2756" s="5" t="str">
        <f>IFERROR(IF(Portafolio_Proyectos!$AP919="","",Portafolio_Proyectos!$A919),"")</f>
        <v/>
      </c>
      <c r="H2756" s="5" t="str">
        <f>IFERROR(IF(Portafolio_Proyectos!$AP919="","",Portafolio_Proyectos!$E919),"")</f>
        <v/>
      </c>
    </row>
    <row r="2757" spans="1:8" x14ac:dyDescent="0.35">
      <c r="A2757" s="5" t="str">
        <f>IFERROR(IF(Portafolio_Proyectos!$AQ919="","","CAP-"&amp;ROW()-1),"")</f>
        <v/>
      </c>
      <c r="B2757" s="5" t="str">
        <f>IFERROR(IF(Portafolio_Proyectos!$AQ919="","",Portafolio_Proyectos!$AQ919),"")</f>
        <v/>
      </c>
      <c r="C2757" s="5" t="str">
        <f>IFERROR(IF(Portafolio_Proyectos!$AQ919="","","Consolidada"),"")</f>
        <v/>
      </c>
      <c r="D2757" s="5" t="str">
        <f>IFERROR(IF(Portafolio_Proyectos!$AQ919="","",Portafolio_Proyectos!$C919),"")</f>
        <v/>
      </c>
      <c r="E2757" s="5" t="str">
        <f>IFERROR(IF(Portafolio_Proyectos!$AQ919="","",Portafolio_Proyectos!$B919),"")</f>
        <v/>
      </c>
      <c r="F2757" s="5" t="str">
        <f>IFERROR(IF(Portafolio_Proyectos!$AQ919="","",Portafolio_Proyectos!$D919),"")</f>
        <v/>
      </c>
      <c r="G2757" s="5" t="str">
        <f>IFERROR(IF(Portafolio_Proyectos!$AQ919="","",Portafolio_Proyectos!$A919),"")</f>
        <v/>
      </c>
      <c r="H2757" s="5" t="str">
        <f>IFERROR(IF(Portafolio_Proyectos!$AQ919="","",Portafolio_Proyectos!$E919),"")</f>
        <v/>
      </c>
    </row>
    <row r="2758" spans="1:8" x14ac:dyDescent="0.35">
      <c r="A2758" s="5" t="str">
        <f>IFERROR(IF(Portafolio_Proyectos!$AR919="","","CAP-"&amp;ROW()-1),"")</f>
        <v/>
      </c>
      <c r="B2758" s="5" t="str">
        <f>IFERROR(IF(Portafolio_Proyectos!$AR919="","",Portafolio_Proyectos!$AR919),"")</f>
        <v/>
      </c>
      <c r="C2758" s="5" t="str">
        <f>IFERROR(IF(Portafolio_Proyectos!$AR919="","","Distintiva"),"")</f>
        <v/>
      </c>
      <c r="D2758" s="5" t="str">
        <f>IFERROR(IF(Portafolio_Proyectos!$AR919="","",Portafolio_Proyectos!$C919),"")</f>
        <v/>
      </c>
      <c r="E2758" s="5" t="str">
        <f>IFERROR(IF(Portafolio_Proyectos!$AR919="","",Portafolio_Proyectos!$B919),"")</f>
        <v/>
      </c>
      <c r="F2758" s="5" t="str">
        <f>IFERROR(IF(Portafolio_Proyectos!$AR919="","",Portafolio_Proyectos!$D919),"")</f>
        <v/>
      </c>
      <c r="G2758" s="5" t="str">
        <f>IFERROR(IF(Portafolio_Proyectos!$AR919="","",Portafolio_Proyectos!$A919),"")</f>
        <v/>
      </c>
      <c r="H2758" s="5" t="str">
        <f>IFERROR(IF(Portafolio_Proyectos!$AR919="","",Portafolio_Proyectos!$E919),"")</f>
        <v/>
      </c>
    </row>
    <row r="2759" spans="1:8" x14ac:dyDescent="0.35">
      <c r="A2759" s="5" t="str">
        <f>IFERROR(IF(Portafolio_Proyectos!$AP920="","","CAP-"&amp;ROW()-1),"")</f>
        <v/>
      </c>
      <c r="B2759" s="5" t="str">
        <f>IFERROR(IF(Portafolio_Proyectos!$AP920="","",Portafolio_Proyectos!$AP920),"")</f>
        <v/>
      </c>
      <c r="C2759" s="5" t="str">
        <f>IFERROR(IF(Portafolio_Proyectos!$AP920="","","Emergente"),"")</f>
        <v/>
      </c>
      <c r="D2759" s="5" t="str">
        <f>IFERROR(IF(Portafolio_Proyectos!$AP920="","",Portafolio_Proyectos!$C920),"")</f>
        <v/>
      </c>
      <c r="E2759" s="5" t="str">
        <f>IFERROR(IF(Portafolio_Proyectos!$AP920="","",Portafolio_Proyectos!$B920),"")</f>
        <v/>
      </c>
      <c r="F2759" s="5" t="str">
        <f>IFERROR(IF(Portafolio_Proyectos!$AP920="","",Portafolio_Proyectos!$D920),"")</f>
        <v/>
      </c>
      <c r="G2759" s="5" t="str">
        <f>IFERROR(IF(Portafolio_Proyectos!$AP920="","",Portafolio_Proyectos!$A920),"")</f>
        <v/>
      </c>
      <c r="H2759" s="5" t="str">
        <f>IFERROR(IF(Portafolio_Proyectos!$AP920="","",Portafolio_Proyectos!$E920),"")</f>
        <v/>
      </c>
    </row>
    <row r="2760" spans="1:8" x14ac:dyDescent="0.35">
      <c r="A2760" s="5" t="str">
        <f>IFERROR(IF(Portafolio_Proyectos!$AQ920="","","CAP-"&amp;ROW()-1),"")</f>
        <v/>
      </c>
      <c r="B2760" s="5" t="str">
        <f>IFERROR(IF(Portafolio_Proyectos!$AQ920="","",Portafolio_Proyectos!$AQ920),"")</f>
        <v/>
      </c>
      <c r="C2760" s="5" t="str">
        <f>IFERROR(IF(Portafolio_Proyectos!$AQ920="","","Consolidada"),"")</f>
        <v/>
      </c>
      <c r="D2760" s="5" t="str">
        <f>IFERROR(IF(Portafolio_Proyectos!$AQ920="","",Portafolio_Proyectos!$C920),"")</f>
        <v/>
      </c>
      <c r="E2760" s="5" t="str">
        <f>IFERROR(IF(Portafolio_Proyectos!$AQ920="","",Portafolio_Proyectos!$B920),"")</f>
        <v/>
      </c>
      <c r="F2760" s="5" t="str">
        <f>IFERROR(IF(Portafolio_Proyectos!$AQ920="","",Portafolio_Proyectos!$D920),"")</f>
        <v/>
      </c>
      <c r="G2760" s="5" t="str">
        <f>IFERROR(IF(Portafolio_Proyectos!$AQ920="","",Portafolio_Proyectos!$A920),"")</f>
        <v/>
      </c>
      <c r="H2760" s="5" t="str">
        <f>IFERROR(IF(Portafolio_Proyectos!$AQ920="","",Portafolio_Proyectos!$E920),"")</f>
        <v/>
      </c>
    </row>
    <row r="2761" spans="1:8" x14ac:dyDescent="0.35">
      <c r="A2761" s="5" t="str">
        <f>IFERROR(IF(Portafolio_Proyectos!$AR920="","","CAP-"&amp;ROW()-1),"")</f>
        <v/>
      </c>
      <c r="B2761" s="5" t="str">
        <f>IFERROR(IF(Portafolio_Proyectos!$AR920="","",Portafolio_Proyectos!$AR920),"")</f>
        <v/>
      </c>
      <c r="C2761" s="5" t="str">
        <f>IFERROR(IF(Portafolio_Proyectos!$AR920="","","Distintiva"),"")</f>
        <v/>
      </c>
      <c r="D2761" s="5" t="str">
        <f>IFERROR(IF(Portafolio_Proyectos!$AR920="","",Portafolio_Proyectos!$C920),"")</f>
        <v/>
      </c>
      <c r="E2761" s="5" t="str">
        <f>IFERROR(IF(Portafolio_Proyectos!$AR920="","",Portafolio_Proyectos!$B920),"")</f>
        <v/>
      </c>
      <c r="F2761" s="5" t="str">
        <f>IFERROR(IF(Portafolio_Proyectos!$AR920="","",Portafolio_Proyectos!$D920),"")</f>
        <v/>
      </c>
      <c r="G2761" s="5" t="str">
        <f>IFERROR(IF(Portafolio_Proyectos!$AR920="","",Portafolio_Proyectos!$A920),"")</f>
        <v/>
      </c>
      <c r="H2761" s="5" t="str">
        <f>IFERROR(IF(Portafolio_Proyectos!$AR920="","",Portafolio_Proyectos!$E920),"")</f>
        <v/>
      </c>
    </row>
    <row r="2762" spans="1:8" x14ac:dyDescent="0.35">
      <c r="A2762" s="5" t="str">
        <f>IFERROR(IF(Portafolio_Proyectos!$AP921="","","CAP-"&amp;ROW()-1),"")</f>
        <v/>
      </c>
      <c r="B2762" s="5" t="str">
        <f>IFERROR(IF(Portafolio_Proyectos!$AP921="","",Portafolio_Proyectos!$AP921),"")</f>
        <v/>
      </c>
      <c r="C2762" s="5" t="str">
        <f>IFERROR(IF(Portafolio_Proyectos!$AP921="","","Emergente"),"")</f>
        <v/>
      </c>
      <c r="D2762" s="5" t="str">
        <f>IFERROR(IF(Portafolio_Proyectos!$AP921="","",Portafolio_Proyectos!$C921),"")</f>
        <v/>
      </c>
      <c r="E2762" s="5" t="str">
        <f>IFERROR(IF(Portafolio_Proyectos!$AP921="","",Portafolio_Proyectos!$B921),"")</f>
        <v/>
      </c>
      <c r="F2762" s="5" t="str">
        <f>IFERROR(IF(Portafolio_Proyectos!$AP921="","",Portafolio_Proyectos!$D921),"")</f>
        <v/>
      </c>
      <c r="G2762" s="5" t="str">
        <f>IFERROR(IF(Portafolio_Proyectos!$AP921="","",Portafolio_Proyectos!$A921),"")</f>
        <v/>
      </c>
      <c r="H2762" s="5" t="str">
        <f>IFERROR(IF(Portafolio_Proyectos!$AP921="","",Portafolio_Proyectos!$E921),"")</f>
        <v/>
      </c>
    </row>
    <row r="2763" spans="1:8" x14ac:dyDescent="0.35">
      <c r="A2763" s="5" t="str">
        <f>IFERROR(IF(Portafolio_Proyectos!$AQ921="","","CAP-"&amp;ROW()-1),"")</f>
        <v/>
      </c>
      <c r="B2763" s="5" t="str">
        <f>IFERROR(IF(Portafolio_Proyectos!$AQ921="","",Portafolio_Proyectos!$AQ921),"")</f>
        <v/>
      </c>
      <c r="C2763" s="5" t="str">
        <f>IFERROR(IF(Portafolio_Proyectos!$AQ921="","","Consolidada"),"")</f>
        <v/>
      </c>
      <c r="D2763" s="5" t="str">
        <f>IFERROR(IF(Portafolio_Proyectos!$AQ921="","",Portafolio_Proyectos!$C921),"")</f>
        <v/>
      </c>
      <c r="E2763" s="5" t="str">
        <f>IFERROR(IF(Portafolio_Proyectos!$AQ921="","",Portafolio_Proyectos!$B921),"")</f>
        <v/>
      </c>
      <c r="F2763" s="5" t="str">
        <f>IFERROR(IF(Portafolio_Proyectos!$AQ921="","",Portafolio_Proyectos!$D921),"")</f>
        <v/>
      </c>
      <c r="G2763" s="5" t="str">
        <f>IFERROR(IF(Portafolio_Proyectos!$AQ921="","",Portafolio_Proyectos!$A921),"")</f>
        <v/>
      </c>
      <c r="H2763" s="5" t="str">
        <f>IFERROR(IF(Portafolio_Proyectos!$AQ921="","",Portafolio_Proyectos!$E921),"")</f>
        <v/>
      </c>
    </row>
    <row r="2764" spans="1:8" x14ac:dyDescent="0.35">
      <c r="A2764" s="5" t="str">
        <f>IFERROR(IF(Portafolio_Proyectos!$AR921="","","CAP-"&amp;ROW()-1),"")</f>
        <v/>
      </c>
      <c r="B2764" s="5" t="str">
        <f>IFERROR(IF(Portafolio_Proyectos!$AR921="","",Portafolio_Proyectos!$AR921),"")</f>
        <v/>
      </c>
      <c r="C2764" s="5" t="str">
        <f>IFERROR(IF(Portafolio_Proyectos!$AR921="","","Distintiva"),"")</f>
        <v/>
      </c>
      <c r="D2764" s="5" t="str">
        <f>IFERROR(IF(Portafolio_Proyectos!$AR921="","",Portafolio_Proyectos!$C921),"")</f>
        <v/>
      </c>
      <c r="E2764" s="5" t="str">
        <f>IFERROR(IF(Portafolio_Proyectos!$AR921="","",Portafolio_Proyectos!$B921),"")</f>
        <v/>
      </c>
      <c r="F2764" s="5" t="str">
        <f>IFERROR(IF(Portafolio_Proyectos!$AR921="","",Portafolio_Proyectos!$D921),"")</f>
        <v/>
      </c>
      <c r="G2764" s="5" t="str">
        <f>IFERROR(IF(Portafolio_Proyectos!$AR921="","",Portafolio_Proyectos!$A921),"")</f>
        <v/>
      </c>
      <c r="H2764" s="5" t="str">
        <f>IFERROR(IF(Portafolio_Proyectos!$AR921="","",Portafolio_Proyectos!$E921),"")</f>
        <v/>
      </c>
    </row>
    <row r="2765" spans="1:8" x14ac:dyDescent="0.35">
      <c r="A2765" s="5" t="str">
        <f>IFERROR(IF(Portafolio_Proyectos!$AP922="","","CAP-"&amp;ROW()-1),"")</f>
        <v/>
      </c>
      <c r="B2765" s="5" t="str">
        <f>IFERROR(IF(Portafolio_Proyectos!$AP922="","",Portafolio_Proyectos!$AP922),"")</f>
        <v/>
      </c>
      <c r="C2765" s="5" t="str">
        <f>IFERROR(IF(Portafolio_Proyectos!$AP922="","","Emergente"),"")</f>
        <v/>
      </c>
      <c r="D2765" s="5" t="str">
        <f>IFERROR(IF(Portafolio_Proyectos!$AP922="","",Portafolio_Proyectos!$C922),"")</f>
        <v/>
      </c>
      <c r="E2765" s="5" t="str">
        <f>IFERROR(IF(Portafolio_Proyectos!$AP922="","",Portafolio_Proyectos!$B922),"")</f>
        <v/>
      </c>
      <c r="F2765" s="5" t="str">
        <f>IFERROR(IF(Portafolio_Proyectos!$AP922="","",Portafolio_Proyectos!$D922),"")</f>
        <v/>
      </c>
      <c r="G2765" s="5" t="str">
        <f>IFERROR(IF(Portafolio_Proyectos!$AP922="","",Portafolio_Proyectos!$A922),"")</f>
        <v/>
      </c>
      <c r="H2765" s="5" t="str">
        <f>IFERROR(IF(Portafolio_Proyectos!$AP922="","",Portafolio_Proyectos!$E922),"")</f>
        <v/>
      </c>
    </row>
    <row r="2766" spans="1:8" x14ac:dyDescent="0.35">
      <c r="A2766" s="5" t="str">
        <f>IFERROR(IF(Portafolio_Proyectos!$AQ922="","","CAP-"&amp;ROW()-1),"")</f>
        <v/>
      </c>
      <c r="B2766" s="5" t="str">
        <f>IFERROR(IF(Portafolio_Proyectos!$AQ922="","",Portafolio_Proyectos!$AQ922),"")</f>
        <v/>
      </c>
      <c r="C2766" s="5" t="str">
        <f>IFERROR(IF(Portafolio_Proyectos!$AQ922="","","Consolidada"),"")</f>
        <v/>
      </c>
      <c r="D2766" s="5" t="str">
        <f>IFERROR(IF(Portafolio_Proyectos!$AQ922="","",Portafolio_Proyectos!$C922),"")</f>
        <v/>
      </c>
      <c r="E2766" s="5" t="str">
        <f>IFERROR(IF(Portafolio_Proyectos!$AQ922="","",Portafolio_Proyectos!$B922),"")</f>
        <v/>
      </c>
      <c r="F2766" s="5" t="str">
        <f>IFERROR(IF(Portafolio_Proyectos!$AQ922="","",Portafolio_Proyectos!$D922),"")</f>
        <v/>
      </c>
      <c r="G2766" s="5" t="str">
        <f>IFERROR(IF(Portafolio_Proyectos!$AQ922="","",Portafolio_Proyectos!$A922),"")</f>
        <v/>
      </c>
      <c r="H2766" s="5" t="str">
        <f>IFERROR(IF(Portafolio_Proyectos!$AQ922="","",Portafolio_Proyectos!$E922),"")</f>
        <v/>
      </c>
    </row>
    <row r="2767" spans="1:8" x14ac:dyDescent="0.35">
      <c r="A2767" s="5" t="str">
        <f>IFERROR(IF(Portafolio_Proyectos!$AR922="","","CAP-"&amp;ROW()-1),"")</f>
        <v/>
      </c>
      <c r="B2767" s="5" t="str">
        <f>IFERROR(IF(Portafolio_Proyectos!$AR922="","",Portafolio_Proyectos!$AR922),"")</f>
        <v/>
      </c>
      <c r="C2767" s="5" t="str">
        <f>IFERROR(IF(Portafolio_Proyectos!$AR922="","","Distintiva"),"")</f>
        <v/>
      </c>
      <c r="D2767" s="5" t="str">
        <f>IFERROR(IF(Portafolio_Proyectos!$AR922="","",Portafolio_Proyectos!$C922),"")</f>
        <v/>
      </c>
      <c r="E2767" s="5" t="str">
        <f>IFERROR(IF(Portafolio_Proyectos!$AR922="","",Portafolio_Proyectos!$B922),"")</f>
        <v/>
      </c>
      <c r="F2767" s="5" t="str">
        <f>IFERROR(IF(Portafolio_Proyectos!$AR922="","",Portafolio_Proyectos!$D922),"")</f>
        <v/>
      </c>
      <c r="G2767" s="5" t="str">
        <f>IFERROR(IF(Portafolio_Proyectos!$AR922="","",Portafolio_Proyectos!$A922),"")</f>
        <v/>
      </c>
      <c r="H2767" s="5" t="str">
        <f>IFERROR(IF(Portafolio_Proyectos!$AR922="","",Portafolio_Proyectos!$E922),"")</f>
        <v/>
      </c>
    </row>
    <row r="2768" spans="1:8" x14ac:dyDescent="0.35">
      <c r="A2768" s="5" t="str">
        <f>IFERROR(IF(Portafolio_Proyectos!$AP923="","","CAP-"&amp;ROW()-1),"")</f>
        <v/>
      </c>
      <c r="B2768" s="5" t="str">
        <f>IFERROR(IF(Portafolio_Proyectos!$AP923="","",Portafolio_Proyectos!$AP923),"")</f>
        <v/>
      </c>
      <c r="C2768" s="5" t="str">
        <f>IFERROR(IF(Portafolio_Proyectos!$AP923="","","Emergente"),"")</f>
        <v/>
      </c>
      <c r="D2768" s="5" t="str">
        <f>IFERROR(IF(Portafolio_Proyectos!$AP923="","",Portafolio_Proyectos!$C923),"")</f>
        <v/>
      </c>
      <c r="E2768" s="5" t="str">
        <f>IFERROR(IF(Portafolio_Proyectos!$AP923="","",Portafolio_Proyectos!$B923),"")</f>
        <v/>
      </c>
      <c r="F2768" s="5" t="str">
        <f>IFERROR(IF(Portafolio_Proyectos!$AP923="","",Portafolio_Proyectos!$D923),"")</f>
        <v/>
      </c>
      <c r="G2768" s="5" t="str">
        <f>IFERROR(IF(Portafolio_Proyectos!$AP923="","",Portafolio_Proyectos!$A923),"")</f>
        <v/>
      </c>
      <c r="H2768" s="5" t="str">
        <f>IFERROR(IF(Portafolio_Proyectos!$AP923="","",Portafolio_Proyectos!$E923),"")</f>
        <v/>
      </c>
    </row>
    <row r="2769" spans="1:8" x14ac:dyDescent="0.35">
      <c r="A2769" s="5" t="str">
        <f>IFERROR(IF(Portafolio_Proyectos!$AQ923="","","CAP-"&amp;ROW()-1),"")</f>
        <v/>
      </c>
      <c r="B2769" s="5" t="str">
        <f>IFERROR(IF(Portafolio_Proyectos!$AQ923="","",Portafolio_Proyectos!$AQ923),"")</f>
        <v/>
      </c>
      <c r="C2769" s="5" t="str">
        <f>IFERROR(IF(Portafolio_Proyectos!$AQ923="","","Consolidada"),"")</f>
        <v/>
      </c>
      <c r="D2769" s="5" t="str">
        <f>IFERROR(IF(Portafolio_Proyectos!$AQ923="","",Portafolio_Proyectos!$C923),"")</f>
        <v/>
      </c>
      <c r="E2769" s="5" t="str">
        <f>IFERROR(IF(Portafolio_Proyectos!$AQ923="","",Portafolio_Proyectos!$B923),"")</f>
        <v/>
      </c>
      <c r="F2769" s="5" t="str">
        <f>IFERROR(IF(Portafolio_Proyectos!$AQ923="","",Portafolio_Proyectos!$D923),"")</f>
        <v/>
      </c>
      <c r="G2769" s="5" t="str">
        <f>IFERROR(IF(Portafolio_Proyectos!$AQ923="","",Portafolio_Proyectos!$A923),"")</f>
        <v/>
      </c>
      <c r="H2769" s="5" t="str">
        <f>IFERROR(IF(Portafolio_Proyectos!$AQ923="","",Portafolio_Proyectos!$E923),"")</f>
        <v/>
      </c>
    </row>
    <row r="2770" spans="1:8" x14ac:dyDescent="0.35">
      <c r="A2770" s="5" t="str">
        <f>IFERROR(IF(Portafolio_Proyectos!$AR923="","","CAP-"&amp;ROW()-1),"")</f>
        <v/>
      </c>
      <c r="B2770" s="5" t="str">
        <f>IFERROR(IF(Portafolio_Proyectos!$AR923="","",Portafolio_Proyectos!$AR923),"")</f>
        <v/>
      </c>
      <c r="C2770" s="5" t="str">
        <f>IFERROR(IF(Portafolio_Proyectos!$AR923="","","Distintiva"),"")</f>
        <v/>
      </c>
      <c r="D2770" s="5" t="str">
        <f>IFERROR(IF(Portafolio_Proyectos!$AR923="","",Portafolio_Proyectos!$C923),"")</f>
        <v/>
      </c>
      <c r="E2770" s="5" t="str">
        <f>IFERROR(IF(Portafolio_Proyectos!$AR923="","",Portafolio_Proyectos!$B923),"")</f>
        <v/>
      </c>
      <c r="F2770" s="5" t="str">
        <f>IFERROR(IF(Portafolio_Proyectos!$AR923="","",Portafolio_Proyectos!$D923),"")</f>
        <v/>
      </c>
      <c r="G2770" s="5" t="str">
        <f>IFERROR(IF(Portafolio_Proyectos!$AR923="","",Portafolio_Proyectos!$A923),"")</f>
        <v/>
      </c>
      <c r="H2770" s="5" t="str">
        <f>IFERROR(IF(Portafolio_Proyectos!$AR923="","",Portafolio_Proyectos!$E923),"")</f>
        <v/>
      </c>
    </row>
    <row r="2771" spans="1:8" x14ac:dyDescent="0.35">
      <c r="A2771" s="5" t="str">
        <f>IFERROR(IF(Portafolio_Proyectos!$AP924="","","CAP-"&amp;ROW()-1),"")</f>
        <v/>
      </c>
      <c r="B2771" s="5" t="str">
        <f>IFERROR(IF(Portafolio_Proyectos!$AP924="","",Portafolio_Proyectos!$AP924),"")</f>
        <v/>
      </c>
      <c r="C2771" s="5" t="str">
        <f>IFERROR(IF(Portafolio_Proyectos!$AP924="","","Emergente"),"")</f>
        <v/>
      </c>
      <c r="D2771" s="5" t="str">
        <f>IFERROR(IF(Portafolio_Proyectos!$AP924="","",Portafolio_Proyectos!$C924),"")</f>
        <v/>
      </c>
      <c r="E2771" s="5" t="str">
        <f>IFERROR(IF(Portafolio_Proyectos!$AP924="","",Portafolio_Proyectos!$B924),"")</f>
        <v/>
      </c>
      <c r="F2771" s="5" t="str">
        <f>IFERROR(IF(Portafolio_Proyectos!$AP924="","",Portafolio_Proyectos!$D924),"")</f>
        <v/>
      </c>
      <c r="G2771" s="5" t="str">
        <f>IFERROR(IF(Portafolio_Proyectos!$AP924="","",Portafolio_Proyectos!$A924),"")</f>
        <v/>
      </c>
      <c r="H2771" s="5" t="str">
        <f>IFERROR(IF(Portafolio_Proyectos!$AP924="","",Portafolio_Proyectos!$E924),"")</f>
        <v/>
      </c>
    </row>
    <row r="2772" spans="1:8" x14ac:dyDescent="0.35">
      <c r="A2772" s="5" t="str">
        <f>IFERROR(IF(Portafolio_Proyectos!$AQ924="","","CAP-"&amp;ROW()-1),"")</f>
        <v/>
      </c>
      <c r="B2772" s="5" t="str">
        <f>IFERROR(IF(Portafolio_Proyectos!$AQ924="","",Portafolio_Proyectos!$AQ924),"")</f>
        <v/>
      </c>
      <c r="C2772" s="5" t="str">
        <f>IFERROR(IF(Portafolio_Proyectos!$AQ924="","","Consolidada"),"")</f>
        <v/>
      </c>
      <c r="D2772" s="5" t="str">
        <f>IFERROR(IF(Portafolio_Proyectos!$AQ924="","",Portafolio_Proyectos!$C924),"")</f>
        <v/>
      </c>
      <c r="E2772" s="5" t="str">
        <f>IFERROR(IF(Portafolio_Proyectos!$AQ924="","",Portafolio_Proyectos!$B924),"")</f>
        <v/>
      </c>
      <c r="F2772" s="5" t="str">
        <f>IFERROR(IF(Portafolio_Proyectos!$AQ924="","",Portafolio_Proyectos!$D924),"")</f>
        <v/>
      </c>
      <c r="G2772" s="5" t="str">
        <f>IFERROR(IF(Portafolio_Proyectos!$AQ924="","",Portafolio_Proyectos!$A924),"")</f>
        <v/>
      </c>
      <c r="H2772" s="5" t="str">
        <f>IFERROR(IF(Portafolio_Proyectos!$AQ924="","",Portafolio_Proyectos!$E924),"")</f>
        <v/>
      </c>
    </row>
    <row r="2773" spans="1:8" x14ac:dyDescent="0.35">
      <c r="A2773" s="5" t="str">
        <f>IFERROR(IF(Portafolio_Proyectos!$AR924="","","CAP-"&amp;ROW()-1),"")</f>
        <v/>
      </c>
      <c r="B2773" s="5" t="str">
        <f>IFERROR(IF(Portafolio_Proyectos!$AR924="","",Portafolio_Proyectos!$AR924),"")</f>
        <v/>
      </c>
      <c r="C2773" s="5" t="str">
        <f>IFERROR(IF(Portafolio_Proyectos!$AR924="","","Distintiva"),"")</f>
        <v/>
      </c>
      <c r="D2773" s="5" t="str">
        <f>IFERROR(IF(Portafolio_Proyectos!$AR924="","",Portafolio_Proyectos!$C924),"")</f>
        <v/>
      </c>
      <c r="E2773" s="5" t="str">
        <f>IFERROR(IF(Portafolio_Proyectos!$AR924="","",Portafolio_Proyectos!$B924),"")</f>
        <v/>
      </c>
      <c r="F2773" s="5" t="str">
        <f>IFERROR(IF(Portafolio_Proyectos!$AR924="","",Portafolio_Proyectos!$D924),"")</f>
        <v/>
      </c>
      <c r="G2773" s="5" t="str">
        <f>IFERROR(IF(Portafolio_Proyectos!$AR924="","",Portafolio_Proyectos!$A924),"")</f>
        <v/>
      </c>
      <c r="H2773" s="5" t="str">
        <f>IFERROR(IF(Portafolio_Proyectos!$AR924="","",Portafolio_Proyectos!$E924),"")</f>
        <v/>
      </c>
    </row>
    <row r="2774" spans="1:8" x14ac:dyDescent="0.35">
      <c r="A2774" s="5" t="str">
        <f>IFERROR(IF(Portafolio_Proyectos!$AP925="","","CAP-"&amp;ROW()-1),"")</f>
        <v/>
      </c>
      <c r="B2774" s="5" t="str">
        <f>IFERROR(IF(Portafolio_Proyectos!$AP925="","",Portafolio_Proyectos!$AP925),"")</f>
        <v/>
      </c>
      <c r="C2774" s="5" t="str">
        <f>IFERROR(IF(Portafolio_Proyectos!$AP925="","","Emergente"),"")</f>
        <v/>
      </c>
      <c r="D2774" s="5" t="str">
        <f>IFERROR(IF(Portafolio_Proyectos!$AP925="","",Portafolio_Proyectos!$C925),"")</f>
        <v/>
      </c>
      <c r="E2774" s="5" t="str">
        <f>IFERROR(IF(Portafolio_Proyectos!$AP925="","",Portafolio_Proyectos!$B925),"")</f>
        <v/>
      </c>
      <c r="F2774" s="5" t="str">
        <f>IFERROR(IF(Portafolio_Proyectos!$AP925="","",Portafolio_Proyectos!$D925),"")</f>
        <v/>
      </c>
      <c r="G2774" s="5" t="str">
        <f>IFERROR(IF(Portafolio_Proyectos!$AP925="","",Portafolio_Proyectos!$A925),"")</f>
        <v/>
      </c>
      <c r="H2774" s="5" t="str">
        <f>IFERROR(IF(Portafolio_Proyectos!$AP925="","",Portafolio_Proyectos!$E925),"")</f>
        <v/>
      </c>
    </row>
    <row r="2775" spans="1:8" x14ac:dyDescent="0.35">
      <c r="A2775" s="5" t="str">
        <f>IFERROR(IF(Portafolio_Proyectos!$AQ925="","","CAP-"&amp;ROW()-1),"")</f>
        <v/>
      </c>
      <c r="B2775" s="5" t="str">
        <f>IFERROR(IF(Portafolio_Proyectos!$AQ925="","",Portafolio_Proyectos!$AQ925),"")</f>
        <v/>
      </c>
      <c r="C2775" s="5" t="str">
        <f>IFERROR(IF(Portafolio_Proyectos!$AQ925="","","Consolidada"),"")</f>
        <v/>
      </c>
      <c r="D2775" s="5" t="str">
        <f>IFERROR(IF(Portafolio_Proyectos!$AQ925="","",Portafolio_Proyectos!$C925),"")</f>
        <v/>
      </c>
      <c r="E2775" s="5" t="str">
        <f>IFERROR(IF(Portafolio_Proyectos!$AQ925="","",Portafolio_Proyectos!$B925),"")</f>
        <v/>
      </c>
      <c r="F2775" s="5" t="str">
        <f>IFERROR(IF(Portafolio_Proyectos!$AQ925="","",Portafolio_Proyectos!$D925),"")</f>
        <v/>
      </c>
      <c r="G2775" s="5" t="str">
        <f>IFERROR(IF(Portafolio_Proyectos!$AQ925="","",Portafolio_Proyectos!$A925),"")</f>
        <v/>
      </c>
      <c r="H2775" s="5" t="str">
        <f>IFERROR(IF(Portafolio_Proyectos!$AQ925="","",Portafolio_Proyectos!$E925),"")</f>
        <v/>
      </c>
    </row>
    <row r="2776" spans="1:8" x14ac:dyDescent="0.35">
      <c r="A2776" s="5" t="str">
        <f>IFERROR(IF(Portafolio_Proyectos!$AR925="","","CAP-"&amp;ROW()-1),"")</f>
        <v/>
      </c>
      <c r="B2776" s="5" t="str">
        <f>IFERROR(IF(Portafolio_Proyectos!$AR925="","",Portafolio_Proyectos!$AR925),"")</f>
        <v/>
      </c>
      <c r="C2776" s="5" t="str">
        <f>IFERROR(IF(Portafolio_Proyectos!$AR925="","","Distintiva"),"")</f>
        <v/>
      </c>
      <c r="D2776" s="5" t="str">
        <f>IFERROR(IF(Portafolio_Proyectos!$AR925="","",Portafolio_Proyectos!$C925),"")</f>
        <v/>
      </c>
      <c r="E2776" s="5" t="str">
        <f>IFERROR(IF(Portafolio_Proyectos!$AR925="","",Portafolio_Proyectos!$B925),"")</f>
        <v/>
      </c>
      <c r="F2776" s="5" t="str">
        <f>IFERROR(IF(Portafolio_Proyectos!$AR925="","",Portafolio_Proyectos!$D925),"")</f>
        <v/>
      </c>
      <c r="G2776" s="5" t="str">
        <f>IFERROR(IF(Portafolio_Proyectos!$AR925="","",Portafolio_Proyectos!$A925),"")</f>
        <v/>
      </c>
      <c r="H2776" s="5" t="str">
        <f>IFERROR(IF(Portafolio_Proyectos!$AR925="","",Portafolio_Proyectos!$E925),"")</f>
        <v/>
      </c>
    </row>
    <row r="2777" spans="1:8" x14ac:dyDescent="0.35">
      <c r="A2777" s="5" t="str">
        <f>IFERROR(IF(Portafolio_Proyectos!$AP926="","","CAP-"&amp;ROW()-1),"")</f>
        <v/>
      </c>
      <c r="B2777" s="5" t="str">
        <f>IFERROR(IF(Portafolio_Proyectos!$AP926="","",Portafolio_Proyectos!$AP926),"")</f>
        <v/>
      </c>
      <c r="C2777" s="5" t="str">
        <f>IFERROR(IF(Portafolio_Proyectos!$AP926="","","Emergente"),"")</f>
        <v/>
      </c>
      <c r="D2777" s="5" t="str">
        <f>IFERROR(IF(Portafolio_Proyectos!$AP926="","",Portafolio_Proyectos!$C926),"")</f>
        <v/>
      </c>
      <c r="E2777" s="5" t="str">
        <f>IFERROR(IF(Portafolio_Proyectos!$AP926="","",Portafolio_Proyectos!$B926),"")</f>
        <v/>
      </c>
      <c r="F2777" s="5" t="str">
        <f>IFERROR(IF(Portafolio_Proyectos!$AP926="","",Portafolio_Proyectos!$D926),"")</f>
        <v/>
      </c>
      <c r="G2777" s="5" t="str">
        <f>IFERROR(IF(Portafolio_Proyectos!$AP926="","",Portafolio_Proyectos!$A926),"")</f>
        <v/>
      </c>
      <c r="H2777" s="5" t="str">
        <f>IFERROR(IF(Portafolio_Proyectos!$AP926="","",Portafolio_Proyectos!$E926),"")</f>
        <v/>
      </c>
    </row>
    <row r="2778" spans="1:8" x14ac:dyDescent="0.35">
      <c r="A2778" s="5" t="str">
        <f>IFERROR(IF(Portafolio_Proyectos!$AQ926="","","CAP-"&amp;ROW()-1),"")</f>
        <v/>
      </c>
      <c r="B2778" s="5" t="str">
        <f>IFERROR(IF(Portafolio_Proyectos!$AQ926="","",Portafolio_Proyectos!$AQ926),"")</f>
        <v/>
      </c>
      <c r="C2778" s="5" t="str">
        <f>IFERROR(IF(Portafolio_Proyectos!$AQ926="","","Consolidada"),"")</f>
        <v/>
      </c>
      <c r="D2778" s="5" t="str">
        <f>IFERROR(IF(Portafolio_Proyectos!$AQ926="","",Portafolio_Proyectos!$C926),"")</f>
        <v/>
      </c>
      <c r="E2778" s="5" t="str">
        <f>IFERROR(IF(Portafolio_Proyectos!$AQ926="","",Portafolio_Proyectos!$B926),"")</f>
        <v/>
      </c>
      <c r="F2778" s="5" t="str">
        <f>IFERROR(IF(Portafolio_Proyectos!$AQ926="","",Portafolio_Proyectos!$D926),"")</f>
        <v/>
      </c>
      <c r="G2778" s="5" t="str">
        <f>IFERROR(IF(Portafolio_Proyectos!$AQ926="","",Portafolio_Proyectos!$A926),"")</f>
        <v/>
      </c>
      <c r="H2778" s="5" t="str">
        <f>IFERROR(IF(Portafolio_Proyectos!$AQ926="","",Portafolio_Proyectos!$E926),"")</f>
        <v/>
      </c>
    </row>
    <row r="2779" spans="1:8" x14ac:dyDescent="0.35">
      <c r="A2779" s="5" t="str">
        <f>IFERROR(IF(Portafolio_Proyectos!$AR926="","","CAP-"&amp;ROW()-1),"")</f>
        <v/>
      </c>
      <c r="B2779" s="5" t="str">
        <f>IFERROR(IF(Portafolio_Proyectos!$AR926="","",Portafolio_Proyectos!$AR926),"")</f>
        <v/>
      </c>
      <c r="C2779" s="5" t="str">
        <f>IFERROR(IF(Portafolio_Proyectos!$AR926="","","Distintiva"),"")</f>
        <v/>
      </c>
      <c r="D2779" s="5" t="str">
        <f>IFERROR(IF(Portafolio_Proyectos!$AR926="","",Portafolio_Proyectos!$C926),"")</f>
        <v/>
      </c>
      <c r="E2779" s="5" t="str">
        <f>IFERROR(IF(Portafolio_Proyectos!$AR926="","",Portafolio_Proyectos!$B926),"")</f>
        <v/>
      </c>
      <c r="F2779" s="5" t="str">
        <f>IFERROR(IF(Portafolio_Proyectos!$AR926="","",Portafolio_Proyectos!$D926),"")</f>
        <v/>
      </c>
      <c r="G2779" s="5" t="str">
        <f>IFERROR(IF(Portafolio_Proyectos!$AR926="","",Portafolio_Proyectos!$A926),"")</f>
        <v/>
      </c>
      <c r="H2779" s="5" t="str">
        <f>IFERROR(IF(Portafolio_Proyectos!$AR926="","",Portafolio_Proyectos!$E926),"")</f>
        <v/>
      </c>
    </row>
    <row r="2780" spans="1:8" x14ac:dyDescent="0.35">
      <c r="A2780" s="5" t="str">
        <f>IFERROR(IF(Portafolio_Proyectos!$AP927="","","CAP-"&amp;ROW()-1),"")</f>
        <v/>
      </c>
      <c r="B2780" s="5" t="str">
        <f>IFERROR(IF(Portafolio_Proyectos!$AP927="","",Portafolio_Proyectos!$AP927),"")</f>
        <v/>
      </c>
      <c r="C2780" s="5" t="str">
        <f>IFERROR(IF(Portafolio_Proyectos!$AP927="","","Emergente"),"")</f>
        <v/>
      </c>
      <c r="D2780" s="5" t="str">
        <f>IFERROR(IF(Portafolio_Proyectos!$AP927="","",Portafolio_Proyectos!$C927),"")</f>
        <v/>
      </c>
      <c r="E2780" s="5" t="str">
        <f>IFERROR(IF(Portafolio_Proyectos!$AP927="","",Portafolio_Proyectos!$B927),"")</f>
        <v/>
      </c>
      <c r="F2780" s="5" t="str">
        <f>IFERROR(IF(Portafolio_Proyectos!$AP927="","",Portafolio_Proyectos!$D927),"")</f>
        <v/>
      </c>
      <c r="G2780" s="5" t="str">
        <f>IFERROR(IF(Portafolio_Proyectos!$AP927="","",Portafolio_Proyectos!$A927),"")</f>
        <v/>
      </c>
      <c r="H2780" s="5" t="str">
        <f>IFERROR(IF(Portafolio_Proyectos!$AP927="","",Portafolio_Proyectos!$E927),"")</f>
        <v/>
      </c>
    </row>
    <row r="2781" spans="1:8" x14ac:dyDescent="0.35">
      <c r="A2781" s="5" t="str">
        <f>IFERROR(IF(Portafolio_Proyectos!$AQ927="","","CAP-"&amp;ROW()-1),"")</f>
        <v/>
      </c>
      <c r="B2781" s="5" t="str">
        <f>IFERROR(IF(Portafolio_Proyectos!$AQ927="","",Portafolio_Proyectos!$AQ927),"")</f>
        <v/>
      </c>
      <c r="C2781" s="5" t="str">
        <f>IFERROR(IF(Portafolio_Proyectos!$AQ927="","","Consolidada"),"")</f>
        <v/>
      </c>
      <c r="D2781" s="5" t="str">
        <f>IFERROR(IF(Portafolio_Proyectos!$AQ927="","",Portafolio_Proyectos!$C927),"")</f>
        <v/>
      </c>
      <c r="E2781" s="5" t="str">
        <f>IFERROR(IF(Portafolio_Proyectos!$AQ927="","",Portafolio_Proyectos!$B927),"")</f>
        <v/>
      </c>
      <c r="F2781" s="5" t="str">
        <f>IFERROR(IF(Portafolio_Proyectos!$AQ927="","",Portafolio_Proyectos!$D927),"")</f>
        <v/>
      </c>
      <c r="G2781" s="5" t="str">
        <f>IFERROR(IF(Portafolio_Proyectos!$AQ927="","",Portafolio_Proyectos!$A927),"")</f>
        <v/>
      </c>
      <c r="H2781" s="5" t="str">
        <f>IFERROR(IF(Portafolio_Proyectos!$AQ927="","",Portafolio_Proyectos!$E927),"")</f>
        <v/>
      </c>
    </row>
    <row r="2782" spans="1:8" x14ac:dyDescent="0.35">
      <c r="A2782" s="5" t="str">
        <f>IFERROR(IF(Portafolio_Proyectos!$AR927="","","CAP-"&amp;ROW()-1),"")</f>
        <v/>
      </c>
      <c r="B2782" s="5" t="str">
        <f>IFERROR(IF(Portafolio_Proyectos!$AR927="","",Portafolio_Proyectos!$AR927),"")</f>
        <v/>
      </c>
      <c r="C2782" s="5" t="str">
        <f>IFERROR(IF(Portafolio_Proyectos!$AR927="","","Distintiva"),"")</f>
        <v/>
      </c>
      <c r="D2782" s="5" t="str">
        <f>IFERROR(IF(Portafolio_Proyectos!$AR927="","",Portafolio_Proyectos!$C927),"")</f>
        <v/>
      </c>
      <c r="E2782" s="5" t="str">
        <f>IFERROR(IF(Portafolio_Proyectos!$AR927="","",Portafolio_Proyectos!$B927),"")</f>
        <v/>
      </c>
      <c r="F2782" s="5" t="str">
        <f>IFERROR(IF(Portafolio_Proyectos!$AR927="","",Portafolio_Proyectos!$D927),"")</f>
        <v/>
      </c>
      <c r="G2782" s="5" t="str">
        <f>IFERROR(IF(Portafolio_Proyectos!$AR927="","",Portafolio_Proyectos!$A927),"")</f>
        <v/>
      </c>
      <c r="H2782" s="5" t="str">
        <f>IFERROR(IF(Portafolio_Proyectos!$AR927="","",Portafolio_Proyectos!$E927),"")</f>
        <v/>
      </c>
    </row>
    <row r="2783" spans="1:8" x14ac:dyDescent="0.35">
      <c r="A2783" s="5" t="str">
        <f>IFERROR(IF(Portafolio_Proyectos!$AP928="","","CAP-"&amp;ROW()-1),"")</f>
        <v/>
      </c>
      <c r="B2783" s="5" t="str">
        <f>IFERROR(IF(Portafolio_Proyectos!$AP928="","",Portafolio_Proyectos!$AP928),"")</f>
        <v/>
      </c>
      <c r="C2783" s="5" t="str">
        <f>IFERROR(IF(Portafolio_Proyectos!$AP928="","","Emergente"),"")</f>
        <v/>
      </c>
      <c r="D2783" s="5" t="str">
        <f>IFERROR(IF(Portafolio_Proyectos!$AP928="","",Portafolio_Proyectos!$C928),"")</f>
        <v/>
      </c>
      <c r="E2783" s="5" t="str">
        <f>IFERROR(IF(Portafolio_Proyectos!$AP928="","",Portafolio_Proyectos!$B928),"")</f>
        <v/>
      </c>
      <c r="F2783" s="5" t="str">
        <f>IFERROR(IF(Portafolio_Proyectos!$AP928="","",Portafolio_Proyectos!$D928),"")</f>
        <v/>
      </c>
      <c r="G2783" s="5" t="str">
        <f>IFERROR(IF(Portafolio_Proyectos!$AP928="","",Portafolio_Proyectos!$A928),"")</f>
        <v/>
      </c>
      <c r="H2783" s="5" t="str">
        <f>IFERROR(IF(Portafolio_Proyectos!$AP928="","",Portafolio_Proyectos!$E928),"")</f>
        <v/>
      </c>
    </row>
    <row r="2784" spans="1:8" x14ac:dyDescent="0.35">
      <c r="A2784" s="5" t="str">
        <f>IFERROR(IF(Portafolio_Proyectos!$AQ928="","","CAP-"&amp;ROW()-1),"")</f>
        <v/>
      </c>
      <c r="B2784" s="5" t="str">
        <f>IFERROR(IF(Portafolio_Proyectos!$AQ928="","",Portafolio_Proyectos!$AQ928),"")</f>
        <v/>
      </c>
      <c r="C2784" s="5" t="str">
        <f>IFERROR(IF(Portafolio_Proyectos!$AQ928="","","Consolidada"),"")</f>
        <v/>
      </c>
      <c r="D2784" s="5" t="str">
        <f>IFERROR(IF(Portafolio_Proyectos!$AQ928="","",Portafolio_Proyectos!$C928),"")</f>
        <v/>
      </c>
      <c r="E2784" s="5" t="str">
        <f>IFERROR(IF(Portafolio_Proyectos!$AQ928="","",Portafolio_Proyectos!$B928),"")</f>
        <v/>
      </c>
      <c r="F2784" s="5" t="str">
        <f>IFERROR(IF(Portafolio_Proyectos!$AQ928="","",Portafolio_Proyectos!$D928),"")</f>
        <v/>
      </c>
      <c r="G2784" s="5" t="str">
        <f>IFERROR(IF(Portafolio_Proyectos!$AQ928="","",Portafolio_Proyectos!$A928),"")</f>
        <v/>
      </c>
      <c r="H2784" s="5" t="str">
        <f>IFERROR(IF(Portafolio_Proyectos!$AQ928="","",Portafolio_Proyectos!$E928),"")</f>
        <v/>
      </c>
    </row>
    <row r="2785" spans="1:8" x14ac:dyDescent="0.35">
      <c r="A2785" s="5" t="str">
        <f>IFERROR(IF(Portafolio_Proyectos!$AR928="","","CAP-"&amp;ROW()-1),"")</f>
        <v/>
      </c>
      <c r="B2785" s="5" t="str">
        <f>IFERROR(IF(Portafolio_Proyectos!$AR928="","",Portafolio_Proyectos!$AR928),"")</f>
        <v/>
      </c>
      <c r="C2785" s="5" t="str">
        <f>IFERROR(IF(Portafolio_Proyectos!$AR928="","","Distintiva"),"")</f>
        <v/>
      </c>
      <c r="D2785" s="5" t="str">
        <f>IFERROR(IF(Portafolio_Proyectos!$AR928="","",Portafolio_Proyectos!$C928),"")</f>
        <v/>
      </c>
      <c r="E2785" s="5" t="str">
        <f>IFERROR(IF(Portafolio_Proyectos!$AR928="","",Portafolio_Proyectos!$B928),"")</f>
        <v/>
      </c>
      <c r="F2785" s="5" t="str">
        <f>IFERROR(IF(Portafolio_Proyectos!$AR928="","",Portafolio_Proyectos!$D928),"")</f>
        <v/>
      </c>
      <c r="G2785" s="5" t="str">
        <f>IFERROR(IF(Portafolio_Proyectos!$AR928="","",Portafolio_Proyectos!$A928),"")</f>
        <v/>
      </c>
      <c r="H2785" s="5" t="str">
        <f>IFERROR(IF(Portafolio_Proyectos!$AR928="","",Portafolio_Proyectos!$E928),"")</f>
        <v/>
      </c>
    </row>
    <row r="2786" spans="1:8" x14ac:dyDescent="0.35">
      <c r="A2786" s="5" t="str">
        <f>IFERROR(IF(Portafolio_Proyectos!$AP929="","","CAP-"&amp;ROW()-1),"")</f>
        <v/>
      </c>
      <c r="B2786" s="5" t="str">
        <f>IFERROR(IF(Portafolio_Proyectos!$AP929="","",Portafolio_Proyectos!$AP929),"")</f>
        <v/>
      </c>
      <c r="C2786" s="5" t="str">
        <f>IFERROR(IF(Portafolio_Proyectos!$AP929="","","Emergente"),"")</f>
        <v/>
      </c>
      <c r="D2786" s="5" t="str">
        <f>IFERROR(IF(Portafolio_Proyectos!$AP929="","",Portafolio_Proyectos!$C929),"")</f>
        <v/>
      </c>
      <c r="E2786" s="5" t="str">
        <f>IFERROR(IF(Portafolio_Proyectos!$AP929="","",Portafolio_Proyectos!$B929),"")</f>
        <v/>
      </c>
      <c r="F2786" s="5" t="str">
        <f>IFERROR(IF(Portafolio_Proyectos!$AP929="","",Portafolio_Proyectos!$D929),"")</f>
        <v/>
      </c>
      <c r="G2786" s="5" t="str">
        <f>IFERROR(IF(Portafolio_Proyectos!$AP929="","",Portafolio_Proyectos!$A929),"")</f>
        <v/>
      </c>
      <c r="H2786" s="5" t="str">
        <f>IFERROR(IF(Portafolio_Proyectos!$AP929="","",Portafolio_Proyectos!$E929),"")</f>
        <v/>
      </c>
    </row>
    <row r="2787" spans="1:8" x14ac:dyDescent="0.35">
      <c r="A2787" s="5" t="str">
        <f>IFERROR(IF(Portafolio_Proyectos!$AQ929="","","CAP-"&amp;ROW()-1),"")</f>
        <v/>
      </c>
      <c r="B2787" s="5" t="str">
        <f>IFERROR(IF(Portafolio_Proyectos!$AQ929="","",Portafolio_Proyectos!$AQ929),"")</f>
        <v/>
      </c>
      <c r="C2787" s="5" t="str">
        <f>IFERROR(IF(Portafolio_Proyectos!$AQ929="","","Consolidada"),"")</f>
        <v/>
      </c>
      <c r="D2787" s="5" t="str">
        <f>IFERROR(IF(Portafolio_Proyectos!$AQ929="","",Portafolio_Proyectos!$C929),"")</f>
        <v/>
      </c>
      <c r="E2787" s="5" t="str">
        <f>IFERROR(IF(Portafolio_Proyectos!$AQ929="","",Portafolio_Proyectos!$B929),"")</f>
        <v/>
      </c>
      <c r="F2787" s="5" t="str">
        <f>IFERROR(IF(Portafolio_Proyectos!$AQ929="","",Portafolio_Proyectos!$D929),"")</f>
        <v/>
      </c>
      <c r="G2787" s="5" t="str">
        <f>IFERROR(IF(Portafolio_Proyectos!$AQ929="","",Portafolio_Proyectos!$A929),"")</f>
        <v/>
      </c>
      <c r="H2787" s="5" t="str">
        <f>IFERROR(IF(Portafolio_Proyectos!$AQ929="","",Portafolio_Proyectos!$E929),"")</f>
        <v/>
      </c>
    </row>
    <row r="2788" spans="1:8" x14ac:dyDescent="0.35">
      <c r="A2788" s="5" t="str">
        <f>IFERROR(IF(Portafolio_Proyectos!$AR929="","","CAP-"&amp;ROW()-1),"")</f>
        <v/>
      </c>
      <c r="B2788" s="5" t="str">
        <f>IFERROR(IF(Portafolio_Proyectos!$AR929="","",Portafolio_Proyectos!$AR929),"")</f>
        <v/>
      </c>
      <c r="C2788" s="5" t="str">
        <f>IFERROR(IF(Portafolio_Proyectos!$AR929="","","Distintiva"),"")</f>
        <v/>
      </c>
      <c r="D2788" s="5" t="str">
        <f>IFERROR(IF(Portafolio_Proyectos!$AR929="","",Portafolio_Proyectos!$C929),"")</f>
        <v/>
      </c>
      <c r="E2788" s="5" t="str">
        <f>IFERROR(IF(Portafolio_Proyectos!$AR929="","",Portafolio_Proyectos!$B929),"")</f>
        <v/>
      </c>
      <c r="F2788" s="5" t="str">
        <f>IFERROR(IF(Portafolio_Proyectos!$AR929="","",Portafolio_Proyectos!$D929),"")</f>
        <v/>
      </c>
      <c r="G2788" s="5" t="str">
        <f>IFERROR(IF(Portafolio_Proyectos!$AR929="","",Portafolio_Proyectos!$A929),"")</f>
        <v/>
      </c>
      <c r="H2788" s="5" t="str">
        <f>IFERROR(IF(Portafolio_Proyectos!$AR929="","",Portafolio_Proyectos!$E929),"")</f>
        <v/>
      </c>
    </row>
    <row r="2789" spans="1:8" x14ac:dyDescent="0.35">
      <c r="A2789" s="5" t="str">
        <f>IFERROR(IF(Portafolio_Proyectos!$AP930="","","CAP-"&amp;ROW()-1),"")</f>
        <v/>
      </c>
      <c r="B2789" s="5" t="str">
        <f>IFERROR(IF(Portafolio_Proyectos!$AP930="","",Portafolio_Proyectos!$AP930),"")</f>
        <v/>
      </c>
      <c r="C2789" s="5" t="str">
        <f>IFERROR(IF(Portafolio_Proyectos!$AP930="","","Emergente"),"")</f>
        <v/>
      </c>
      <c r="D2789" s="5" t="str">
        <f>IFERROR(IF(Portafolio_Proyectos!$AP930="","",Portafolio_Proyectos!$C930),"")</f>
        <v/>
      </c>
      <c r="E2789" s="5" t="str">
        <f>IFERROR(IF(Portafolio_Proyectos!$AP930="","",Portafolio_Proyectos!$B930),"")</f>
        <v/>
      </c>
      <c r="F2789" s="5" t="str">
        <f>IFERROR(IF(Portafolio_Proyectos!$AP930="","",Portafolio_Proyectos!$D930),"")</f>
        <v/>
      </c>
      <c r="G2789" s="5" t="str">
        <f>IFERROR(IF(Portafolio_Proyectos!$AP930="","",Portafolio_Proyectos!$A930),"")</f>
        <v/>
      </c>
      <c r="H2789" s="5" t="str">
        <f>IFERROR(IF(Portafolio_Proyectos!$AP930="","",Portafolio_Proyectos!$E930),"")</f>
        <v/>
      </c>
    </row>
    <row r="2790" spans="1:8" x14ac:dyDescent="0.35">
      <c r="A2790" s="5" t="str">
        <f>IFERROR(IF(Portafolio_Proyectos!$AQ930="","","CAP-"&amp;ROW()-1),"")</f>
        <v/>
      </c>
      <c r="B2790" s="5" t="str">
        <f>IFERROR(IF(Portafolio_Proyectos!$AQ930="","",Portafolio_Proyectos!$AQ930),"")</f>
        <v/>
      </c>
      <c r="C2790" s="5" t="str">
        <f>IFERROR(IF(Portafolio_Proyectos!$AQ930="","","Consolidada"),"")</f>
        <v/>
      </c>
      <c r="D2790" s="5" t="str">
        <f>IFERROR(IF(Portafolio_Proyectos!$AQ930="","",Portafolio_Proyectos!$C930),"")</f>
        <v/>
      </c>
      <c r="E2790" s="5" t="str">
        <f>IFERROR(IF(Portafolio_Proyectos!$AQ930="","",Portafolio_Proyectos!$B930),"")</f>
        <v/>
      </c>
      <c r="F2790" s="5" t="str">
        <f>IFERROR(IF(Portafolio_Proyectos!$AQ930="","",Portafolio_Proyectos!$D930),"")</f>
        <v/>
      </c>
      <c r="G2790" s="5" t="str">
        <f>IFERROR(IF(Portafolio_Proyectos!$AQ930="","",Portafolio_Proyectos!$A930),"")</f>
        <v/>
      </c>
      <c r="H2790" s="5" t="str">
        <f>IFERROR(IF(Portafolio_Proyectos!$AQ930="","",Portafolio_Proyectos!$E930),"")</f>
        <v/>
      </c>
    </row>
    <row r="2791" spans="1:8" x14ac:dyDescent="0.35">
      <c r="A2791" s="5" t="str">
        <f>IFERROR(IF(Portafolio_Proyectos!$AR930="","","CAP-"&amp;ROW()-1),"")</f>
        <v/>
      </c>
      <c r="B2791" s="5" t="str">
        <f>IFERROR(IF(Portafolio_Proyectos!$AR930="","",Portafolio_Proyectos!$AR930),"")</f>
        <v/>
      </c>
      <c r="C2791" s="5" t="str">
        <f>IFERROR(IF(Portafolio_Proyectos!$AR930="","","Distintiva"),"")</f>
        <v/>
      </c>
      <c r="D2791" s="5" t="str">
        <f>IFERROR(IF(Portafolio_Proyectos!$AR930="","",Portafolio_Proyectos!$C930),"")</f>
        <v/>
      </c>
      <c r="E2791" s="5" t="str">
        <f>IFERROR(IF(Portafolio_Proyectos!$AR930="","",Portafolio_Proyectos!$B930),"")</f>
        <v/>
      </c>
      <c r="F2791" s="5" t="str">
        <f>IFERROR(IF(Portafolio_Proyectos!$AR930="","",Portafolio_Proyectos!$D930),"")</f>
        <v/>
      </c>
      <c r="G2791" s="5" t="str">
        <f>IFERROR(IF(Portafolio_Proyectos!$AR930="","",Portafolio_Proyectos!$A930),"")</f>
        <v/>
      </c>
      <c r="H2791" s="5" t="str">
        <f>IFERROR(IF(Portafolio_Proyectos!$AR930="","",Portafolio_Proyectos!$E930),"")</f>
        <v/>
      </c>
    </row>
    <row r="2792" spans="1:8" x14ac:dyDescent="0.35">
      <c r="A2792" s="5" t="str">
        <f>IFERROR(IF(Portafolio_Proyectos!$AP931="","","CAP-"&amp;ROW()-1),"")</f>
        <v/>
      </c>
      <c r="B2792" s="5" t="str">
        <f>IFERROR(IF(Portafolio_Proyectos!$AP931="","",Portafolio_Proyectos!$AP931),"")</f>
        <v/>
      </c>
      <c r="C2792" s="5" t="str">
        <f>IFERROR(IF(Portafolio_Proyectos!$AP931="","","Emergente"),"")</f>
        <v/>
      </c>
      <c r="D2792" s="5" t="str">
        <f>IFERROR(IF(Portafolio_Proyectos!$AP931="","",Portafolio_Proyectos!$C931),"")</f>
        <v/>
      </c>
      <c r="E2792" s="5" t="str">
        <f>IFERROR(IF(Portafolio_Proyectos!$AP931="","",Portafolio_Proyectos!$B931),"")</f>
        <v/>
      </c>
      <c r="F2792" s="5" t="str">
        <f>IFERROR(IF(Portafolio_Proyectos!$AP931="","",Portafolio_Proyectos!$D931),"")</f>
        <v/>
      </c>
      <c r="G2792" s="5" t="str">
        <f>IFERROR(IF(Portafolio_Proyectos!$AP931="","",Portafolio_Proyectos!$A931),"")</f>
        <v/>
      </c>
      <c r="H2792" s="5" t="str">
        <f>IFERROR(IF(Portafolio_Proyectos!$AP931="","",Portafolio_Proyectos!$E931),"")</f>
        <v/>
      </c>
    </row>
    <row r="2793" spans="1:8" x14ac:dyDescent="0.35">
      <c r="A2793" s="5" t="str">
        <f>IFERROR(IF(Portafolio_Proyectos!$AQ931="","","CAP-"&amp;ROW()-1),"")</f>
        <v/>
      </c>
      <c r="B2793" s="5" t="str">
        <f>IFERROR(IF(Portafolio_Proyectos!$AQ931="","",Portafolio_Proyectos!$AQ931),"")</f>
        <v/>
      </c>
      <c r="C2793" s="5" t="str">
        <f>IFERROR(IF(Portafolio_Proyectos!$AQ931="","","Consolidada"),"")</f>
        <v/>
      </c>
      <c r="D2793" s="5" t="str">
        <f>IFERROR(IF(Portafolio_Proyectos!$AQ931="","",Portafolio_Proyectos!$C931),"")</f>
        <v/>
      </c>
      <c r="E2793" s="5" t="str">
        <f>IFERROR(IF(Portafolio_Proyectos!$AQ931="","",Portafolio_Proyectos!$B931),"")</f>
        <v/>
      </c>
      <c r="F2793" s="5" t="str">
        <f>IFERROR(IF(Portafolio_Proyectos!$AQ931="","",Portafolio_Proyectos!$D931),"")</f>
        <v/>
      </c>
      <c r="G2793" s="5" t="str">
        <f>IFERROR(IF(Portafolio_Proyectos!$AQ931="","",Portafolio_Proyectos!$A931),"")</f>
        <v/>
      </c>
      <c r="H2793" s="5" t="str">
        <f>IFERROR(IF(Portafolio_Proyectos!$AQ931="","",Portafolio_Proyectos!$E931),"")</f>
        <v/>
      </c>
    </row>
    <row r="2794" spans="1:8" x14ac:dyDescent="0.35">
      <c r="A2794" s="5" t="str">
        <f>IFERROR(IF(Portafolio_Proyectos!$AR931="","","CAP-"&amp;ROW()-1),"")</f>
        <v/>
      </c>
      <c r="B2794" s="5" t="str">
        <f>IFERROR(IF(Portafolio_Proyectos!$AR931="","",Portafolio_Proyectos!$AR931),"")</f>
        <v/>
      </c>
      <c r="C2794" s="5" t="str">
        <f>IFERROR(IF(Portafolio_Proyectos!$AR931="","","Distintiva"),"")</f>
        <v/>
      </c>
      <c r="D2794" s="5" t="str">
        <f>IFERROR(IF(Portafolio_Proyectos!$AR931="","",Portafolio_Proyectos!$C931),"")</f>
        <v/>
      </c>
      <c r="E2794" s="5" t="str">
        <f>IFERROR(IF(Portafolio_Proyectos!$AR931="","",Portafolio_Proyectos!$B931),"")</f>
        <v/>
      </c>
      <c r="F2794" s="5" t="str">
        <f>IFERROR(IF(Portafolio_Proyectos!$AR931="","",Portafolio_Proyectos!$D931),"")</f>
        <v/>
      </c>
      <c r="G2794" s="5" t="str">
        <f>IFERROR(IF(Portafolio_Proyectos!$AR931="","",Portafolio_Proyectos!$A931),"")</f>
        <v/>
      </c>
      <c r="H2794" s="5" t="str">
        <f>IFERROR(IF(Portafolio_Proyectos!$AR931="","",Portafolio_Proyectos!$E931),"")</f>
        <v/>
      </c>
    </row>
    <row r="2795" spans="1:8" x14ac:dyDescent="0.35">
      <c r="A2795" s="5" t="str">
        <f>IFERROR(IF(Portafolio_Proyectos!$AP932="","","CAP-"&amp;ROW()-1),"")</f>
        <v/>
      </c>
      <c r="B2795" s="5" t="str">
        <f>IFERROR(IF(Portafolio_Proyectos!$AP932="","",Portafolio_Proyectos!$AP932),"")</f>
        <v/>
      </c>
      <c r="C2795" s="5" t="str">
        <f>IFERROR(IF(Portafolio_Proyectos!$AP932="","","Emergente"),"")</f>
        <v/>
      </c>
      <c r="D2795" s="5" t="str">
        <f>IFERROR(IF(Portafolio_Proyectos!$AP932="","",Portafolio_Proyectos!$C932),"")</f>
        <v/>
      </c>
      <c r="E2795" s="5" t="str">
        <f>IFERROR(IF(Portafolio_Proyectos!$AP932="","",Portafolio_Proyectos!$B932),"")</f>
        <v/>
      </c>
      <c r="F2795" s="5" t="str">
        <f>IFERROR(IF(Portafolio_Proyectos!$AP932="","",Portafolio_Proyectos!$D932),"")</f>
        <v/>
      </c>
      <c r="G2795" s="5" t="str">
        <f>IFERROR(IF(Portafolio_Proyectos!$AP932="","",Portafolio_Proyectos!$A932),"")</f>
        <v/>
      </c>
      <c r="H2795" s="5" t="str">
        <f>IFERROR(IF(Portafolio_Proyectos!$AP932="","",Portafolio_Proyectos!$E932),"")</f>
        <v/>
      </c>
    </row>
    <row r="2796" spans="1:8" x14ac:dyDescent="0.35">
      <c r="A2796" s="5" t="str">
        <f>IFERROR(IF(Portafolio_Proyectos!$AQ932="","","CAP-"&amp;ROW()-1),"")</f>
        <v/>
      </c>
      <c r="B2796" s="5" t="str">
        <f>IFERROR(IF(Portafolio_Proyectos!$AQ932="","",Portafolio_Proyectos!$AQ932),"")</f>
        <v/>
      </c>
      <c r="C2796" s="5" t="str">
        <f>IFERROR(IF(Portafolio_Proyectos!$AQ932="","","Consolidada"),"")</f>
        <v/>
      </c>
      <c r="D2796" s="5" t="str">
        <f>IFERROR(IF(Portafolio_Proyectos!$AQ932="","",Portafolio_Proyectos!$C932),"")</f>
        <v/>
      </c>
      <c r="E2796" s="5" t="str">
        <f>IFERROR(IF(Portafolio_Proyectos!$AQ932="","",Portafolio_Proyectos!$B932),"")</f>
        <v/>
      </c>
      <c r="F2796" s="5" t="str">
        <f>IFERROR(IF(Portafolio_Proyectos!$AQ932="","",Portafolio_Proyectos!$D932),"")</f>
        <v/>
      </c>
      <c r="G2796" s="5" t="str">
        <f>IFERROR(IF(Portafolio_Proyectos!$AQ932="","",Portafolio_Proyectos!$A932),"")</f>
        <v/>
      </c>
      <c r="H2796" s="5" t="str">
        <f>IFERROR(IF(Portafolio_Proyectos!$AQ932="","",Portafolio_Proyectos!$E932),"")</f>
        <v/>
      </c>
    </row>
    <row r="2797" spans="1:8" x14ac:dyDescent="0.35">
      <c r="A2797" s="5" t="str">
        <f>IFERROR(IF(Portafolio_Proyectos!$AR932="","","CAP-"&amp;ROW()-1),"")</f>
        <v/>
      </c>
      <c r="B2797" s="5" t="str">
        <f>IFERROR(IF(Portafolio_Proyectos!$AR932="","",Portafolio_Proyectos!$AR932),"")</f>
        <v/>
      </c>
      <c r="C2797" s="5" t="str">
        <f>IFERROR(IF(Portafolio_Proyectos!$AR932="","","Distintiva"),"")</f>
        <v/>
      </c>
      <c r="D2797" s="5" t="str">
        <f>IFERROR(IF(Portafolio_Proyectos!$AR932="","",Portafolio_Proyectos!$C932),"")</f>
        <v/>
      </c>
      <c r="E2797" s="5" t="str">
        <f>IFERROR(IF(Portafolio_Proyectos!$AR932="","",Portafolio_Proyectos!$B932),"")</f>
        <v/>
      </c>
      <c r="F2797" s="5" t="str">
        <f>IFERROR(IF(Portafolio_Proyectos!$AR932="","",Portafolio_Proyectos!$D932),"")</f>
        <v/>
      </c>
      <c r="G2797" s="5" t="str">
        <f>IFERROR(IF(Portafolio_Proyectos!$AR932="","",Portafolio_Proyectos!$A932),"")</f>
        <v/>
      </c>
      <c r="H2797" s="5" t="str">
        <f>IFERROR(IF(Portafolio_Proyectos!$AR932="","",Portafolio_Proyectos!$E932),"")</f>
        <v/>
      </c>
    </row>
    <row r="2798" spans="1:8" x14ac:dyDescent="0.35">
      <c r="A2798" s="5" t="str">
        <f>IFERROR(IF(Portafolio_Proyectos!$AP933="","","CAP-"&amp;ROW()-1),"")</f>
        <v/>
      </c>
      <c r="B2798" s="5" t="str">
        <f>IFERROR(IF(Portafolio_Proyectos!$AP933="","",Portafolio_Proyectos!$AP933),"")</f>
        <v/>
      </c>
      <c r="C2798" s="5" t="str">
        <f>IFERROR(IF(Portafolio_Proyectos!$AP933="","","Emergente"),"")</f>
        <v/>
      </c>
      <c r="D2798" s="5" t="str">
        <f>IFERROR(IF(Portafolio_Proyectos!$AP933="","",Portafolio_Proyectos!$C933),"")</f>
        <v/>
      </c>
      <c r="E2798" s="5" t="str">
        <f>IFERROR(IF(Portafolio_Proyectos!$AP933="","",Portafolio_Proyectos!$B933),"")</f>
        <v/>
      </c>
      <c r="F2798" s="5" t="str">
        <f>IFERROR(IF(Portafolio_Proyectos!$AP933="","",Portafolio_Proyectos!$D933),"")</f>
        <v/>
      </c>
      <c r="G2798" s="5" t="str">
        <f>IFERROR(IF(Portafolio_Proyectos!$AP933="","",Portafolio_Proyectos!$A933),"")</f>
        <v/>
      </c>
      <c r="H2798" s="5" t="str">
        <f>IFERROR(IF(Portafolio_Proyectos!$AP933="","",Portafolio_Proyectos!$E933),"")</f>
        <v/>
      </c>
    </row>
    <row r="2799" spans="1:8" x14ac:dyDescent="0.35">
      <c r="A2799" s="5" t="str">
        <f>IFERROR(IF(Portafolio_Proyectos!$AQ933="","","CAP-"&amp;ROW()-1),"")</f>
        <v/>
      </c>
      <c r="B2799" s="5" t="str">
        <f>IFERROR(IF(Portafolio_Proyectos!$AQ933="","",Portafolio_Proyectos!$AQ933),"")</f>
        <v/>
      </c>
      <c r="C2799" s="5" t="str">
        <f>IFERROR(IF(Portafolio_Proyectos!$AQ933="","","Consolidada"),"")</f>
        <v/>
      </c>
      <c r="D2799" s="5" t="str">
        <f>IFERROR(IF(Portafolio_Proyectos!$AQ933="","",Portafolio_Proyectos!$C933),"")</f>
        <v/>
      </c>
      <c r="E2799" s="5" t="str">
        <f>IFERROR(IF(Portafolio_Proyectos!$AQ933="","",Portafolio_Proyectos!$B933),"")</f>
        <v/>
      </c>
      <c r="F2799" s="5" t="str">
        <f>IFERROR(IF(Portafolio_Proyectos!$AQ933="","",Portafolio_Proyectos!$D933),"")</f>
        <v/>
      </c>
      <c r="G2799" s="5" t="str">
        <f>IFERROR(IF(Portafolio_Proyectos!$AQ933="","",Portafolio_Proyectos!$A933),"")</f>
        <v/>
      </c>
      <c r="H2799" s="5" t="str">
        <f>IFERROR(IF(Portafolio_Proyectos!$AQ933="","",Portafolio_Proyectos!$E933),"")</f>
        <v/>
      </c>
    </row>
    <row r="2800" spans="1:8" x14ac:dyDescent="0.35">
      <c r="A2800" s="5" t="str">
        <f>IFERROR(IF(Portafolio_Proyectos!$AR933="","","CAP-"&amp;ROW()-1),"")</f>
        <v/>
      </c>
      <c r="B2800" s="5" t="str">
        <f>IFERROR(IF(Portafolio_Proyectos!$AR933="","",Portafolio_Proyectos!$AR933),"")</f>
        <v/>
      </c>
      <c r="C2800" s="5" t="str">
        <f>IFERROR(IF(Portafolio_Proyectos!$AR933="","","Distintiva"),"")</f>
        <v/>
      </c>
      <c r="D2800" s="5" t="str">
        <f>IFERROR(IF(Portafolio_Proyectos!$AR933="","",Portafolio_Proyectos!$C933),"")</f>
        <v/>
      </c>
      <c r="E2800" s="5" t="str">
        <f>IFERROR(IF(Portafolio_Proyectos!$AR933="","",Portafolio_Proyectos!$B933),"")</f>
        <v/>
      </c>
      <c r="F2800" s="5" t="str">
        <f>IFERROR(IF(Portafolio_Proyectos!$AR933="","",Portafolio_Proyectos!$D933),"")</f>
        <v/>
      </c>
      <c r="G2800" s="5" t="str">
        <f>IFERROR(IF(Portafolio_Proyectos!$AR933="","",Portafolio_Proyectos!$A933),"")</f>
        <v/>
      </c>
      <c r="H2800" s="5" t="str">
        <f>IFERROR(IF(Portafolio_Proyectos!$AR933="","",Portafolio_Proyectos!$E933),"")</f>
        <v/>
      </c>
    </row>
    <row r="2801" spans="1:8" x14ac:dyDescent="0.35">
      <c r="A2801" s="5" t="str">
        <f>IFERROR(IF(Portafolio_Proyectos!$AP934="","","CAP-"&amp;ROW()-1),"")</f>
        <v/>
      </c>
      <c r="B2801" s="5" t="str">
        <f>IFERROR(IF(Portafolio_Proyectos!$AP934="","",Portafolio_Proyectos!$AP934),"")</f>
        <v/>
      </c>
      <c r="C2801" s="5" t="str">
        <f>IFERROR(IF(Portafolio_Proyectos!$AP934="","","Emergente"),"")</f>
        <v/>
      </c>
      <c r="D2801" s="5" t="str">
        <f>IFERROR(IF(Portafolio_Proyectos!$AP934="","",Portafolio_Proyectos!$C934),"")</f>
        <v/>
      </c>
      <c r="E2801" s="5" t="str">
        <f>IFERROR(IF(Portafolio_Proyectos!$AP934="","",Portafolio_Proyectos!$B934),"")</f>
        <v/>
      </c>
      <c r="F2801" s="5" t="str">
        <f>IFERROR(IF(Portafolio_Proyectos!$AP934="","",Portafolio_Proyectos!$D934),"")</f>
        <v/>
      </c>
      <c r="G2801" s="5" t="str">
        <f>IFERROR(IF(Portafolio_Proyectos!$AP934="","",Portafolio_Proyectos!$A934),"")</f>
        <v/>
      </c>
      <c r="H2801" s="5" t="str">
        <f>IFERROR(IF(Portafolio_Proyectos!$AP934="","",Portafolio_Proyectos!$E934),"")</f>
        <v/>
      </c>
    </row>
    <row r="2802" spans="1:8" x14ac:dyDescent="0.35">
      <c r="A2802" s="5" t="str">
        <f>IFERROR(IF(Portafolio_Proyectos!$AQ934="","","CAP-"&amp;ROW()-1),"")</f>
        <v/>
      </c>
      <c r="B2802" s="5" t="str">
        <f>IFERROR(IF(Portafolio_Proyectos!$AQ934="","",Portafolio_Proyectos!$AQ934),"")</f>
        <v/>
      </c>
      <c r="C2802" s="5" t="str">
        <f>IFERROR(IF(Portafolio_Proyectos!$AQ934="","","Consolidada"),"")</f>
        <v/>
      </c>
      <c r="D2802" s="5" t="str">
        <f>IFERROR(IF(Portafolio_Proyectos!$AQ934="","",Portafolio_Proyectos!$C934),"")</f>
        <v/>
      </c>
      <c r="E2802" s="5" t="str">
        <f>IFERROR(IF(Portafolio_Proyectos!$AQ934="","",Portafolio_Proyectos!$B934),"")</f>
        <v/>
      </c>
      <c r="F2802" s="5" t="str">
        <f>IFERROR(IF(Portafolio_Proyectos!$AQ934="","",Portafolio_Proyectos!$D934),"")</f>
        <v/>
      </c>
      <c r="G2802" s="5" t="str">
        <f>IFERROR(IF(Portafolio_Proyectos!$AQ934="","",Portafolio_Proyectos!$A934),"")</f>
        <v/>
      </c>
      <c r="H2802" s="5" t="str">
        <f>IFERROR(IF(Portafolio_Proyectos!$AQ934="","",Portafolio_Proyectos!$E934),"")</f>
        <v/>
      </c>
    </row>
    <row r="2803" spans="1:8" x14ac:dyDescent="0.35">
      <c r="A2803" s="5" t="str">
        <f>IFERROR(IF(Portafolio_Proyectos!$AR934="","","CAP-"&amp;ROW()-1),"")</f>
        <v/>
      </c>
      <c r="B2803" s="5" t="str">
        <f>IFERROR(IF(Portafolio_Proyectos!$AR934="","",Portafolio_Proyectos!$AR934),"")</f>
        <v/>
      </c>
      <c r="C2803" s="5" t="str">
        <f>IFERROR(IF(Portafolio_Proyectos!$AR934="","","Distintiva"),"")</f>
        <v/>
      </c>
      <c r="D2803" s="5" t="str">
        <f>IFERROR(IF(Portafolio_Proyectos!$AR934="","",Portafolio_Proyectos!$C934),"")</f>
        <v/>
      </c>
      <c r="E2803" s="5" t="str">
        <f>IFERROR(IF(Portafolio_Proyectos!$AR934="","",Portafolio_Proyectos!$B934),"")</f>
        <v/>
      </c>
      <c r="F2803" s="5" t="str">
        <f>IFERROR(IF(Portafolio_Proyectos!$AR934="","",Portafolio_Proyectos!$D934),"")</f>
        <v/>
      </c>
      <c r="G2803" s="5" t="str">
        <f>IFERROR(IF(Portafolio_Proyectos!$AR934="","",Portafolio_Proyectos!$A934),"")</f>
        <v/>
      </c>
      <c r="H2803" s="5" t="str">
        <f>IFERROR(IF(Portafolio_Proyectos!$AR934="","",Portafolio_Proyectos!$E934),"")</f>
        <v/>
      </c>
    </row>
    <row r="2804" spans="1:8" x14ac:dyDescent="0.35">
      <c r="A2804" s="5" t="str">
        <f>IFERROR(IF(Portafolio_Proyectos!$AP935="","","CAP-"&amp;ROW()-1),"")</f>
        <v/>
      </c>
      <c r="B2804" s="5" t="str">
        <f>IFERROR(IF(Portafolio_Proyectos!$AP935="","",Portafolio_Proyectos!$AP935),"")</f>
        <v/>
      </c>
      <c r="C2804" s="5" t="str">
        <f>IFERROR(IF(Portafolio_Proyectos!$AP935="","","Emergente"),"")</f>
        <v/>
      </c>
      <c r="D2804" s="5" t="str">
        <f>IFERROR(IF(Portafolio_Proyectos!$AP935="","",Portafolio_Proyectos!$C935),"")</f>
        <v/>
      </c>
      <c r="E2804" s="5" t="str">
        <f>IFERROR(IF(Portafolio_Proyectos!$AP935="","",Portafolio_Proyectos!$B935),"")</f>
        <v/>
      </c>
      <c r="F2804" s="5" t="str">
        <f>IFERROR(IF(Portafolio_Proyectos!$AP935="","",Portafolio_Proyectos!$D935),"")</f>
        <v/>
      </c>
      <c r="G2804" s="5" t="str">
        <f>IFERROR(IF(Portafolio_Proyectos!$AP935="","",Portafolio_Proyectos!$A935),"")</f>
        <v/>
      </c>
      <c r="H2804" s="5" t="str">
        <f>IFERROR(IF(Portafolio_Proyectos!$AP935="","",Portafolio_Proyectos!$E935),"")</f>
        <v/>
      </c>
    </row>
    <row r="2805" spans="1:8" x14ac:dyDescent="0.35">
      <c r="A2805" s="5" t="str">
        <f>IFERROR(IF(Portafolio_Proyectos!$AQ935="","","CAP-"&amp;ROW()-1),"")</f>
        <v/>
      </c>
      <c r="B2805" s="5" t="str">
        <f>IFERROR(IF(Portafolio_Proyectos!$AQ935="","",Portafolio_Proyectos!$AQ935),"")</f>
        <v/>
      </c>
      <c r="C2805" s="5" t="str">
        <f>IFERROR(IF(Portafolio_Proyectos!$AQ935="","","Consolidada"),"")</f>
        <v/>
      </c>
      <c r="D2805" s="5" t="str">
        <f>IFERROR(IF(Portafolio_Proyectos!$AQ935="","",Portafolio_Proyectos!$C935),"")</f>
        <v/>
      </c>
      <c r="E2805" s="5" t="str">
        <f>IFERROR(IF(Portafolio_Proyectos!$AQ935="","",Portafolio_Proyectos!$B935),"")</f>
        <v/>
      </c>
      <c r="F2805" s="5" t="str">
        <f>IFERROR(IF(Portafolio_Proyectos!$AQ935="","",Portafolio_Proyectos!$D935),"")</f>
        <v/>
      </c>
      <c r="G2805" s="5" t="str">
        <f>IFERROR(IF(Portafolio_Proyectos!$AQ935="","",Portafolio_Proyectos!$A935),"")</f>
        <v/>
      </c>
      <c r="H2805" s="5" t="str">
        <f>IFERROR(IF(Portafolio_Proyectos!$AQ935="","",Portafolio_Proyectos!$E935),"")</f>
        <v/>
      </c>
    </row>
    <row r="2806" spans="1:8" x14ac:dyDescent="0.35">
      <c r="A2806" s="5" t="str">
        <f>IFERROR(IF(Portafolio_Proyectos!$AR935="","","CAP-"&amp;ROW()-1),"")</f>
        <v/>
      </c>
      <c r="B2806" s="5" t="str">
        <f>IFERROR(IF(Portafolio_Proyectos!$AR935="","",Portafolio_Proyectos!$AR935),"")</f>
        <v/>
      </c>
      <c r="C2806" s="5" t="str">
        <f>IFERROR(IF(Portafolio_Proyectos!$AR935="","","Distintiva"),"")</f>
        <v/>
      </c>
      <c r="D2806" s="5" t="str">
        <f>IFERROR(IF(Portafolio_Proyectos!$AR935="","",Portafolio_Proyectos!$C935),"")</f>
        <v/>
      </c>
      <c r="E2806" s="5" t="str">
        <f>IFERROR(IF(Portafolio_Proyectos!$AR935="","",Portafolio_Proyectos!$B935),"")</f>
        <v/>
      </c>
      <c r="F2806" s="5" t="str">
        <f>IFERROR(IF(Portafolio_Proyectos!$AR935="","",Portafolio_Proyectos!$D935),"")</f>
        <v/>
      </c>
      <c r="G2806" s="5" t="str">
        <f>IFERROR(IF(Portafolio_Proyectos!$AR935="","",Portafolio_Proyectos!$A935),"")</f>
        <v/>
      </c>
      <c r="H2806" s="5" t="str">
        <f>IFERROR(IF(Portafolio_Proyectos!$AR935="","",Portafolio_Proyectos!$E935),"")</f>
        <v/>
      </c>
    </row>
    <row r="2807" spans="1:8" x14ac:dyDescent="0.35">
      <c r="A2807" s="5" t="str">
        <f>IFERROR(IF(Portafolio_Proyectos!$AP936="","","CAP-"&amp;ROW()-1),"")</f>
        <v/>
      </c>
      <c r="B2807" s="5" t="str">
        <f>IFERROR(IF(Portafolio_Proyectos!$AP936="","",Portafolio_Proyectos!$AP936),"")</f>
        <v/>
      </c>
      <c r="C2807" s="5" t="str">
        <f>IFERROR(IF(Portafolio_Proyectos!$AP936="","","Emergente"),"")</f>
        <v/>
      </c>
      <c r="D2807" s="5" t="str">
        <f>IFERROR(IF(Portafolio_Proyectos!$AP936="","",Portafolio_Proyectos!$C936),"")</f>
        <v/>
      </c>
      <c r="E2807" s="5" t="str">
        <f>IFERROR(IF(Portafolio_Proyectos!$AP936="","",Portafolio_Proyectos!$B936),"")</f>
        <v/>
      </c>
      <c r="F2807" s="5" t="str">
        <f>IFERROR(IF(Portafolio_Proyectos!$AP936="","",Portafolio_Proyectos!$D936),"")</f>
        <v/>
      </c>
      <c r="G2807" s="5" t="str">
        <f>IFERROR(IF(Portafolio_Proyectos!$AP936="","",Portafolio_Proyectos!$A936),"")</f>
        <v/>
      </c>
      <c r="H2807" s="5" t="str">
        <f>IFERROR(IF(Portafolio_Proyectos!$AP936="","",Portafolio_Proyectos!$E936),"")</f>
        <v/>
      </c>
    </row>
    <row r="2808" spans="1:8" x14ac:dyDescent="0.35">
      <c r="A2808" s="5" t="str">
        <f>IFERROR(IF(Portafolio_Proyectos!$AQ936="","","CAP-"&amp;ROW()-1),"")</f>
        <v/>
      </c>
      <c r="B2808" s="5" t="str">
        <f>IFERROR(IF(Portafolio_Proyectos!$AQ936="","",Portafolio_Proyectos!$AQ936),"")</f>
        <v/>
      </c>
      <c r="C2808" s="5" t="str">
        <f>IFERROR(IF(Portafolio_Proyectos!$AQ936="","","Consolidada"),"")</f>
        <v/>
      </c>
      <c r="D2808" s="5" t="str">
        <f>IFERROR(IF(Portafolio_Proyectos!$AQ936="","",Portafolio_Proyectos!$C936),"")</f>
        <v/>
      </c>
      <c r="E2808" s="5" t="str">
        <f>IFERROR(IF(Portafolio_Proyectos!$AQ936="","",Portafolio_Proyectos!$B936),"")</f>
        <v/>
      </c>
      <c r="F2808" s="5" t="str">
        <f>IFERROR(IF(Portafolio_Proyectos!$AQ936="","",Portafolio_Proyectos!$D936),"")</f>
        <v/>
      </c>
      <c r="G2808" s="5" t="str">
        <f>IFERROR(IF(Portafolio_Proyectos!$AQ936="","",Portafolio_Proyectos!$A936),"")</f>
        <v/>
      </c>
      <c r="H2808" s="5" t="str">
        <f>IFERROR(IF(Portafolio_Proyectos!$AQ936="","",Portafolio_Proyectos!$E936),"")</f>
        <v/>
      </c>
    </row>
    <row r="2809" spans="1:8" x14ac:dyDescent="0.35">
      <c r="A2809" s="5" t="str">
        <f>IFERROR(IF(Portafolio_Proyectos!$AR936="","","CAP-"&amp;ROW()-1),"")</f>
        <v/>
      </c>
      <c r="B2809" s="5" t="str">
        <f>IFERROR(IF(Portafolio_Proyectos!$AR936="","",Portafolio_Proyectos!$AR936),"")</f>
        <v/>
      </c>
      <c r="C2809" s="5" t="str">
        <f>IFERROR(IF(Portafolio_Proyectos!$AR936="","","Distintiva"),"")</f>
        <v/>
      </c>
      <c r="D2809" s="5" t="str">
        <f>IFERROR(IF(Portafolio_Proyectos!$AR936="","",Portafolio_Proyectos!$C936),"")</f>
        <v/>
      </c>
      <c r="E2809" s="5" t="str">
        <f>IFERROR(IF(Portafolio_Proyectos!$AR936="","",Portafolio_Proyectos!$B936),"")</f>
        <v/>
      </c>
      <c r="F2809" s="5" t="str">
        <f>IFERROR(IF(Portafolio_Proyectos!$AR936="","",Portafolio_Proyectos!$D936),"")</f>
        <v/>
      </c>
      <c r="G2809" s="5" t="str">
        <f>IFERROR(IF(Portafolio_Proyectos!$AR936="","",Portafolio_Proyectos!$A936),"")</f>
        <v/>
      </c>
      <c r="H2809" s="5" t="str">
        <f>IFERROR(IF(Portafolio_Proyectos!$AR936="","",Portafolio_Proyectos!$E936),"")</f>
        <v/>
      </c>
    </row>
    <row r="2810" spans="1:8" x14ac:dyDescent="0.35">
      <c r="A2810" s="5" t="str">
        <f>IFERROR(IF(Portafolio_Proyectos!$AP937="","","CAP-"&amp;ROW()-1),"")</f>
        <v/>
      </c>
      <c r="B2810" s="5" t="str">
        <f>IFERROR(IF(Portafolio_Proyectos!$AP937="","",Portafolio_Proyectos!$AP937),"")</f>
        <v/>
      </c>
      <c r="C2810" s="5" t="str">
        <f>IFERROR(IF(Portafolio_Proyectos!$AP937="","","Emergente"),"")</f>
        <v/>
      </c>
      <c r="D2810" s="5" t="str">
        <f>IFERROR(IF(Portafolio_Proyectos!$AP937="","",Portafolio_Proyectos!$C937),"")</f>
        <v/>
      </c>
      <c r="E2810" s="5" t="str">
        <f>IFERROR(IF(Portafolio_Proyectos!$AP937="","",Portafolio_Proyectos!$B937),"")</f>
        <v/>
      </c>
      <c r="F2810" s="5" t="str">
        <f>IFERROR(IF(Portafolio_Proyectos!$AP937="","",Portafolio_Proyectos!$D937),"")</f>
        <v/>
      </c>
      <c r="G2810" s="5" t="str">
        <f>IFERROR(IF(Portafolio_Proyectos!$AP937="","",Portafolio_Proyectos!$A937),"")</f>
        <v/>
      </c>
      <c r="H2810" s="5" t="str">
        <f>IFERROR(IF(Portafolio_Proyectos!$AP937="","",Portafolio_Proyectos!$E937),"")</f>
        <v/>
      </c>
    </row>
    <row r="2811" spans="1:8" x14ac:dyDescent="0.35">
      <c r="A2811" s="5" t="str">
        <f>IFERROR(IF(Portafolio_Proyectos!$AQ937="","","CAP-"&amp;ROW()-1),"")</f>
        <v/>
      </c>
      <c r="B2811" s="5" t="str">
        <f>IFERROR(IF(Portafolio_Proyectos!$AQ937="","",Portafolio_Proyectos!$AQ937),"")</f>
        <v/>
      </c>
      <c r="C2811" s="5" t="str">
        <f>IFERROR(IF(Portafolio_Proyectos!$AQ937="","","Consolidada"),"")</f>
        <v/>
      </c>
      <c r="D2811" s="5" t="str">
        <f>IFERROR(IF(Portafolio_Proyectos!$AQ937="","",Portafolio_Proyectos!$C937),"")</f>
        <v/>
      </c>
      <c r="E2811" s="5" t="str">
        <f>IFERROR(IF(Portafolio_Proyectos!$AQ937="","",Portafolio_Proyectos!$B937),"")</f>
        <v/>
      </c>
      <c r="F2811" s="5" t="str">
        <f>IFERROR(IF(Portafolio_Proyectos!$AQ937="","",Portafolio_Proyectos!$D937),"")</f>
        <v/>
      </c>
      <c r="G2811" s="5" t="str">
        <f>IFERROR(IF(Portafolio_Proyectos!$AQ937="","",Portafolio_Proyectos!$A937),"")</f>
        <v/>
      </c>
      <c r="H2811" s="5" t="str">
        <f>IFERROR(IF(Portafolio_Proyectos!$AQ937="","",Portafolio_Proyectos!$E937),"")</f>
        <v/>
      </c>
    </row>
    <row r="2812" spans="1:8" x14ac:dyDescent="0.35">
      <c r="A2812" s="5" t="str">
        <f>IFERROR(IF(Portafolio_Proyectos!$AR937="","","CAP-"&amp;ROW()-1),"")</f>
        <v/>
      </c>
      <c r="B2812" s="5" t="str">
        <f>IFERROR(IF(Portafolio_Proyectos!$AR937="","",Portafolio_Proyectos!$AR937),"")</f>
        <v/>
      </c>
      <c r="C2812" s="5" t="str">
        <f>IFERROR(IF(Portafolio_Proyectos!$AR937="","","Distintiva"),"")</f>
        <v/>
      </c>
      <c r="D2812" s="5" t="str">
        <f>IFERROR(IF(Portafolio_Proyectos!$AR937="","",Portafolio_Proyectos!$C937),"")</f>
        <v/>
      </c>
      <c r="E2812" s="5" t="str">
        <f>IFERROR(IF(Portafolio_Proyectos!$AR937="","",Portafolio_Proyectos!$B937),"")</f>
        <v/>
      </c>
      <c r="F2812" s="5" t="str">
        <f>IFERROR(IF(Portafolio_Proyectos!$AR937="","",Portafolio_Proyectos!$D937),"")</f>
        <v/>
      </c>
      <c r="G2812" s="5" t="str">
        <f>IFERROR(IF(Portafolio_Proyectos!$AR937="","",Portafolio_Proyectos!$A937),"")</f>
        <v/>
      </c>
      <c r="H2812" s="5" t="str">
        <f>IFERROR(IF(Portafolio_Proyectos!$AR937="","",Portafolio_Proyectos!$E937),"")</f>
        <v/>
      </c>
    </row>
    <row r="2813" spans="1:8" x14ac:dyDescent="0.35">
      <c r="A2813" s="5" t="str">
        <f>IFERROR(IF(Portafolio_Proyectos!$AP938="","","CAP-"&amp;ROW()-1),"")</f>
        <v/>
      </c>
      <c r="B2813" s="5" t="str">
        <f>IFERROR(IF(Portafolio_Proyectos!$AP938="","",Portafolio_Proyectos!$AP938),"")</f>
        <v/>
      </c>
      <c r="C2813" s="5" t="str">
        <f>IFERROR(IF(Portafolio_Proyectos!$AP938="","","Emergente"),"")</f>
        <v/>
      </c>
      <c r="D2813" s="5" t="str">
        <f>IFERROR(IF(Portafolio_Proyectos!$AP938="","",Portafolio_Proyectos!$C938),"")</f>
        <v/>
      </c>
      <c r="E2813" s="5" t="str">
        <f>IFERROR(IF(Portafolio_Proyectos!$AP938="","",Portafolio_Proyectos!$B938),"")</f>
        <v/>
      </c>
      <c r="F2813" s="5" t="str">
        <f>IFERROR(IF(Portafolio_Proyectos!$AP938="","",Portafolio_Proyectos!$D938),"")</f>
        <v/>
      </c>
      <c r="G2813" s="5" t="str">
        <f>IFERROR(IF(Portafolio_Proyectos!$AP938="","",Portafolio_Proyectos!$A938),"")</f>
        <v/>
      </c>
      <c r="H2813" s="5" t="str">
        <f>IFERROR(IF(Portafolio_Proyectos!$AP938="","",Portafolio_Proyectos!$E938),"")</f>
        <v/>
      </c>
    </row>
    <row r="2814" spans="1:8" x14ac:dyDescent="0.35">
      <c r="A2814" s="5" t="str">
        <f>IFERROR(IF(Portafolio_Proyectos!$AQ938="","","CAP-"&amp;ROW()-1),"")</f>
        <v/>
      </c>
      <c r="B2814" s="5" t="str">
        <f>IFERROR(IF(Portafolio_Proyectos!$AQ938="","",Portafolio_Proyectos!$AQ938),"")</f>
        <v/>
      </c>
      <c r="C2814" s="5" t="str">
        <f>IFERROR(IF(Portafolio_Proyectos!$AQ938="","","Consolidada"),"")</f>
        <v/>
      </c>
      <c r="D2814" s="5" t="str">
        <f>IFERROR(IF(Portafolio_Proyectos!$AQ938="","",Portafolio_Proyectos!$C938),"")</f>
        <v/>
      </c>
      <c r="E2814" s="5" t="str">
        <f>IFERROR(IF(Portafolio_Proyectos!$AQ938="","",Portafolio_Proyectos!$B938),"")</f>
        <v/>
      </c>
      <c r="F2814" s="5" t="str">
        <f>IFERROR(IF(Portafolio_Proyectos!$AQ938="","",Portafolio_Proyectos!$D938),"")</f>
        <v/>
      </c>
      <c r="G2814" s="5" t="str">
        <f>IFERROR(IF(Portafolio_Proyectos!$AQ938="","",Portafolio_Proyectos!$A938),"")</f>
        <v/>
      </c>
      <c r="H2814" s="5" t="str">
        <f>IFERROR(IF(Portafolio_Proyectos!$AQ938="","",Portafolio_Proyectos!$E938),"")</f>
        <v/>
      </c>
    </row>
    <row r="2815" spans="1:8" x14ac:dyDescent="0.35">
      <c r="A2815" s="5" t="str">
        <f>IFERROR(IF(Portafolio_Proyectos!$AR938="","","CAP-"&amp;ROW()-1),"")</f>
        <v/>
      </c>
      <c r="B2815" s="5" t="str">
        <f>IFERROR(IF(Portafolio_Proyectos!$AR938="","",Portafolio_Proyectos!$AR938),"")</f>
        <v/>
      </c>
      <c r="C2815" s="5" t="str">
        <f>IFERROR(IF(Portafolio_Proyectos!$AR938="","","Distintiva"),"")</f>
        <v/>
      </c>
      <c r="D2815" s="5" t="str">
        <f>IFERROR(IF(Portafolio_Proyectos!$AR938="","",Portafolio_Proyectos!$C938),"")</f>
        <v/>
      </c>
      <c r="E2815" s="5" t="str">
        <f>IFERROR(IF(Portafolio_Proyectos!$AR938="","",Portafolio_Proyectos!$B938),"")</f>
        <v/>
      </c>
      <c r="F2815" s="5" t="str">
        <f>IFERROR(IF(Portafolio_Proyectos!$AR938="","",Portafolio_Proyectos!$D938),"")</f>
        <v/>
      </c>
      <c r="G2815" s="5" t="str">
        <f>IFERROR(IF(Portafolio_Proyectos!$AR938="","",Portafolio_Proyectos!$A938),"")</f>
        <v/>
      </c>
      <c r="H2815" s="5" t="str">
        <f>IFERROR(IF(Portafolio_Proyectos!$AR938="","",Portafolio_Proyectos!$E938),"")</f>
        <v/>
      </c>
    </row>
    <row r="2816" spans="1:8" x14ac:dyDescent="0.35">
      <c r="A2816" s="5" t="str">
        <f>IFERROR(IF(Portafolio_Proyectos!$AP939="","","CAP-"&amp;ROW()-1),"")</f>
        <v/>
      </c>
      <c r="B2816" s="5" t="str">
        <f>IFERROR(IF(Portafolio_Proyectos!$AP939="","",Portafolio_Proyectos!$AP939),"")</f>
        <v/>
      </c>
      <c r="C2816" s="5" t="str">
        <f>IFERROR(IF(Portafolio_Proyectos!$AP939="","","Emergente"),"")</f>
        <v/>
      </c>
      <c r="D2816" s="5" t="str">
        <f>IFERROR(IF(Portafolio_Proyectos!$AP939="","",Portafolio_Proyectos!$C939),"")</f>
        <v/>
      </c>
      <c r="E2816" s="5" t="str">
        <f>IFERROR(IF(Portafolio_Proyectos!$AP939="","",Portafolio_Proyectos!$B939),"")</f>
        <v/>
      </c>
      <c r="F2816" s="5" t="str">
        <f>IFERROR(IF(Portafolio_Proyectos!$AP939="","",Portafolio_Proyectos!$D939),"")</f>
        <v/>
      </c>
      <c r="G2816" s="5" t="str">
        <f>IFERROR(IF(Portafolio_Proyectos!$AP939="","",Portafolio_Proyectos!$A939),"")</f>
        <v/>
      </c>
      <c r="H2816" s="5" t="str">
        <f>IFERROR(IF(Portafolio_Proyectos!$AP939="","",Portafolio_Proyectos!$E939),"")</f>
        <v/>
      </c>
    </row>
    <row r="2817" spans="1:8" x14ac:dyDescent="0.35">
      <c r="A2817" s="5" t="str">
        <f>IFERROR(IF(Portafolio_Proyectos!$AQ939="","","CAP-"&amp;ROW()-1),"")</f>
        <v/>
      </c>
      <c r="B2817" s="5" t="str">
        <f>IFERROR(IF(Portafolio_Proyectos!$AQ939="","",Portafolio_Proyectos!$AQ939),"")</f>
        <v/>
      </c>
      <c r="C2817" s="5" t="str">
        <f>IFERROR(IF(Portafolio_Proyectos!$AQ939="","","Consolidada"),"")</f>
        <v/>
      </c>
      <c r="D2817" s="5" t="str">
        <f>IFERROR(IF(Portafolio_Proyectos!$AQ939="","",Portafolio_Proyectos!$C939),"")</f>
        <v/>
      </c>
      <c r="E2817" s="5" t="str">
        <f>IFERROR(IF(Portafolio_Proyectos!$AQ939="","",Portafolio_Proyectos!$B939),"")</f>
        <v/>
      </c>
      <c r="F2817" s="5" t="str">
        <f>IFERROR(IF(Portafolio_Proyectos!$AQ939="","",Portafolio_Proyectos!$D939),"")</f>
        <v/>
      </c>
      <c r="G2817" s="5" t="str">
        <f>IFERROR(IF(Portafolio_Proyectos!$AQ939="","",Portafolio_Proyectos!$A939),"")</f>
        <v/>
      </c>
      <c r="H2817" s="5" t="str">
        <f>IFERROR(IF(Portafolio_Proyectos!$AQ939="","",Portafolio_Proyectos!$E939),"")</f>
        <v/>
      </c>
    </row>
    <row r="2818" spans="1:8" x14ac:dyDescent="0.35">
      <c r="A2818" s="5" t="str">
        <f>IFERROR(IF(Portafolio_Proyectos!$AR939="","","CAP-"&amp;ROW()-1),"")</f>
        <v/>
      </c>
      <c r="B2818" s="5" t="str">
        <f>IFERROR(IF(Portafolio_Proyectos!$AR939="","",Portafolio_Proyectos!$AR939),"")</f>
        <v/>
      </c>
      <c r="C2818" s="5" t="str">
        <f>IFERROR(IF(Portafolio_Proyectos!$AR939="","","Distintiva"),"")</f>
        <v/>
      </c>
      <c r="D2818" s="5" t="str">
        <f>IFERROR(IF(Portafolio_Proyectos!$AR939="","",Portafolio_Proyectos!$C939),"")</f>
        <v/>
      </c>
      <c r="E2818" s="5" t="str">
        <f>IFERROR(IF(Portafolio_Proyectos!$AR939="","",Portafolio_Proyectos!$B939),"")</f>
        <v/>
      </c>
      <c r="F2818" s="5" t="str">
        <f>IFERROR(IF(Portafolio_Proyectos!$AR939="","",Portafolio_Proyectos!$D939),"")</f>
        <v/>
      </c>
      <c r="G2818" s="5" t="str">
        <f>IFERROR(IF(Portafolio_Proyectos!$AR939="","",Portafolio_Proyectos!$A939),"")</f>
        <v/>
      </c>
      <c r="H2818" s="5" t="str">
        <f>IFERROR(IF(Portafolio_Proyectos!$AR939="","",Portafolio_Proyectos!$E939),"")</f>
        <v/>
      </c>
    </row>
    <row r="2819" spans="1:8" x14ac:dyDescent="0.35">
      <c r="A2819" s="5" t="str">
        <f>IFERROR(IF(Portafolio_Proyectos!$AP940="","","CAP-"&amp;ROW()-1),"")</f>
        <v/>
      </c>
      <c r="B2819" s="5" t="str">
        <f>IFERROR(IF(Portafolio_Proyectos!$AP940="","",Portafolio_Proyectos!$AP940),"")</f>
        <v/>
      </c>
      <c r="C2819" s="5" t="str">
        <f>IFERROR(IF(Portafolio_Proyectos!$AP940="","","Emergente"),"")</f>
        <v/>
      </c>
      <c r="D2819" s="5" t="str">
        <f>IFERROR(IF(Portafolio_Proyectos!$AP940="","",Portafolio_Proyectos!$C940),"")</f>
        <v/>
      </c>
      <c r="E2819" s="5" t="str">
        <f>IFERROR(IF(Portafolio_Proyectos!$AP940="","",Portafolio_Proyectos!$B940),"")</f>
        <v/>
      </c>
      <c r="F2819" s="5" t="str">
        <f>IFERROR(IF(Portafolio_Proyectos!$AP940="","",Portafolio_Proyectos!$D940),"")</f>
        <v/>
      </c>
      <c r="G2819" s="5" t="str">
        <f>IFERROR(IF(Portafolio_Proyectos!$AP940="","",Portafolio_Proyectos!$A940),"")</f>
        <v/>
      </c>
      <c r="H2819" s="5" t="str">
        <f>IFERROR(IF(Portafolio_Proyectos!$AP940="","",Portafolio_Proyectos!$E940),"")</f>
        <v/>
      </c>
    </row>
    <row r="2820" spans="1:8" x14ac:dyDescent="0.35">
      <c r="A2820" s="5" t="str">
        <f>IFERROR(IF(Portafolio_Proyectos!$AQ940="","","CAP-"&amp;ROW()-1),"")</f>
        <v/>
      </c>
      <c r="B2820" s="5" t="str">
        <f>IFERROR(IF(Portafolio_Proyectos!$AQ940="","",Portafolio_Proyectos!$AQ940),"")</f>
        <v/>
      </c>
      <c r="C2820" s="5" t="str">
        <f>IFERROR(IF(Portafolio_Proyectos!$AQ940="","","Consolidada"),"")</f>
        <v/>
      </c>
      <c r="D2820" s="5" t="str">
        <f>IFERROR(IF(Portafolio_Proyectos!$AQ940="","",Portafolio_Proyectos!$C940),"")</f>
        <v/>
      </c>
      <c r="E2820" s="5" t="str">
        <f>IFERROR(IF(Portafolio_Proyectos!$AQ940="","",Portafolio_Proyectos!$B940),"")</f>
        <v/>
      </c>
      <c r="F2820" s="5" t="str">
        <f>IFERROR(IF(Portafolio_Proyectos!$AQ940="","",Portafolio_Proyectos!$D940),"")</f>
        <v/>
      </c>
      <c r="G2820" s="5" t="str">
        <f>IFERROR(IF(Portafolio_Proyectos!$AQ940="","",Portafolio_Proyectos!$A940),"")</f>
        <v/>
      </c>
      <c r="H2820" s="5" t="str">
        <f>IFERROR(IF(Portafolio_Proyectos!$AQ940="","",Portafolio_Proyectos!$E940),"")</f>
        <v/>
      </c>
    </row>
    <row r="2821" spans="1:8" x14ac:dyDescent="0.35">
      <c r="A2821" s="5" t="str">
        <f>IFERROR(IF(Portafolio_Proyectos!$AR940="","","CAP-"&amp;ROW()-1),"")</f>
        <v/>
      </c>
      <c r="B2821" s="5" t="str">
        <f>IFERROR(IF(Portafolio_Proyectos!$AR940="","",Portafolio_Proyectos!$AR940),"")</f>
        <v/>
      </c>
      <c r="C2821" s="5" t="str">
        <f>IFERROR(IF(Portafolio_Proyectos!$AR940="","","Distintiva"),"")</f>
        <v/>
      </c>
      <c r="D2821" s="5" t="str">
        <f>IFERROR(IF(Portafolio_Proyectos!$AR940="","",Portafolio_Proyectos!$C940),"")</f>
        <v/>
      </c>
      <c r="E2821" s="5" t="str">
        <f>IFERROR(IF(Portafolio_Proyectos!$AR940="","",Portafolio_Proyectos!$B940),"")</f>
        <v/>
      </c>
      <c r="F2821" s="5" t="str">
        <f>IFERROR(IF(Portafolio_Proyectos!$AR940="","",Portafolio_Proyectos!$D940),"")</f>
        <v/>
      </c>
      <c r="G2821" s="5" t="str">
        <f>IFERROR(IF(Portafolio_Proyectos!$AR940="","",Portafolio_Proyectos!$A940),"")</f>
        <v/>
      </c>
      <c r="H2821" s="5" t="str">
        <f>IFERROR(IF(Portafolio_Proyectos!$AR940="","",Portafolio_Proyectos!$E940),"")</f>
        <v/>
      </c>
    </row>
    <row r="2822" spans="1:8" x14ac:dyDescent="0.35">
      <c r="A2822" s="5" t="str">
        <f>IFERROR(IF(Portafolio_Proyectos!$AP941="","","CAP-"&amp;ROW()-1),"")</f>
        <v/>
      </c>
      <c r="B2822" s="5" t="str">
        <f>IFERROR(IF(Portafolio_Proyectos!$AP941="","",Portafolio_Proyectos!$AP941),"")</f>
        <v/>
      </c>
      <c r="C2822" s="5" t="str">
        <f>IFERROR(IF(Portafolio_Proyectos!$AP941="","","Emergente"),"")</f>
        <v/>
      </c>
      <c r="D2822" s="5" t="str">
        <f>IFERROR(IF(Portafolio_Proyectos!$AP941="","",Portafolio_Proyectos!$C941),"")</f>
        <v/>
      </c>
      <c r="E2822" s="5" t="str">
        <f>IFERROR(IF(Portafolio_Proyectos!$AP941="","",Portafolio_Proyectos!$B941),"")</f>
        <v/>
      </c>
      <c r="F2822" s="5" t="str">
        <f>IFERROR(IF(Portafolio_Proyectos!$AP941="","",Portafolio_Proyectos!$D941),"")</f>
        <v/>
      </c>
      <c r="G2822" s="5" t="str">
        <f>IFERROR(IF(Portafolio_Proyectos!$AP941="","",Portafolio_Proyectos!$A941),"")</f>
        <v/>
      </c>
      <c r="H2822" s="5" t="str">
        <f>IFERROR(IF(Portafolio_Proyectos!$AP941="","",Portafolio_Proyectos!$E941),"")</f>
        <v/>
      </c>
    </row>
    <row r="2823" spans="1:8" x14ac:dyDescent="0.35">
      <c r="A2823" s="5" t="str">
        <f>IFERROR(IF(Portafolio_Proyectos!$AQ941="","","CAP-"&amp;ROW()-1),"")</f>
        <v/>
      </c>
      <c r="B2823" s="5" t="str">
        <f>IFERROR(IF(Portafolio_Proyectos!$AQ941="","",Portafolio_Proyectos!$AQ941),"")</f>
        <v/>
      </c>
      <c r="C2823" s="5" t="str">
        <f>IFERROR(IF(Portafolio_Proyectos!$AQ941="","","Consolidada"),"")</f>
        <v/>
      </c>
      <c r="D2823" s="5" t="str">
        <f>IFERROR(IF(Portafolio_Proyectos!$AQ941="","",Portafolio_Proyectos!$C941),"")</f>
        <v/>
      </c>
      <c r="E2823" s="5" t="str">
        <f>IFERROR(IF(Portafolio_Proyectos!$AQ941="","",Portafolio_Proyectos!$B941),"")</f>
        <v/>
      </c>
      <c r="F2823" s="5" t="str">
        <f>IFERROR(IF(Portafolio_Proyectos!$AQ941="","",Portafolio_Proyectos!$D941),"")</f>
        <v/>
      </c>
      <c r="G2823" s="5" t="str">
        <f>IFERROR(IF(Portafolio_Proyectos!$AQ941="","",Portafolio_Proyectos!$A941),"")</f>
        <v/>
      </c>
      <c r="H2823" s="5" t="str">
        <f>IFERROR(IF(Portafolio_Proyectos!$AQ941="","",Portafolio_Proyectos!$E941),"")</f>
        <v/>
      </c>
    </row>
    <row r="2824" spans="1:8" x14ac:dyDescent="0.35">
      <c r="A2824" s="5" t="str">
        <f>IFERROR(IF(Portafolio_Proyectos!$AR941="","","CAP-"&amp;ROW()-1),"")</f>
        <v/>
      </c>
      <c r="B2824" s="5" t="str">
        <f>IFERROR(IF(Portafolio_Proyectos!$AR941="","",Portafolio_Proyectos!$AR941),"")</f>
        <v/>
      </c>
      <c r="C2824" s="5" t="str">
        <f>IFERROR(IF(Portafolio_Proyectos!$AR941="","","Distintiva"),"")</f>
        <v/>
      </c>
      <c r="D2824" s="5" t="str">
        <f>IFERROR(IF(Portafolio_Proyectos!$AR941="","",Portafolio_Proyectos!$C941),"")</f>
        <v/>
      </c>
      <c r="E2824" s="5" t="str">
        <f>IFERROR(IF(Portafolio_Proyectos!$AR941="","",Portafolio_Proyectos!$B941),"")</f>
        <v/>
      </c>
      <c r="F2824" s="5" t="str">
        <f>IFERROR(IF(Portafolio_Proyectos!$AR941="","",Portafolio_Proyectos!$D941),"")</f>
        <v/>
      </c>
      <c r="G2824" s="5" t="str">
        <f>IFERROR(IF(Portafolio_Proyectos!$AR941="","",Portafolio_Proyectos!$A941),"")</f>
        <v/>
      </c>
      <c r="H2824" s="5" t="str">
        <f>IFERROR(IF(Portafolio_Proyectos!$AR941="","",Portafolio_Proyectos!$E941),"")</f>
        <v/>
      </c>
    </row>
    <row r="2825" spans="1:8" x14ac:dyDescent="0.35">
      <c r="A2825" s="5" t="str">
        <f>IFERROR(IF(Portafolio_Proyectos!$AP942="","","CAP-"&amp;ROW()-1),"")</f>
        <v/>
      </c>
      <c r="B2825" s="5" t="str">
        <f>IFERROR(IF(Portafolio_Proyectos!$AP942="","",Portafolio_Proyectos!$AP942),"")</f>
        <v/>
      </c>
      <c r="C2825" s="5" t="str">
        <f>IFERROR(IF(Portafolio_Proyectos!$AP942="","","Emergente"),"")</f>
        <v/>
      </c>
      <c r="D2825" s="5" t="str">
        <f>IFERROR(IF(Portafolio_Proyectos!$AP942="","",Portafolio_Proyectos!$C942),"")</f>
        <v/>
      </c>
      <c r="E2825" s="5" t="str">
        <f>IFERROR(IF(Portafolio_Proyectos!$AP942="","",Portafolio_Proyectos!$B942),"")</f>
        <v/>
      </c>
      <c r="F2825" s="5" t="str">
        <f>IFERROR(IF(Portafolio_Proyectos!$AP942="","",Portafolio_Proyectos!$D942),"")</f>
        <v/>
      </c>
      <c r="G2825" s="5" t="str">
        <f>IFERROR(IF(Portafolio_Proyectos!$AP942="","",Portafolio_Proyectos!$A942),"")</f>
        <v/>
      </c>
      <c r="H2825" s="5" t="str">
        <f>IFERROR(IF(Portafolio_Proyectos!$AP942="","",Portafolio_Proyectos!$E942),"")</f>
        <v/>
      </c>
    </row>
    <row r="2826" spans="1:8" x14ac:dyDescent="0.35">
      <c r="A2826" s="5" t="str">
        <f>IFERROR(IF(Portafolio_Proyectos!$AQ942="","","CAP-"&amp;ROW()-1),"")</f>
        <v/>
      </c>
      <c r="B2826" s="5" t="str">
        <f>IFERROR(IF(Portafolio_Proyectos!$AQ942="","",Portafolio_Proyectos!$AQ942),"")</f>
        <v/>
      </c>
      <c r="C2826" s="5" t="str">
        <f>IFERROR(IF(Portafolio_Proyectos!$AQ942="","","Consolidada"),"")</f>
        <v/>
      </c>
      <c r="D2826" s="5" t="str">
        <f>IFERROR(IF(Portafolio_Proyectos!$AQ942="","",Portafolio_Proyectos!$C942),"")</f>
        <v/>
      </c>
      <c r="E2826" s="5" t="str">
        <f>IFERROR(IF(Portafolio_Proyectos!$AQ942="","",Portafolio_Proyectos!$B942),"")</f>
        <v/>
      </c>
      <c r="F2826" s="5" t="str">
        <f>IFERROR(IF(Portafolio_Proyectos!$AQ942="","",Portafolio_Proyectos!$D942),"")</f>
        <v/>
      </c>
      <c r="G2826" s="5" t="str">
        <f>IFERROR(IF(Portafolio_Proyectos!$AQ942="","",Portafolio_Proyectos!$A942),"")</f>
        <v/>
      </c>
      <c r="H2826" s="5" t="str">
        <f>IFERROR(IF(Portafolio_Proyectos!$AQ942="","",Portafolio_Proyectos!$E942),"")</f>
        <v/>
      </c>
    </row>
    <row r="2827" spans="1:8" x14ac:dyDescent="0.35">
      <c r="A2827" s="5" t="str">
        <f>IFERROR(IF(Portafolio_Proyectos!$AR942="","","CAP-"&amp;ROW()-1),"")</f>
        <v/>
      </c>
      <c r="B2827" s="5" t="str">
        <f>IFERROR(IF(Portafolio_Proyectos!$AR942="","",Portafolio_Proyectos!$AR942),"")</f>
        <v/>
      </c>
      <c r="C2827" s="5" t="str">
        <f>IFERROR(IF(Portafolio_Proyectos!$AR942="","","Distintiva"),"")</f>
        <v/>
      </c>
      <c r="D2827" s="5" t="str">
        <f>IFERROR(IF(Portafolio_Proyectos!$AR942="","",Portafolio_Proyectos!$C942),"")</f>
        <v/>
      </c>
      <c r="E2827" s="5" t="str">
        <f>IFERROR(IF(Portafolio_Proyectos!$AR942="","",Portafolio_Proyectos!$B942),"")</f>
        <v/>
      </c>
      <c r="F2827" s="5" t="str">
        <f>IFERROR(IF(Portafolio_Proyectos!$AR942="","",Portafolio_Proyectos!$D942),"")</f>
        <v/>
      </c>
      <c r="G2827" s="5" t="str">
        <f>IFERROR(IF(Portafolio_Proyectos!$AR942="","",Portafolio_Proyectos!$A942),"")</f>
        <v/>
      </c>
      <c r="H2827" s="5" t="str">
        <f>IFERROR(IF(Portafolio_Proyectos!$AR942="","",Portafolio_Proyectos!$E942),"")</f>
        <v/>
      </c>
    </row>
    <row r="2828" spans="1:8" x14ac:dyDescent="0.35">
      <c r="A2828" s="5" t="str">
        <f>IFERROR(IF(Portafolio_Proyectos!$AP943="","","CAP-"&amp;ROW()-1),"")</f>
        <v/>
      </c>
      <c r="B2828" s="5" t="str">
        <f>IFERROR(IF(Portafolio_Proyectos!$AP943="","",Portafolio_Proyectos!$AP943),"")</f>
        <v/>
      </c>
      <c r="C2828" s="5" t="str">
        <f>IFERROR(IF(Portafolio_Proyectos!$AP943="","","Emergente"),"")</f>
        <v/>
      </c>
      <c r="D2828" s="5" t="str">
        <f>IFERROR(IF(Portafolio_Proyectos!$AP943="","",Portafolio_Proyectos!$C943),"")</f>
        <v/>
      </c>
      <c r="E2828" s="5" t="str">
        <f>IFERROR(IF(Portafolio_Proyectos!$AP943="","",Portafolio_Proyectos!$B943),"")</f>
        <v/>
      </c>
      <c r="F2828" s="5" t="str">
        <f>IFERROR(IF(Portafolio_Proyectos!$AP943="","",Portafolio_Proyectos!$D943),"")</f>
        <v/>
      </c>
      <c r="G2828" s="5" t="str">
        <f>IFERROR(IF(Portafolio_Proyectos!$AP943="","",Portafolio_Proyectos!$A943),"")</f>
        <v/>
      </c>
      <c r="H2828" s="5" t="str">
        <f>IFERROR(IF(Portafolio_Proyectos!$AP943="","",Portafolio_Proyectos!$E943),"")</f>
        <v/>
      </c>
    </row>
    <row r="2829" spans="1:8" x14ac:dyDescent="0.35">
      <c r="A2829" s="5" t="str">
        <f>IFERROR(IF(Portafolio_Proyectos!$AQ943="","","CAP-"&amp;ROW()-1),"")</f>
        <v/>
      </c>
      <c r="B2829" s="5" t="str">
        <f>IFERROR(IF(Portafolio_Proyectos!$AQ943="","",Portafolio_Proyectos!$AQ943),"")</f>
        <v/>
      </c>
      <c r="C2829" s="5" t="str">
        <f>IFERROR(IF(Portafolio_Proyectos!$AQ943="","","Consolidada"),"")</f>
        <v/>
      </c>
      <c r="D2829" s="5" t="str">
        <f>IFERROR(IF(Portafolio_Proyectos!$AQ943="","",Portafolio_Proyectos!$C943),"")</f>
        <v/>
      </c>
      <c r="E2829" s="5" t="str">
        <f>IFERROR(IF(Portafolio_Proyectos!$AQ943="","",Portafolio_Proyectos!$B943),"")</f>
        <v/>
      </c>
      <c r="F2829" s="5" t="str">
        <f>IFERROR(IF(Portafolio_Proyectos!$AQ943="","",Portafolio_Proyectos!$D943),"")</f>
        <v/>
      </c>
      <c r="G2829" s="5" t="str">
        <f>IFERROR(IF(Portafolio_Proyectos!$AQ943="","",Portafolio_Proyectos!$A943),"")</f>
        <v/>
      </c>
      <c r="H2829" s="5" t="str">
        <f>IFERROR(IF(Portafolio_Proyectos!$AQ943="","",Portafolio_Proyectos!$E943),"")</f>
        <v/>
      </c>
    </row>
    <row r="2830" spans="1:8" x14ac:dyDescent="0.35">
      <c r="A2830" s="5" t="str">
        <f>IFERROR(IF(Portafolio_Proyectos!$AR943="","","CAP-"&amp;ROW()-1),"")</f>
        <v/>
      </c>
      <c r="B2830" s="5" t="str">
        <f>IFERROR(IF(Portafolio_Proyectos!$AR943="","",Portafolio_Proyectos!$AR943),"")</f>
        <v/>
      </c>
      <c r="C2830" s="5" t="str">
        <f>IFERROR(IF(Portafolio_Proyectos!$AR943="","","Distintiva"),"")</f>
        <v/>
      </c>
      <c r="D2830" s="5" t="str">
        <f>IFERROR(IF(Portafolio_Proyectos!$AR943="","",Portafolio_Proyectos!$C943),"")</f>
        <v/>
      </c>
      <c r="E2830" s="5" t="str">
        <f>IFERROR(IF(Portafolio_Proyectos!$AR943="","",Portafolio_Proyectos!$B943),"")</f>
        <v/>
      </c>
      <c r="F2830" s="5" t="str">
        <f>IFERROR(IF(Portafolio_Proyectos!$AR943="","",Portafolio_Proyectos!$D943),"")</f>
        <v/>
      </c>
      <c r="G2830" s="5" t="str">
        <f>IFERROR(IF(Portafolio_Proyectos!$AR943="","",Portafolio_Proyectos!$A943),"")</f>
        <v/>
      </c>
      <c r="H2830" s="5" t="str">
        <f>IFERROR(IF(Portafolio_Proyectos!$AR943="","",Portafolio_Proyectos!$E943),"")</f>
        <v/>
      </c>
    </row>
    <row r="2831" spans="1:8" x14ac:dyDescent="0.35">
      <c r="A2831" s="5" t="str">
        <f>IFERROR(IF(Portafolio_Proyectos!$AP944="","","CAP-"&amp;ROW()-1),"")</f>
        <v/>
      </c>
      <c r="B2831" s="5" t="str">
        <f>IFERROR(IF(Portafolio_Proyectos!$AP944="","",Portafolio_Proyectos!$AP944),"")</f>
        <v/>
      </c>
      <c r="C2831" s="5" t="str">
        <f>IFERROR(IF(Portafolio_Proyectos!$AP944="","","Emergente"),"")</f>
        <v/>
      </c>
      <c r="D2831" s="5" t="str">
        <f>IFERROR(IF(Portafolio_Proyectos!$AP944="","",Portafolio_Proyectos!$C944),"")</f>
        <v/>
      </c>
      <c r="E2831" s="5" t="str">
        <f>IFERROR(IF(Portafolio_Proyectos!$AP944="","",Portafolio_Proyectos!$B944),"")</f>
        <v/>
      </c>
      <c r="F2831" s="5" t="str">
        <f>IFERROR(IF(Portafolio_Proyectos!$AP944="","",Portafolio_Proyectos!$D944),"")</f>
        <v/>
      </c>
      <c r="G2831" s="5" t="str">
        <f>IFERROR(IF(Portafolio_Proyectos!$AP944="","",Portafolio_Proyectos!$A944),"")</f>
        <v/>
      </c>
      <c r="H2831" s="5" t="str">
        <f>IFERROR(IF(Portafolio_Proyectos!$AP944="","",Portafolio_Proyectos!$E944),"")</f>
        <v/>
      </c>
    </row>
    <row r="2832" spans="1:8" x14ac:dyDescent="0.35">
      <c r="A2832" s="5" t="str">
        <f>IFERROR(IF(Portafolio_Proyectos!$AQ944="","","CAP-"&amp;ROW()-1),"")</f>
        <v/>
      </c>
      <c r="B2832" s="5" t="str">
        <f>IFERROR(IF(Portafolio_Proyectos!$AQ944="","",Portafolio_Proyectos!$AQ944),"")</f>
        <v/>
      </c>
      <c r="C2832" s="5" t="str">
        <f>IFERROR(IF(Portafolio_Proyectos!$AQ944="","","Consolidada"),"")</f>
        <v/>
      </c>
      <c r="D2832" s="5" t="str">
        <f>IFERROR(IF(Portafolio_Proyectos!$AQ944="","",Portafolio_Proyectos!$C944),"")</f>
        <v/>
      </c>
      <c r="E2832" s="5" t="str">
        <f>IFERROR(IF(Portafolio_Proyectos!$AQ944="","",Portafolio_Proyectos!$B944),"")</f>
        <v/>
      </c>
      <c r="F2832" s="5" t="str">
        <f>IFERROR(IF(Portafolio_Proyectos!$AQ944="","",Portafolio_Proyectos!$D944),"")</f>
        <v/>
      </c>
      <c r="G2832" s="5" t="str">
        <f>IFERROR(IF(Portafolio_Proyectos!$AQ944="","",Portafolio_Proyectos!$A944),"")</f>
        <v/>
      </c>
      <c r="H2832" s="5" t="str">
        <f>IFERROR(IF(Portafolio_Proyectos!$AQ944="","",Portafolio_Proyectos!$E944),"")</f>
        <v/>
      </c>
    </row>
    <row r="2833" spans="1:8" x14ac:dyDescent="0.35">
      <c r="A2833" s="5" t="str">
        <f>IFERROR(IF(Portafolio_Proyectos!$AR944="","","CAP-"&amp;ROW()-1),"")</f>
        <v/>
      </c>
      <c r="B2833" s="5" t="str">
        <f>IFERROR(IF(Portafolio_Proyectos!$AR944="","",Portafolio_Proyectos!$AR944),"")</f>
        <v/>
      </c>
      <c r="C2833" s="5" t="str">
        <f>IFERROR(IF(Portafolio_Proyectos!$AR944="","","Distintiva"),"")</f>
        <v/>
      </c>
      <c r="D2833" s="5" t="str">
        <f>IFERROR(IF(Portafolio_Proyectos!$AR944="","",Portafolio_Proyectos!$C944),"")</f>
        <v/>
      </c>
      <c r="E2833" s="5" t="str">
        <f>IFERROR(IF(Portafolio_Proyectos!$AR944="","",Portafolio_Proyectos!$B944),"")</f>
        <v/>
      </c>
      <c r="F2833" s="5" t="str">
        <f>IFERROR(IF(Portafolio_Proyectos!$AR944="","",Portafolio_Proyectos!$D944),"")</f>
        <v/>
      </c>
      <c r="G2833" s="5" t="str">
        <f>IFERROR(IF(Portafolio_Proyectos!$AR944="","",Portafolio_Proyectos!$A944),"")</f>
        <v/>
      </c>
      <c r="H2833" s="5" t="str">
        <f>IFERROR(IF(Portafolio_Proyectos!$AR944="","",Portafolio_Proyectos!$E944),"")</f>
        <v/>
      </c>
    </row>
    <row r="2834" spans="1:8" x14ac:dyDescent="0.35">
      <c r="A2834" s="5" t="str">
        <f>IFERROR(IF(Portafolio_Proyectos!$AP945="","","CAP-"&amp;ROW()-1),"")</f>
        <v/>
      </c>
      <c r="B2834" s="5" t="str">
        <f>IFERROR(IF(Portafolio_Proyectos!$AP945="","",Portafolio_Proyectos!$AP945),"")</f>
        <v/>
      </c>
      <c r="C2834" s="5" t="str">
        <f>IFERROR(IF(Portafolio_Proyectos!$AP945="","","Emergente"),"")</f>
        <v/>
      </c>
      <c r="D2834" s="5" t="str">
        <f>IFERROR(IF(Portafolio_Proyectos!$AP945="","",Portafolio_Proyectos!$C945),"")</f>
        <v/>
      </c>
      <c r="E2834" s="5" t="str">
        <f>IFERROR(IF(Portafolio_Proyectos!$AP945="","",Portafolio_Proyectos!$B945),"")</f>
        <v/>
      </c>
      <c r="F2834" s="5" t="str">
        <f>IFERROR(IF(Portafolio_Proyectos!$AP945="","",Portafolio_Proyectos!$D945),"")</f>
        <v/>
      </c>
      <c r="G2834" s="5" t="str">
        <f>IFERROR(IF(Portafolio_Proyectos!$AP945="","",Portafolio_Proyectos!$A945),"")</f>
        <v/>
      </c>
      <c r="H2834" s="5" t="str">
        <f>IFERROR(IF(Portafolio_Proyectos!$AP945="","",Portafolio_Proyectos!$E945),"")</f>
        <v/>
      </c>
    </row>
    <row r="2835" spans="1:8" x14ac:dyDescent="0.35">
      <c r="A2835" s="5" t="str">
        <f>IFERROR(IF(Portafolio_Proyectos!$AQ945="","","CAP-"&amp;ROW()-1),"")</f>
        <v/>
      </c>
      <c r="B2835" s="5" t="str">
        <f>IFERROR(IF(Portafolio_Proyectos!$AQ945="","",Portafolio_Proyectos!$AQ945),"")</f>
        <v/>
      </c>
      <c r="C2835" s="5" t="str">
        <f>IFERROR(IF(Portafolio_Proyectos!$AQ945="","","Consolidada"),"")</f>
        <v/>
      </c>
      <c r="D2835" s="5" t="str">
        <f>IFERROR(IF(Portafolio_Proyectos!$AQ945="","",Portafolio_Proyectos!$C945),"")</f>
        <v/>
      </c>
      <c r="E2835" s="5" t="str">
        <f>IFERROR(IF(Portafolio_Proyectos!$AQ945="","",Portafolio_Proyectos!$B945),"")</f>
        <v/>
      </c>
      <c r="F2835" s="5" t="str">
        <f>IFERROR(IF(Portafolio_Proyectos!$AQ945="","",Portafolio_Proyectos!$D945),"")</f>
        <v/>
      </c>
      <c r="G2835" s="5" t="str">
        <f>IFERROR(IF(Portafolio_Proyectos!$AQ945="","",Portafolio_Proyectos!$A945),"")</f>
        <v/>
      </c>
      <c r="H2835" s="5" t="str">
        <f>IFERROR(IF(Portafolio_Proyectos!$AQ945="","",Portafolio_Proyectos!$E945),"")</f>
        <v/>
      </c>
    </row>
    <row r="2836" spans="1:8" x14ac:dyDescent="0.35">
      <c r="A2836" s="5" t="str">
        <f>IFERROR(IF(Portafolio_Proyectos!$AR945="","","CAP-"&amp;ROW()-1),"")</f>
        <v/>
      </c>
      <c r="B2836" s="5" t="str">
        <f>IFERROR(IF(Portafolio_Proyectos!$AR945="","",Portafolio_Proyectos!$AR945),"")</f>
        <v/>
      </c>
      <c r="C2836" s="5" t="str">
        <f>IFERROR(IF(Portafolio_Proyectos!$AR945="","","Distintiva"),"")</f>
        <v/>
      </c>
      <c r="D2836" s="5" t="str">
        <f>IFERROR(IF(Portafolio_Proyectos!$AR945="","",Portafolio_Proyectos!$C945),"")</f>
        <v/>
      </c>
      <c r="E2836" s="5" t="str">
        <f>IFERROR(IF(Portafolio_Proyectos!$AR945="","",Portafolio_Proyectos!$B945),"")</f>
        <v/>
      </c>
      <c r="F2836" s="5" t="str">
        <f>IFERROR(IF(Portafolio_Proyectos!$AR945="","",Portafolio_Proyectos!$D945),"")</f>
        <v/>
      </c>
      <c r="G2836" s="5" t="str">
        <f>IFERROR(IF(Portafolio_Proyectos!$AR945="","",Portafolio_Proyectos!$A945),"")</f>
        <v/>
      </c>
      <c r="H2836" s="5" t="str">
        <f>IFERROR(IF(Portafolio_Proyectos!$AR945="","",Portafolio_Proyectos!$E945),"")</f>
        <v/>
      </c>
    </row>
    <row r="2837" spans="1:8" x14ac:dyDescent="0.35">
      <c r="A2837" s="5" t="str">
        <f>IFERROR(IF(Portafolio_Proyectos!$AP946="","","CAP-"&amp;ROW()-1),"")</f>
        <v/>
      </c>
      <c r="B2837" s="5" t="str">
        <f>IFERROR(IF(Portafolio_Proyectos!$AP946="","",Portafolio_Proyectos!$AP946),"")</f>
        <v/>
      </c>
      <c r="C2837" s="5" t="str">
        <f>IFERROR(IF(Portafolio_Proyectos!$AP946="","","Emergente"),"")</f>
        <v/>
      </c>
      <c r="D2837" s="5" t="str">
        <f>IFERROR(IF(Portafolio_Proyectos!$AP946="","",Portafolio_Proyectos!$C946),"")</f>
        <v/>
      </c>
      <c r="E2837" s="5" t="str">
        <f>IFERROR(IF(Portafolio_Proyectos!$AP946="","",Portafolio_Proyectos!$B946),"")</f>
        <v/>
      </c>
      <c r="F2837" s="5" t="str">
        <f>IFERROR(IF(Portafolio_Proyectos!$AP946="","",Portafolio_Proyectos!$D946),"")</f>
        <v/>
      </c>
      <c r="G2837" s="5" t="str">
        <f>IFERROR(IF(Portafolio_Proyectos!$AP946="","",Portafolio_Proyectos!$A946),"")</f>
        <v/>
      </c>
      <c r="H2837" s="5" t="str">
        <f>IFERROR(IF(Portafolio_Proyectos!$AP946="","",Portafolio_Proyectos!$E946),"")</f>
        <v/>
      </c>
    </row>
    <row r="2838" spans="1:8" x14ac:dyDescent="0.35">
      <c r="A2838" s="5" t="str">
        <f>IFERROR(IF(Portafolio_Proyectos!$AQ946="","","CAP-"&amp;ROW()-1),"")</f>
        <v/>
      </c>
      <c r="B2838" s="5" t="str">
        <f>IFERROR(IF(Portafolio_Proyectos!$AQ946="","",Portafolio_Proyectos!$AQ946),"")</f>
        <v/>
      </c>
      <c r="C2838" s="5" t="str">
        <f>IFERROR(IF(Portafolio_Proyectos!$AQ946="","","Consolidada"),"")</f>
        <v/>
      </c>
      <c r="D2838" s="5" t="str">
        <f>IFERROR(IF(Portafolio_Proyectos!$AQ946="","",Portafolio_Proyectos!$C946),"")</f>
        <v/>
      </c>
      <c r="E2838" s="5" t="str">
        <f>IFERROR(IF(Portafolio_Proyectos!$AQ946="","",Portafolio_Proyectos!$B946),"")</f>
        <v/>
      </c>
      <c r="F2838" s="5" t="str">
        <f>IFERROR(IF(Portafolio_Proyectos!$AQ946="","",Portafolio_Proyectos!$D946),"")</f>
        <v/>
      </c>
      <c r="G2838" s="5" t="str">
        <f>IFERROR(IF(Portafolio_Proyectos!$AQ946="","",Portafolio_Proyectos!$A946),"")</f>
        <v/>
      </c>
      <c r="H2838" s="5" t="str">
        <f>IFERROR(IF(Portafolio_Proyectos!$AQ946="","",Portafolio_Proyectos!$E946),"")</f>
        <v/>
      </c>
    </row>
    <row r="2839" spans="1:8" x14ac:dyDescent="0.35">
      <c r="A2839" s="5" t="str">
        <f>IFERROR(IF(Portafolio_Proyectos!$AR946="","","CAP-"&amp;ROW()-1),"")</f>
        <v/>
      </c>
      <c r="B2839" s="5" t="str">
        <f>IFERROR(IF(Portafolio_Proyectos!$AR946="","",Portafolio_Proyectos!$AR946),"")</f>
        <v/>
      </c>
      <c r="C2839" s="5" t="str">
        <f>IFERROR(IF(Portafolio_Proyectos!$AR946="","","Distintiva"),"")</f>
        <v/>
      </c>
      <c r="D2839" s="5" t="str">
        <f>IFERROR(IF(Portafolio_Proyectos!$AR946="","",Portafolio_Proyectos!$C946),"")</f>
        <v/>
      </c>
      <c r="E2839" s="5" t="str">
        <f>IFERROR(IF(Portafolio_Proyectos!$AR946="","",Portafolio_Proyectos!$B946),"")</f>
        <v/>
      </c>
      <c r="F2839" s="5" t="str">
        <f>IFERROR(IF(Portafolio_Proyectos!$AR946="","",Portafolio_Proyectos!$D946),"")</f>
        <v/>
      </c>
      <c r="G2839" s="5" t="str">
        <f>IFERROR(IF(Portafolio_Proyectos!$AR946="","",Portafolio_Proyectos!$A946),"")</f>
        <v/>
      </c>
      <c r="H2839" s="5" t="str">
        <f>IFERROR(IF(Portafolio_Proyectos!$AR946="","",Portafolio_Proyectos!$E946),"")</f>
        <v/>
      </c>
    </row>
    <row r="2840" spans="1:8" x14ac:dyDescent="0.35">
      <c r="A2840" s="5" t="str">
        <f>IFERROR(IF(Portafolio_Proyectos!$AP947="","","CAP-"&amp;ROW()-1),"")</f>
        <v/>
      </c>
      <c r="B2840" s="5" t="str">
        <f>IFERROR(IF(Portafolio_Proyectos!$AP947="","",Portafolio_Proyectos!$AP947),"")</f>
        <v/>
      </c>
      <c r="C2840" s="5" t="str">
        <f>IFERROR(IF(Portafolio_Proyectos!$AP947="","","Emergente"),"")</f>
        <v/>
      </c>
      <c r="D2840" s="5" t="str">
        <f>IFERROR(IF(Portafolio_Proyectos!$AP947="","",Portafolio_Proyectos!$C947),"")</f>
        <v/>
      </c>
      <c r="E2840" s="5" t="str">
        <f>IFERROR(IF(Portafolio_Proyectos!$AP947="","",Portafolio_Proyectos!$B947),"")</f>
        <v/>
      </c>
      <c r="F2840" s="5" t="str">
        <f>IFERROR(IF(Portafolio_Proyectos!$AP947="","",Portafolio_Proyectos!$D947),"")</f>
        <v/>
      </c>
      <c r="G2840" s="5" t="str">
        <f>IFERROR(IF(Portafolio_Proyectos!$AP947="","",Portafolio_Proyectos!$A947),"")</f>
        <v/>
      </c>
      <c r="H2840" s="5" t="str">
        <f>IFERROR(IF(Portafolio_Proyectos!$AP947="","",Portafolio_Proyectos!$E947),"")</f>
        <v/>
      </c>
    </row>
    <row r="2841" spans="1:8" x14ac:dyDescent="0.35">
      <c r="A2841" s="5" t="str">
        <f>IFERROR(IF(Portafolio_Proyectos!$AQ947="","","CAP-"&amp;ROW()-1),"")</f>
        <v/>
      </c>
      <c r="B2841" s="5" t="str">
        <f>IFERROR(IF(Portafolio_Proyectos!$AQ947="","",Portafolio_Proyectos!$AQ947),"")</f>
        <v/>
      </c>
      <c r="C2841" s="5" t="str">
        <f>IFERROR(IF(Portafolio_Proyectos!$AQ947="","","Consolidada"),"")</f>
        <v/>
      </c>
      <c r="D2841" s="5" t="str">
        <f>IFERROR(IF(Portafolio_Proyectos!$AQ947="","",Portafolio_Proyectos!$C947),"")</f>
        <v/>
      </c>
      <c r="E2841" s="5" t="str">
        <f>IFERROR(IF(Portafolio_Proyectos!$AQ947="","",Portafolio_Proyectos!$B947),"")</f>
        <v/>
      </c>
      <c r="F2841" s="5" t="str">
        <f>IFERROR(IF(Portafolio_Proyectos!$AQ947="","",Portafolio_Proyectos!$D947),"")</f>
        <v/>
      </c>
      <c r="G2841" s="5" t="str">
        <f>IFERROR(IF(Portafolio_Proyectos!$AQ947="","",Portafolio_Proyectos!$A947),"")</f>
        <v/>
      </c>
      <c r="H2841" s="5" t="str">
        <f>IFERROR(IF(Portafolio_Proyectos!$AQ947="","",Portafolio_Proyectos!$E947),"")</f>
        <v/>
      </c>
    </row>
    <row r="2842" spans="1:8" x14ac:dyDescent="0.35">
      <c r="A2842" s="5" t="str">
        <f>IFERROR(IF(Portafolio_Proyectos!$AR947="","","CAP-"&amp;ROW()-1),"")</f>
        <v/>
      </c>
      <c r="B2842" s="5" t="str">
        <f>IFERROR(IF(Portafolio_Proyectos!$AR947="","",Portafolio_Proyectos!$AR947),"")</f>
        <v/>
      </c>
      <c r="C2842" s="5" t="str">
        <f>IFERROR(IF(Portafolio_Proyectos!$AR947="","","Distintiva"),"")</f>
        <v/>
      </c>
      <c r="D2842" s="5" t="str">
        <f>IFERROR(IF(Portafolio_Proyectos!$AR947="","",Portafolio_Proyectos!$C947),"")</f>
        <v/>
      </c>
      <c r="E2842" s="5" t="str">
        <f>IFERROR(IF(Portafolio_Proyectos!$AR947="","",Portafolio_Proyectos!$B947),"")</f>
        <v/>
      </c>
      <c r="F2842" s="5" t="str">
        <f>IFERROR(IF(Portafolio_Proyectos!$AR947="","",Portafolio_Proyectos!$D947),"")</f>
        <v/>
      </c>
      <c r="G2842" s="5" t="str">
        <f>IFERROR(IF(Portafolio_Proyectos!$AR947="","",Portafolio_Proyectos!$A947),"")</f>
        <v/>
      </c>
      <c r="H2842" s="5" t="str">
        <f>IFERROR(IF(Portafolio_Proyectos!$AR947="","",Portafolio_Proyectos!$E947),"")</f>
        <v/>
      </c>
    </row>
    <row r="2843" spans="1:8" x14ac:dyDescent="0.35">
      <c r="A2843" s="5" t="str">
        <f>IFERROR(IF(Portafolio_Proyectos!$AP948="","","CAP-"&amp;ROW()-1),"")</f>
        <v/>
      </c>
      <c r="B2843" s="5" t="str">
        <f>IFERROR(IF(Portafolio_Proyectos!$AP948="","",Portafolio_Proyectos!$AP948),"")</f>
        <v/>
      </c>
      <c r="C2843" s="5" t="str">
        <f>IFERROR(IF(Portafolio_Proyectos!$AP948="","","Emergente"),"")</f>
        <v/>
      </c>
      <c r="D2843" s="5" t="str">
        <f>IFERROR(IF(Portafolio_Proyectos!$AP948="","",Portafolio_Proyectos!$C948),"")</f>
        <v/>
      </c>
      <c r="E2843" s="5" t="str">
        <f>IFERROR(IF(Portafolio_Proyectos!$AP948="","",Portafolio_Proyectos!$B948),"")</f>
        <v/>
      </c>
      <c r="F2843" s="5" t="str">
        <f>IFERROR(IF(Portafolio_Proyectos!$AP948="","",Portafolio_Proyectos!$D948),"")</f>
        <v/>
      </c>
      <c r="G2843" s="5" t="str">
        <f>IFERROR(IF(Portafolio_Proyectos!$AP948="","",Portafolio_Proyectos!$A948),"")</f>
        <v/>
      </c>
      <c r="H2843" s="5" t="str">
        <f>IFERROR(IF(Portafolio_Proyectos!$AP948="","",Portafolio_Proyectos!$E948),"")</f>
        <v/>
      </c>
    </row>
    <row r="2844" spans="1:8" x14ac:dyDescent="0.35">
      <c r="A2844" s="5" t="str">
        <f>IFERROR(IF(Portafolio_Proyectos!$AQ948="","","CAP-"&amp;ROW()-1),"")</f>
        <v/>
      </c>
      <c r="B2844" s="5" t="str">
        <f>IFERROR(IF(Portafolio_Proyectos!$AQ948="","",Portafolio_Proyectos!$AQ948),"")</f>
        <v/>
      </c>
      <c r="C2844" s="5" t="str">
        <f>IFERROR(IF(Portafolio_Proyectos!$AQ948="","","Consolidada"),"")</f>
        <v/>
      </c>
      <c r="D2844" s="5" t="str">
        <f>IFERROR(IF(Portafolio_Proyectos!$AQ948="","",Portafolio_Proyectos!$C948),"")</f>
        <v/>
      </c>
      <c r="E2844" s="5" t="str">
        <f>IFERROR(IF(Portafolio_Proyectos!$AQ948="","",Portafolio_Proyectos!$B948),"")</f>
        <v/>
      </c>
      <c r="F2844" s="5" t="str">
        <f>IFERROR(IF(Portafolio_Proyectos!$AQ948="","",Portafolio_Proyectos!$D948),"")</f>
        <v/>
      </c>
      <c r="G2844" s="5" t="str">
        <f>IFERROR(IF(Portafolio_Proyectos!$AQ948="","",Portafolio_Proyectos!$A948),"")</f>
        <v/>
      </c>
      <c r="H2844" s="5" t="str">
        <f>IFERROR(IF(Portafolio_Proyectos!$AQ948="","",Portafolio_Proyectos!$E948),"")</f>
        <v/>
      </c>
    </row>
    <row r="2845" spans="1:8" x14ac:dyDescent="0.35">
      <c r="A2845" s="5" t="str">
        <f>IFERROR(IF(Portafolio_Proyectos!$AR948="","","CAP-"&amp;ROW()-1),"")</f>
        <v/>
      </c>
      <c r="B2845" s="5" t="str">
        <f>IFERROR(IF(Portafolio_Proyectos!$AR948="","",Portafolio_Proyectos!$AR948),"")</f>
        <v/>
      </c>
      <c r="C2845" s="5" t="str">
        <f>IFERROR(IF(Portafolio_Proyectos!$AR948="","","Distintiva"),"")</f>
        <v/>
      </c>
      <c r="D2845" s="5" t="str">
        <f>IFERROR(IF(Portafolio_Proyectos!$AR948="","",Portafolio_Proyectos!$C948),"")</f>
        <v/>
      </c>
      <c r="E2845" s="5" t="str">
        <f>IFERROR(IF(Portafolio_Proyectos!$AR948="","",Portafolio_Proyectos!$B948),"")</f>
        <v/>
      </c>
      <c r="F2845" s="5" t="str">
        <f>IFERROR(IF(Portafolio_Proyectos!$AR948="","",Portafolio_Proyectos!$D948),"")</f>
        <v/>
      </c>
      <c r="G2845" s="5" t="str">
        <f>IFERROR(IF(Portafolio_Proyectos!$AR948="","",Portafolio_Proyectos!$A948),"")</f>
        <v/>
      </c>
      <c r="H2845" s="5" t="str">
        <f>IFERROR(IF(Portafolio_Proyectos!$AR948="","",Portafolio_Proyectos!$E948),"")</f>
        <v/>
      </c>
    </row>
    <row r="2846" spans="1:8" x14ac:dyDescent="0.35">
      <c r="A2846" s="5" t="str">
        <f>IFERROR(IF(Portafolio_Proyectos!$AP949="","","CAP-"&amp;ROW()-1),"")</f>
        <v/>
      </c>
      <c r="B2846" s="5" t="str">
        <f>IFERROR(IF(Portafolio_Proyectos!$AP949="","",Portafolio_Proyectos!$AP949),"")</f>
        <v/>
      </c>
      <c r="C2846" s="5" t="str">
        <f>IFERROR(IF(Portafolio_Proyectos!$AP949="","","Emergente"),"")</f>
        <v/>
      </c>
      <c r="D2846" s="5" t="str">
        <f>IFERROR(IF(Portafolio_Proyectos!$AP949="","",Portafolio_Proyectos!$C949),"")</f>
        <v/>
      </c>
      <c r="E2846" s="5" t="str">
        <f>IFERROR(IF(Portafolio_Proyectos!$AP949="","",Portafolio_Proyectos!$B949),"")</f>
        <v/>
      </c>
      <c r="F2846" s="5" t="str">
        <f>IFERROR(IF(Portafolio_Proyectos!$AP949="","",Portafolio_Proyectos!$D949),"")</f>
        <v/>
      </c>
      <c r="G2846" s="5" t="str">
        <f>IFERROR(IF(Portafolio_Proyectos!$AP949="","",Portafolio_Proyectos!$A949),"")</f>
        <v/>
      </c>
      <c r="H2846" s="5" t="str">
        <f>IFERROR(IF(Portafolio_Proyectos!$AP949="","",Portafolio_Proyectos!$E949),"")</f>
        <v/>
      </c>
    </row>
    <row r="2847" spans="1:8" x14ac:dyDescent="0.35">
      <c r="A2847" s="5" t="str">
        <f>IFERROR(IF(Portafolio_Proyectos!$AQ949="","","CAP-"&amp;ROW()-1),"")</f>
        <v/>
      </c>
      <c r="B2847" s="5" t="str">
        <f>IFERROR(IF(Portafolio_Proyectos!$AQ949="","",Portafolio_Proyectos!$AQ949),"")</f>
        <v/>
      </c>
      <c r="C2847" s="5" t="str">
        <f>IFERROR(IF(Portafolio_Proyectos!$AQ949="","","Consolidada"),"")</f>
        <v/>
      </c>
      <c r="D2847" s="5" t="str">
        <f>IFERROR(IF(Portafolio_Proyectos!$AQ949="","",Portafolio_Proyectos!$C949),"")</f>
        <v/>
      </c>
      <c r="E2847" s="5" t="str">
        <f>IFERROR(IF(Portafolio_Proyectos!$AQ949="","",Portafolio_Proyectos!$B949),"")</f>
        <v/>
      </c>
      <c r="F2847" s="5" t="str">
        <f>IFERROR(IF(Portafolio_Proyectos!$AQ949="","",Portafolio_Proyectos!$D949),"")</f>
        <v/>
      </c>
      <c r="G2847" s="5" t="str">
        <f>IFERROR(IF(Portafolio_Proyectos!$AQ949="","",Portafolio_Proyectos!$A949),"")</f>
        <v/>
      </c>
      <c r="H2847" s="5" t="str">
        <f>IFERROR(IF(Portafolio_Proyectos!$AQ949="","",Portafolio_Proyectos!$E949),"")</f>
        <v/>
      </c>
    </row>
    <row r="2848" spans="1:8" x14ac:dyDescent="0.35">
      <c r="A2848" s="5" t="str">
        <f>IFERROR(IF(Portafolio_Proyectos!$AR949="","","CAP-"&amp;ROW()-1),"")</f>
        <v/>
      </c>
      <c r="B2848" s="5" t="str">
        <f>IFERROR(IF(Portafolio_Proyectos!$AR949="","",Portafolio_Proyectos!$AR949),"")</f>
        <v/>
      </c>
      <c r="C2848" s="5" t="str">
        <f>IFERROR(IF(Portafolio_Proyectos!$AR949="","","Distintiva"),"")</f>
        <v/>
      </c>
      <c r="D2848" s="5" t="str">
        <f>IFERROR(IF(Portafolio_Proyectos!$AR949="","",Portafolio_Proyectos!$C949),"")</f>
        <v/>
      </c>
      <c r="E2848" s="5" t="str">
        <f>IFERROR(IF(Portafolio_Proyectos!$AR949="","",Portafolio_Proyectos!$B949),"")</f>
        <v/>
      </c>
      <c r="F2848" s="5" t="str">
        <f>IFERROR(IF(Portafolio_Proyectos!$AR949="","",Portafolio_Proyectos!$D949),"")</f>
        <v/>
      </c>
      <c r="G2848" s="5" t="str">
        <f>IFERROR(IF(Portafolio_Proyectos!$AR949="","",Portafolio_Proyectos!$A949),"")</f>
        <v/>
      </c>
      <c r="H2848" s="5" t="str">
        <f>IFERROR(IF(Portafolio_Proyectos!$AR949="","",Portafolio_Proyectos!$E949),"")</f>
        <v/>
      </c>
    </row>
    <row r="2849" spans="1:8" x14ac:dyDescent="0.35">
      <c r="A2849" s="5" t="str">
        <f>IFERROR(IF(Portafolio_Proyectos!$AP950="","","CAP-"&amp;ROW()-1),"")</f>
        <v/>
      </c>
      <c r="B2849" s="5" t="str">
        <f>IFERROR(IF(Portafolio_Proyectos!$AP950="","",Portafolio_Proyectos!$AP950),"")</f>
        <v/>
      </c>
      <c r="C2849" s="5" t="str">
        <f>IFERROR(IF(Portafolio_Proyectos!$AP950="","","Emergente"),"")</f>
        <v/>
      </c>
      <c r="D2849" s="5" t="str">
        <f>IFERROR(IF(Portafolio_Proyectos!$AP950="","",Portafolio_Proyectos!$C950),"")</f>
        <v/>
      </c>
      <c r="E2849" s="5" t="str">
        <f>IFERROR(IF(Portafolio_Proyectos!$AP950="","",Portafolio_Proyectos!$B950),"")</f>
        <v/>
      </c>
      <c r="F2849" s="5" t="str">
        <f>IFERROR(IF(Portafolio_Proyectos!$AP950="","",Portafolio_Proyectos!$D950),"")</f>
        <v/>
      </c>
      <c r="G2849" s="5" t="str">
        <f>IFERROR(IF(Portafolio_Proyectos!$AP950="","",Portafolio_Proyectos!$A950),"")</f>
        <v/>
      </c>
      <c r="H2849" s="5" t="str">
        <f>IFERROR(IF(Portafolio_Proyectos!$AP950="","",Portafolio_Proyectos!$E950),"")</f>
        <v/>
      </c>
    </row>
    <row r="2850" spans="1:8" x14ac:dyDescent="0.35">
      <c r="A2850" s="5" t="str">
        <f>IFERROR(IF(Portafolio_Proyectos!$AQ950="","","CAP-"&amp;ROW()-1),"")</f>
        <v/>
      </c>
      <c r="B2850" s="5" t="str">
        <f>IFERROR(IF(Portafolio_Proyectos!$AQ950="","",Portafolio_Proyectos!$AQ950),"")</f>
        <v/>
      </c>
      <c r="C2850" s="5" t="str">
        <f>IFERROR(IF(Portafolio_Proyectos!$AQ950="","","Consolidada"),"")</f>
        <v/>
      </c>
      <c r="D2850" s="5" t="str">
        <f>IFERROR(IF(Portafolio_Proyectos!$AQ950="","",Portafolio_Proyectos!$C950),"")</f>
        <v/>
      </c>
      <c r="E2850" s="5" t="str">
        <f>IFERROR(IF(Portafolio_Proyectos!$AQ950="","",Portafolio_Proyectos!$B950),"")</f>
        <v/>
      </c>
      <c r="F2850" s="5" t="str">
        <f>IFERROR(IF(Portafolio_Proyectos!$AQ950="","",Portafolio_Proyectos!$D950),"")</f>
        <v/>
      </c>
      <c r="G2850" s="5" t="str">
        <f>IFERROR(IF(Portafolio_Proyectos!$AQ950="","",Portafolio_Proyectos!$A950),"")</f>
        <v/>
      </c>
      <c r="H2850" s="5" t="str">
        <f>IFERROR(IF(Portafolio_Proyectos!$AQ950="","",Portafolio_Proyectos!$E950),"")</f>
        <v/>
      </c>
    </row>
    <row r="2851" spans="1:8" x14ac:dyDescent="0.35">
      <c r="A2851" s="5" t="str">
        <f>IFERROR(IF(Portafolio_Proyectos!$AR950="","","CAP-"&amp;ROW()-1),"")</f>
        <v/>
      </c>
      <c r="B2851" s="5" t="str">
        <f>IFERROR(IF(Portafolio_Proyectos!$AR950="","",Portafolio_Proyectos!$AR950),"")</f>
        <v/>
      </c>
      <c r="C2851" s="5" t="str">
        <f>IFERROR(IF(Portafolio_Proyectos!$AR950="","","Distintiva"),"")</f>
        <v/>
      </c>
      <c r="D2851" s="5" t="str">
        <f>IFERROR(IF(Portafolio_Proyectos!$AR950="","",Portafolio_Proyectos!$C950),"")</f>
        <v/>
      </c>
      <c r="E2851" s="5" t="str">
        <f>IFERROR(IF(Portafolio_Proyectos!$AR950="","",Portafolio_Proyectos!$B950),"")</f>
        <v/>
      </c>
      <c r="F2851" s="5" t="str">
        <f>IFERROR(IF(Portafolio_Proyectos!$AR950="","",Portafolio_Proyectos!$D950),"")</f>
        <v/>
      </c>
      <c r="G2851" s="5" t="str">
        <f>IFERROR(IF(Portafolio_Proyectos!$AR950="","",Portafolio_Proyectos!$A950),"")</f>
        <v/>
      </c>
      <c r="H2851" s="5" t="str">
        <f>IFERROR(IF(Portafolio_Proyectos!$AR950="","",Portafolio_Proyectos!$E950),"")</f>
        <v/>
      </c>
    </row>
    <row r="2852" spans="1:8" x14ac:dyDescent="0.35">
      <c r="A2852" s="5" t="str">
        <f>IFERROR(IF(Portafolio_Proyectos!$AP951="","","CAP-"&amp;ROW()-1),"")</f>
        <v/>
      </c>
      <c r="B2852" s="5" t="str">
        <f>IFERROR(IF(Portafolio_Proyectos!$AP951="","",Portafolio_Proyectos!$AP951),"")</f>
        <v/>
      </c>
      <c r="C2852" s="5" t="str">
        <f>IFERROR(IF(Portafolio_Proyectos!$AP951="","","Emergente"),"")</f>
        <v/>
      </c>
      <c r="D2852" s="5" t="str">
        <f>IFERROR(IF(Portafolio_Proyectos!$AP951="","",Portafolio_Proyectos!$C951),"")</f>
        <v/>
      </c>
      <c r="E2852" s="5" t="str">
        <f>IFERROR(IF(Portafolio_Proyectos!$AP951="","",Portafolio_Proyectos!$B951),"")</f>
        <v/>
      </c>
      <c r="F2852" s="5" t="str">
        <f>IFERROR(IF(Portafolio_Proyectos!$AP951="","",Portafolio_Proyectos!$D951),"")</f>
        <v/>
      </c>
      <c r="G2852" s="5" t="str">
        <f>IFERROR(IF(Portafolio_Proyectos!$AP951="","",Portafolio_Proyectos!$A951),"")</f>
        <v/>
      </c>
      <c r="H2852" s="5" t="str">
        <f>IFERROR(IF(Portafolio_Proyectos!$AP951="","",Portafolio_Proyectos!$E951),"")</f>
        <v/>
      </c>
    </row>
    <row r="2853" spans="1:8" x14ac:dyDescent="0.35">
      <c r="A2853" s="5" t="str">
        <f>IFERROR(IF(Portafolio_Proyectos!$AQ951="","","CAP-"&amp;ROW()-1),"")</f>
        <v/>
      </c>
      <c r="B2853" s="5" t="str">
        <f>IFERROR(IF(Portafolio_Proyectos!$AQ951="","",Portafolio_Proyectos!$AQ951),"")</f>
        <v/>
      </c>
      <c r="C2853" s="5" t="str">
        <f>IFERROR(IF(Portafolio_Proyectos!$AQ951="","","Consolidada"),"")</f>
        <v/>
      </c>
      <c r="D2853" s="5" t="str">
        <f>IFERROR(IF(Portafolio_Proyectos!$AQ951="","",Portafolio_Proyectos!$C951),"")</f>
        <v/>
      </c>
      <c r="E2853" s="5" t="str">
        <f>IFERROR(IF(Portafolio_Proyectos!$AQ951="","",Portafolio_Proyectos!$B951),"")</f>
        <v/>
      </c>
      <c r="F2853" s="5" t="str">
        <f>IFERROR(IF(Portafolio_Proyectos!$AQ951="","",Portafolio_Proyectos!$D951),"")</f>
        <v/>
      </c>
      <c r="G2853" s="5" t="str">
        <f>IFERROR(IF(Portafolio_Proyectos!$AQ951="","",Portafolio_Proyectos!$A951),"")</f>
        <v/>
      </c>
      <c r="H2853" s="5" t="str">
        <f>IFERROR(IF(Portafolio_Proyectos!$AQ951="","",Portafolio_Proyectos!$E951),"")</f>
        <v/>
      </c>
    </row>
    <row r="2854" spans="1:8" x14ac:dyDescent="0.35">
      <c r="A2854" s="5" t="str">
        <f>IFERROR(IF(Portafolio_Proyectos!$AR951="","","CAP-"&amp;ROW()-1),"")</f>
        <v/>
      </c>
      <c r="B2854" s="5" t="str">
        <f>IFERROR(IF(Portafolio_Proyectos!$AR951="","",Portafolio_Proyectos!$AR951),"")</f>
        <v/>
      </c>
      <c r="C2854" s="5" t="str">
        <f>IFERROR(IF(Portafolio_Proyectos!$AR951="","","Distintiva"),"")</f>
        <v/>
      </c>
      <c r="D2854" s="5" t="str">
        <f>IFERROR(IF(Portafolio_Proyectos!$AR951="","",Portafolio_Proyectos!$C951),"")</f>
        <v/>
      </c>
      <c r="E2854" s="5" t="str">
        <f>IFERROR(IF(Portafolio_Proyectos!$AR951="","",Portafolio_Proyectos!$B951),"")</f>
        <v/>
      </c>
      <c r="F2854" s="5" t="str">
        <f>IFERROR(IF(Portafolio_Proyectos!$AR951="","",Portafolio_Proyectos!$D951),"")</f>
        <v/>
      </c>
      <c r="G2854" s="5" t="str">
        <f>IFERROR(IF(Portafolio_Proyectos!$AR951="","",Portafolio_Proyectos!$A951),"")</f>
        <v/>
      </c>
      <c r="H2854" s="5" t="str">
        <f>IFERROR(IF(Portafolio_Proyectos!$AR951="","",Portafolio_Proyectos!$E951),"")</f>
        <v/>
      </c>
    </row>
    <row r="2855" spans="1:8" x14ac:dyDescent="0.35">
      <c r="A2855" s="5" t="str">
        <f>IFERROR(IF(Portafolio_Proyectos!$AP952="","","CAP-"&amp;ROW()-1),"")</f>
        <v/>
      </c>
      <c r="B2855" s="5" t="str">
        <f>IFERROR(IF(Portafolio_Proyectos!$AP952="","",Portafolio_Proyectos!$AP952),"")</f>
        <v/>
      </c>
      <c r="C2855" s="5" t="str">
        <f>IFERROR(IF(Portafolio_Proyectos!$AP952="","","Emergente"),"")</f>
        <v/>
      </c>
      <c r="D2855" s="5" t="str">
        <f>IFERROR(IF(Portafolio_Proyectos!$AP952="","",Portafolio_Proyectos!$C952),"")</f>
        <v/>
      </c>
      <c r="E2855" s="5" t="str">
        <f>IFERROR(IF(Portafolio_Proyectos!$AP952="","",Portafolio_Proyectos!$B952),"")</f>
        <v/>
      </c>
      <c r="F2855" s="5" t="str">
        <f>IFERROR(IF(Portafolio_Proyectos!$AP952="","",Portafolio_Proyectos!$D952),"")</f>
        <v/>
      </c>
      <c r="G2855" s="5" t="str">
        <f>IFERROR(IF(Portafolio_Proyectos!$AP952="","",Portafolio_Proyectos!$A952),"")</f>
        <v/>
      </c>
      <c r="H2855" s="5" t="str">
        <f>IFERROR(IF(Portafolio_Proyectos!$AP952="","",Portafolio_Proyectos!$E952),"")</f>
        <v/>
      </c>
    </row>
    <row r="2856" spans="1:8" x14ac:dyDescent="0.35">
      <c r="A2856" s="5" t="str">
        <f>IFERROR(IF(Portafolio_Proyectos!$AQ952="","","CAP-"&amp;ROW()-1),"")</f>
        <v/>
      </c>
      <c r="B2856" s="5" t="str">
        <f>IFERROR(IF(Portafolio_Proyectos!$AQ952="","",Portafolio_Proyectos!$AQ952),"")</f>
        <v/>
      </c>
      <c r="C2856" s="5" t="str">
        <f>IFERROR(IF(Portafolio_Proyectos!$AQ952="","","Consolidada"),"")</f>
        <v/>
      </c>
      <c r="D2856" s="5" t="str">
        <f>IFERROR(IF(Portafolio_Proyectos!$AQ952="","",Portafolio_Proyectos!$C952),"")</f>
        <v/>
      </c>
      <c r="E2856" s="5" t="str">
        <f>IFERROR(IF(Portafolio_Proyectos!$AQ952="","",Portafolio_Proyectos!$B952),"")</f>
        <v/>
      </c>
      <c r="F2856" s="5" t="str">
        <f>IFERROR(IF(Portafolio_Proyectos!$AQ952="","",Portafolio_Proyectos!$D952),"")</f>
        <v/>
      </c>
      <c r="G2856" s="5" t="str">
        <f>IFERROR(IF(Portafolio_Proyectos!$AQ952="","",Portafolio_Proyectos!$A952),"")</f>
        <v/>
      </c>
      <c r="H2856" s="5" t="str">
        <f>IFERROR(IF(Portafolio_Proyectos!$AQ952="","",Portafolio_Proyectos!$E952),"")</f>
        <v/>
      </c>
    </row>
    <row r="2857" spans="1:8" x14ac:dyDescent="0.35">
      <c r="A2857" s="5" t="str">
        <f>IFERROR(IF(Portafolio_Proyectos!$AR952="","","CAP-"&amp;ROW()-1),"")</f>
        <v/>
      </c>
      <c r="B2857" s="5" t="str">
        <f>IFERROR(IF(Portafolio_Proyectos!$AR952="","",Portafolio_Proyectos!$AR952),"")</f>
        <v/>
      </c>
      <c r="C2857" s="5" t="str">
        <f>IFERROR(IF(Portafolio_Proyectos!$AR952="","","Distintiva"),"")</f>
        <v/>
      </c>
      <c r="D2857" s="5" t="str">
        <f>IFERROR(IF(Portafolio_Proyectos!$AR952="","",Portafolio_Proyectos!$C952),"")</f>
        <v/>
      </c>
      <c r="E2857" s="5" t="str">
        <f>IFERROR(IF(Portafolio_Proyectos!$AR952="","",Portafolio_Proyectos!$B952),"")</f>
        <v/>
      </c>
      <c r="F2857" s="5" t="str">
        <f>IFERROR(IF(Portafolio_Proyectos!$AR952="","",Portafolio_Proyectos!$D952),"")</f>
        <v/>
      </c>
      <c r="G2857" s="5" t="str">
        <f>IFERROR(IF(Portafolio_Proyectos!$AR952="","",Portafolio_Proyectos!$A952),"")</f>
        <v/>
      </c>
      <c r="H2857" s="5" t="str">
        <f>IFERROR(IF(Portafolio_Proyectos!$AR952="","",Portafolio_Proyectos!$E952),"")</f>
        <v/>
      </c>
    </row>
    <row r="2858" spans="1:8" x14ac:dyDescent="0.35">
      <c r="A2858" s="5" t="str">
        <f>IFERROR(IF(Portafolio_Proyectos!$AP953="","","CAP-"&amp;ROW()-1),"")</f>
        <v/>
      </c>
      <c r="B2858" s="5" t="str">
        <f>IFERROR(IF(Portafolio_Proyectos!$AP953="","",Portafolio_Proyectos!$AP953),"")</f>
        <v/>
      </c>
      <c r="C2858" s="5" t="str">
        <f>IFERROR(IF(Portafolio_Proyectos!$AP953="","","Emergente"),"")</f>
        <v/>
      </c>
      <c r="D2858" s="5" t="str">
        <f>IFERROR(IF(Portafolio_Proyectos!$AP953="","",Portafolio_Proyectos!$C953),"")</f>
        <v/>
      </c>
      <c r="E2858" s="5" t="str">
        <f>IFERROR(IF(Portafolio_Proyectos!$AP953="","",Portafolio_Proyectos!$B953),"")</f>
        <v/>
      </c>
      <c r="F2858" s="5" t="str">
        <f>IFERROR(IF(Portafolio_Proyectos!$AP953="","",Portafolio_Proyectos!$D953),"")</f>
        <v/>
      </c>
      <c r="G2858" s="5" t="str">
        <f>IFERROR(IF(Portafolio_Proyectos!$AP953="","",Portafolio_Proyectos!$A953),"")</f>
        <v/>
      </c>
      <c r="H2858" s="5" t="str">
        <f>IFERROR(IF(Portafolio_Proyectos!$AP953="","",Portafolio_Proyectos!$E953),"")</f>
        <v/>
      </c>
    </row>
    <row r="2859" spans="1:8" x14ac:dyDescent="0.35">
      <c r="A2859" s="5" t="str">
        <f>IFERROR(IF(Portafolio_Proyectos!$AQ953="","","CAP-"&amp;ROW()-1),"")</f>
        <v/>
      </c>
      <c r="B2859" s="5" t="str">
        <f>IFERROR(IF(Portafolio_Proyectos!$AQ953="","",Portafolio_Proyectos!$AQ953),"")</f>
        <v/>
      </c>
      <c r="C2859" s="5" t="str">
        <f>IFERROR(IF(Portafolio_Proyectos!$AQ953="","","Consolidada"),"")</f>
        <v/>
      </c>
      <c r="D2859" s="5" t="str">
        <f>IFERROR(IF(Portafolio_Proyectos!$AQ953="","",Portafolio_Proyectos!$C953),"")</f>
        <v/>
      </c>
      <c r="E2859" s="5" t="str">
        <f>IFERROR(IF(Portafolio_Proyectos!$AQ953="","",Portafolio_Proyectos!$B953),"")</f>
        <v/>
      </c>
      <c r="F2859" s="5" t="str">
        <f>IFERROR(IF(Portafolio_Proyectos!$AQ953="","",Portafolio_Proyectos!$D953),"")</f>
        <v/>
      </c>
      <c r="G2859" s="5" t="str">
        <f>IFERROR(IF(Portafolio_Proyectos!$AQ953="","",Portafolio_Proyectos!$A953),"")</f>
        <v/>
      </c>
      <c r="H2859" s="5" t="str">
        <f>IFERROR(IF(Portafolio_Proyectos!$AQ953="","",Portafolio_Proyectos!$E953),"")</f>
        <v/>
      </c>
    </row>
    <row r="2860" spans="1:8" x14ac:dyDescent="0.35">
      <c r="A2860" s="5" t="str">
        <f>IFERROR(IF(Portafolio_Proyectos!$AR953="","","CAP-"&amp;ROW()-1),"")</f>
        <v/>
      </c>
      <c r="B2860" s="5" t="str">
        <f>IFERROR(IF(Portafolio_Proyectos!$AR953="","",Portafolio_Proyectos!$AR953),"")</f>
        <v/>
      </c>
      <c r="C2860" s="5" t="str">
        <f>IFERROR(IF(Portafolio_Proyectos!$AR953="","","Distintiva"),"")</f>
        <v/>
      </c>
      <c r="D2860" s="5" t="str">
        <f>IFERROR(IF(Portafolio_Proyectos!$AR953="","",Portafolio_Proyectos!$C953),"")</f>
        <v/>
      </c>
      <c r="E2860" s="5" t="str">
        <f>IFERROR(IF(Portafolio_Proyectos!$AR953="","",Portafolio_Proyectos!$B953),"")</f>
        <v/>
      </c>
      <c r="F2860" s="5" t="str">
        <f>IFERROR(IF(Portafolio_Proyectos!$AR953="","",Portafolio_Proyectos!$D953),"")</f>
        <v/>
      </c>
      <c r="G2860" s="5" t="str">
        <f>IFERROR(IF(Portafolio_Proyectos!$AR953="","",Portafolio_Proyectos!$A953),"")</f>
        <v/>
      </c>
      <c r="H2860" s="5" t="str">
        <f>IFERROR(IF(Portafolio_Proyectos!$AR953="","",Portafolio_Proyectos!$E953),"")</f>
        <v/>
      </c>
    </row>
    <row r="2861" spans="1:8" x14ac:dyDescent="0.35">
      <c r="A2861" s="5" t="str">
        <f>IFERROR(IF(Portafolio_Proyectos!$AP954="","","CAP-"&amp;ROW()-1),"")</f>
        <v/>
      </c>
      <c r="B2861" s="5" t="str">
        <f>IFERROR(IF(Portafolio_Proyectos!$AP954="","",Portafolio_Proyectos!$AP954),"")</f>
        <v/>
      </c>
      <c r="C2861" s="5" t="str">
        <f>IFERROR(IF(Portafolio_Proyectos!$AP954="","","Emergente"),"")</f>
        <v/>
      </c>
      <c r="D2861" s="5" t="str">
        <f>IFERROR(IF(Portafolio_Proyectos!$AP954="","",Portafolio_Proyectos!$C954),"")</f>
        <v/>
      </c>
      <c r="E2861" s="5" t="str">
        <f>IFERROR(IF(Portafolio_Proyectos!$AP954="","",Portafolio_Proyectos!$B954),"")</f>
        <v/>
      </c>
      <c r="F2861" s="5" t="str">
        <f>IFERROR(IF(Portafolio_Proyectos!$AP954="","",Portafolio_Proyectos!$D954),"")</f>
        <v/>
      </c>
      <c r="G2861" s="5" t="str">
        <f>IFERROR(IF(Portafolio_Proyectos!$AP954="","",Portafolio_Proyectos!$A954),"")</f>
        <v/>
      </c>
      <c r="H2861" s="5" t="str">
        <f>IFERROR(IF(Portafolio_Proyectos!$AP954="","",Portafolio_Proyectos!$E954),"")</f>
        <v/>
      </c>
    </row>
    <row r="2862" spans="1:8" x14ac:dyDescent="0.35">
      <c r="A2862" s="5" t="str">
        <f>IFERROR(IF(Portafolio_Proyectos!$AQ954="","","CAP-"&amp;ROW()-1),"")</f>
        <v/>
      </c>
      <c r="B2862" s="5" t="str">
        <f>IFERROR(IF(Portafolio_Proyectos!$AQ954="","",Portafolio_Proyectos!$AQ954),"")</f>
        <v/>
      </c>
      <c r="C2862" s="5" t="str">
        <f>IFERROR(IF(Portafolio_Proyectos!$AQ954="","","Consolidada"),"")</f>
        <v/>
      </c>
      <c r="D2862" s="5" t="str">
        <f>IFERROR(IF(Portafolio_Proyectos!$AQ954="","",Portafolio_Proyectos!$C954),"")</f>
        <v/>
      </c>
      <c r="E2862" s="5" t="str">
        <f>IFERROR(IF(Portafolio_Proyectos!$AQ954="","",Portafolio_Proyectos!$B954),"")</f>
        <v/>
      </c>
      <c r="F2862" s="5" t="str">
        <f>IFERROR(IF(Portafolio_Proyectos!$AQ954="","",Portafolio_Proyectos!$D954),"")</f>
        <v/>
      </c>
      <c r="G2862" s="5" t="str">
        <f>IFERROR(IF(Portafolio_Proyectos!$AQ954="","",Portafolio_Proyectos!$A954),"")</f>
        <v/>
      </c>
      <c r="H2862" s="5" t="str">
        <f>IFERROR(IF(Portafolio_Proyectos!$AQ954="","",Portafolio_Proyectos!$E954),"")</f>
        <v/>
      </c>
    </row>
    <row r="2863" spans="1:8" x14ac:dyDescent="0.35">
      <c r="A2863" s="5" t="str">
        <f>IFERROR(IF(Portafolio_Proyectos!$AR954="","","CAP-"&amp;ROW()-1),"")</f>
        <v/>
      </c>
      <c r="B2863" s="5" t="str">
        <f>IFERROR(IF(Portafolio_Proyectos!$AR954="","",Portafolio_Proyectos!$AR954),"")</f>
        <v/>
      </c>
      <c r="C2863" s="5" t="str">
        <f>IFERROR(IF(Portafolio_Proyectos!$AR954="","","Distintiva"),"")</f>
        <v/>
      </c>
      <c r="D2863" s="5" t="str">
        <f>IFERROR(IF(Portafolio_Proyectos!$AR954="","",Portafolio_Proyectos!$C954),"")</f>
        <v/>
      </c>
      <c r="E2863" s="5" t="str">
        <f>IFERROR(IF(Portafolio_Proyectos!$AR954="","",Portafolio_Proyectos!$B954),"")</f>
        <v/>
      </c>
      <c r="F2863" s="5" t="str">
        <f>IFERROR(IF(Portafolio_Proyectos!$AR954="","",Portafolio_Proyectos!$D954),"")</f>
        <v/>
      </c>
      <c r="G2863" s="5" t="str">
        <f>IFERROR(IF(Portafolio_Proyectos!$AR954="","",Portafolio_Proyectos!$A954),"")</f>
        <v/>
      </c>
      <c r="H2863" s="5" t="str">
        <f>IFERROR(IF(Portafolio_Proyectos!$AR954="","",Portafolio_Proyectos!$E954),"")</f>
        <v/>
      </c>
    </row>
    <row r="2864" spans="1:8" x14ac:dyDescent="0.35">
      <c r="A2864" s="5" t="str">
        <f>IFERROR(IF(Portafolio_Proyectos!$AP955="","","CAP-"&amp;ROW()-1),"")</f>
        <v/>
      </c>
      <c r="B2864" s="5" t="str">
        <f>IFERROR(IF(Portafolio_Proyectos!$AP955="","",Portafolio_Proyectos!$AP955),"")</f>
        <v/>
      </c>
      <c r="C2864" s="5" t="str">
        <f>IFERROR(IF(Portafolio_Proyectos!$AP955="","","Emergente"),"")</f>
        <v/>
      </c>
      <c r="D2864" s="5" t="str">
        <f>IFERROR(IF(Portafolio_Proyectos!$AP955="","",Portafolio_Proyectos!$C955),"")</f>
        <v/>
      </c>
      <c r="E2864" s="5" t="str">
        <f>IFERROR(IF(Portafolio_Proyectos!$AP955="","",Portafolio_Proyectos!$B955),"")</f>
        <v/>
      </c>
      <c r="F2864" s="5" t="str">
        <f>IFERROR(IF(Portafolio_Proyectos!$AP955="","",Portafolio_Proyectos!$D955),"")</f>
        <v/>
      </c>
      <c r="G2864" s="5" t="str">
        <f>IFERROR(IF(Portafolio_Proyectos!$AP955="","",Portafolio_Proyectos!$A955),"")</f>
        <v/>
      </c>
      <c r="H2864" s="5" t="str">
        <f>IFERROR(IF(Portafolio_Proyectos!$AP955="","",Portafolio_Proyectos!$E955),"")</f>
        <v/>
      </c>
    </row>
    <row r="2865" spans="1:8" x14ac:dyDescent="0.35">
      <c r="A2865" s="5" t="str">
        <f>IFERROR(IF(Portafolio_Proyectos!$AQ955="","","CAP-"&amp;ROW()-1),"")</f>
        <v/>
      </c>
      <c r="B2865" s="5" t="str">
        <f>IFERROR(IF(Portafolio_Proyectos!$AQ955="","",Portafolio_Proyectos!$AQ955),"")</f>
        <v/>
      </c>
      <c r="C2865" s="5" t="str">
        <f>IFERROR(IF(Portafolio_Proyectos!$AQ955="","","Consolidada"),"")</f>
        <v/>
      </c>
      <c r="D2865" s="5" t="str">
        <f>IFERROR(IF(Portafolio_Proyectos!$AQ955="","",Portafolio_Proyectos!$C955),"")</f>
        <v/>
      </c>
      <c r="E2865" s="5" t="str">
        <f>IFERROR(IF(Portafolio_Proyectos!$AQ955="","",Portafolio_Proyectos!$B955),"")</f>
        <v/>
      </c>
      <c r="F2865" s="5" t="str">
        <f>IFERROR(IF(Portafolio_Proyectos!$AQ955="","",Portafolio_Proyectos!$D955),"")</f>
        <v/>
      </c>
      <c r="G2865" s="5" t="str">
        <f>IFERROR(IF(Portafolio_Proyectos!$AQ955="","",Portafolio_Proyectos!$A955),"")</f>
        <v/>
      </c>
      <c r="H2865" s="5" t="str">
        <f>IFERROR(IF(Portafolio_Proyectos!$AQ955="","",Portafolio_Proyectos!$E955),"")</f>
        <v/>
      </c>
    </row>
    <row r="2866" spans="1:8" x14ac:dyDescent="0.35">
      <c r="A2866" s="5" t="str">
        <f>IFERROR(IF(Portafolio_Proyectos!$AR955="","","CAP-"&amp;ROW()-1),"")</f>
        <v/>
      </c>
      <c r="B2866" s="5" t="str">
        <f>IFERROR(IF(Portafolio_Proyectos!$AR955="","",Portafolio_Proyectos!$AR955),"")</f>
        <v/>
      </c>
      <c r="C2866" s="5" t="str">
        <f>IFERROR(IF(Portafolio_Proyectos!$AR955="","","Distintiva"),"")</f>
        <v/>
      </c>
      <c r="D2866" s="5" t="str">
        <f>IFERROR(IF(Portafolio_Proyectos!$AR955="","",Portafolio_Proyectos!$C955),"")</f>
        <v/>
      </c>
      <c r="E2866" s="5" t="str">
        <f>IFERROR(IF(Portafolio_Proyectos!$AR955="","",Portafolio_Proyectos!$B955),"")</f>
        <v/>
      </c>
      <c r="F2866" s="5" t="str">
        <f>IFERROR(IF(Portafolio_Proyectos!$AR955="","",Portafolio_Proyectos!$D955),"")</f>
        <v/>
      </c>
      <c r="G2866" s="5" t="str">
        <f>IFERROR(IF(Portafolio_Proyectos!$AR955="","",Portafolio_Proyectos!$A955),"")</f>
        <v/>
      </c>
      <c r="H2866" s="5" t="str">
        <f>IFERROR(IF(Portafolio_Proyectos!$AR955="","",Portafolio_Proyectos!$E955),"")</f>
        <v/>
      </c>
    </row>
    <row r="2867" spans="1:8" x14ac:dyDescent="0.35">
      <c r="A2867" s="5" t="str">
        <f>IFERROR(IF(Portafolio_Proyectos!$AP956="","","CAP-"&amp;ROW()-1),"")</f>
        <v/>
      </c>
      <c r="B2867" s="5" t="str">
        <f>IFERROR(IF(Portafolio_Proyectos!$AP956="","",Portafolio_Proyectos!$AP956),"")</f>
        <v/>
      </c>
      <c r="C2867" s="5" t="str">
        <f>IFERROR(IF(Portafolio_Proyectos!$AP956="","","Emergente"),"")</f>
        <v/>
      </c>
      <c r="D2867" s="5" t="str">
        <f>IFERROR(IF(Portafolio_Proyectos!$AP956="","",Portafolio_Proyectos!$C956),"")</f>
        <v/>
      </c>
      <c r="E2867" s="5" t="str">
        <f>IFERROR(IF(Portafolio_Proyectos!$AP956="","",Portafolio_Proyectos!$B956),"")</f>
        <v/>
      </c>
      <c r="F2867" s="5" t="str">
        <f>IFERROR(IF(Portafolio_Proyectos!$AP956="","",Portafolio_Proyectos!$D956),"")</f>
        <v/>
      </c>
      <c r="G2867" s="5" t="str">
        <f>IFERROR(IF(Portafolio_Proyectos!$AP956="","",Portafolio_Proyectos!$A956),"")</f>
        <v/>
      </c>
      <c r="H2867" s="5" t="str">
        <f>IFERROR(IF(Portafolio_Proyectos!$AP956="","",Portafolio_Proyectos!$E956),"")</f>
        <v/>
      </c>
    </row>
    <row r="2868" spans="1:8" x14ac:dyDescent="0.35">
      <c r="A2868" s="5" t="str">
        <f>IFERROR(IF(Portafolio_Proyectos!$AQ956="","","CAP-"&amp;ROW()-1),"")</f>
        <v/>
      </c>
      <c r="B2868" s="5" t="str">
        <f>IFERROR(IF(Portafolio_Proyectos!$AQ956="","",Portafolio_Proyectos!$AQ956),"")</f>
        <v/>
      </c>
      <c r="C2868" s="5" t="str">
        <f>IFERROR(IF(Portafolio_Proyectos!$AQ956="","","Consolidada"),"")</f>
        <v/>
      </c>
      <c r="D2868" s="5" t="str">
        <f>IFERROR(IF(Portafolio_Proyectos!$AQ956="","",Portafolio_Proyectos!$C956),"")</f>
        <v/>
      </c>
      <c r="E2868" s="5" t="str">
        <f>IFERROR(IF(Portafolio_Proyectos!$AQ956="","",Portafolio_Proyectos!$B956),"")</f>
        <v/>
      </c>
      <c r="F2868" s="5" t="str">
        <f>IFERROR(IF(Portafolio_Proyectos!$AQ956="","",Portafolio_Proyectos!$D956),"")</f>
        <v/>
      </c>
      <c r="G2868" s="5" t="str">
        <f>IFERROR(IF(Portafolio_Proyectos!$AQ956="","",Portafolio_Proyectos!$A956),"")</f>
        <v/>
      </c>
      <c r="H2868" s="5" t="str">
        <f>IFERROR(IF(Portafolio_Proyectos!$AQ956="","",Portafolio_Proyectos!$E956),"")</f>
        <v/>
      </c>
    </row>
    <row r="2869" spans="1:8" x14ac:dyDescent="0.35">
      <c r="A2869" s="5" t="str">
        <f>IFERROR(IF(Portafolio_Proyectos!$AR956="","","CAP-"&amp;ROW()-1),"")</f>
        <v/>
      </c>
      <c r="B2869" s="5" t="str">
        <f>IFERROR(IF(Portafolio_Proyectos!$AR956="","",Portafolio_Proyectos!$AR956),"")</f>
        <v/>
      </c>
      <c r="C2869" s="5" t="str">
        <f>IFERROR(IF(Portafolio_Proyectos!$AR956="","","Distintiva"),"")</f>
        <v/>
      </c>
      <c r="D2869" s="5" t="str">
        <f>IFERROR(IF(Portafolio_Proyectos!$AR956="","",Portafolio_Proyectos!$C956),"")</f>
        <v/>
      </c>
      <c r="E2869" s="5" t="str">
        <f>IFERROR(IF(Portafolio_Proyectos!$AR956="","",Portafolio_Proyectos!$B956),"")</f>
        <v/>
      </c>
      <c r="F2869" s="5" t="str">
        <f>IFERROR(IF(Portafolio_Proyectos!$AR956="","",Portafolio_Proyectos!$D956),"")</f>
        <v/>
      </c>
      <c r="G2869" s="5" t="str">
        <f>IFERROR(IF(Portafolio_Proyectos!$AR956="","",Portafolio_Proyectos!$A956),"")</f>
        <v/>
      </c>
      <c r="H2869" s="5" t="str">
        <f>IFERROR(IF(Portafolio_Proyectos!$AR956="","",Portafolio_Proyectos!$E956),"")</f>
        <v/>
      </c>
    </row>
    <row r="2870" spans="1:8" x14ac:dyDescent="0.35">
      <c r="A2870" s="5" t="str">
        <f>IFERROR(IF(Portafolio_Proyectos!$AP957="","","CAP-"&amp;ROW()-1),"")</f>
        <v/>
      </c>
      <c r="B2870" s="5" t="str">
        <f>IFERROR(IF(Portafolio_Proyectos!$AP957="","",Portafolio_Proyectos!$AP957),"")</f>
        <v/>
      </c>
      <c r="C2870" s="5" t="str">
        <f>IFERROR(IF(Portafolio_Proyectos!$AP957="","","Emergente"),"")</f>
        <v/>
      </c>
      <c r="D2870" s="5" t="str">
        <f>IFERROR(IF(Portafolio_Proyectos!$AP957="","",Portafolio_Proyectos!$C957),"")</f>
        <v/>
      </c>
      <c r="E2870" s="5" t="str">
        <f>IFERROR(IF(Portafolio_Proyectos!$AP957="","",Portafolio_Proyectos!$B957),"")</f>
        <v/>
      </c>
      <c r="F2870" s="5" t="str">
        <f>IFERROR(IF(Portafolio_Proyectos!$AP957="","",Portafolio_Proyectos!$D957),"")</f>
        <v/>
      </c>
      <c r="G2870" s="5" t="str">
        <f>IFERROR(IF(Portafolio_Proyectos!$AP957="","",Portafolio_Proyectos!$A957),"")</f>
        <v/>
      </c>
      <c r="H2870" s="5" t="str">
        <f>IFERROR(IF(Portafolio_Proyectos!$AP957="","",Portafolio_Proyectos!$E957),"")</f>
        <v/>
      </c>
    </row>
    <row r="2871" spans="1:8" x14ac:dyDescent="0.35">
      <c r="A2871" s="5" t="str">
        <f>IFERROR(IF(Portafolio_Proyectos!$AQ957="","","CAP-"&amp;ROW()-1),"")</f>
        <v/>
      </c>
      <c r="B2871" s="5" t="str">
        <f>IFERROR(IF(Portafolio_Proyectos!$AQ957="","",Portafolio_Proyectos!$AQ957),"")</f>
        <v/>
      </c>
      <c r="C2871" s="5" t="str">
        <f>IFERROR(IF(Portafolio_Proyectos!$AQ957="","","Consolidada"),"")</f>
        <v/>
      </c>
      <c r="D2871" s="5" t="str">
        <f>IFERROR(IF(Portafolio_Proyectos!$AQ957="","",Portafolio_Proyectos!$C957),"")</f>
        <v/>
      </c>
      <c r="E2871" s="5" t="str">
        <f>IFERROR(IF(Portafolio_Proyectos!$AQ957="","",Portafolio_Proyectos!$B957),"")</f>
        <v/>
      </c>
      <c r="F2871" s="5" t="str">
        <f>IFERROR(IF(Portafolio_Proyectos!$AQ957="","",Portafolio_Proyectos!$D957),"")</f>
        <v/>
      </c>
      <c r="G2871" s="5" t="str">
        <f>IFERROR(IF(Portafolio_Proyectos!$AQ957="","",Portafolio_Proyectos!$A957),"")</f>
        <v/>
      </c>
      <c r="H2871" s="5" t="str">
        <f>IFERROR(IF(Portafolio_Proyectos!$AQ957="","",Portafolio_Proyectos!$E957),"")</f>
        <v/>
      </c>
    </row>
    <row r="2872" spans="1:8" x14ac:dyDescent="0.35">
      <c r="A2872" s="5" t="str">
        <f>IFERROR(IF(Portafolio_Proyectos!$AR957="","","CAP-"&amp;ROW()-1),"")</f>
        <v/>
      </c>
      <c r="B2872" s="5" t="str">
        <f>IFERROR(IF(Portafolio_Proyectos!$AR957="","",Portafolio_Proyectos!$AR957),"")</f>
        <v/>
      </c>
      <c r="C2872" s="5" t="str">
        <f>IFERROR(IF(Portafolio_Proyectos!$AR957="","","Distintiva"),"")</f>
        <v/>
      </c>
      <c r="D2872" s="5" t="str">
        <f>IFERROR(IF(Portafolio_Proyectos!$AR957="","",Portafolio_Proyectos!$C957),"")</f>
        <v/>
      </c>
      <c r="E2872" s="5" t="str">
        <f>IFERROR(IF(Portafolio_Proyectos!$AR957="","",Portafolio_Proyectos!$B957),"")</f>
        <v/>
      </c>
      <c r="F2872" s="5" t="str">
        <f>IFERROR(IF(Portafolio_Proyectos!$AR957="","",Portafolio_Proyectos!$D957),"")</f>
        <v/>
      </c>
      <c r="G2872" s="5" t="str">
        <f>IFERROR(IF(Portafolio_Proyectos!$AR957="","",Portafolio_Proyectos!$A957),"")</f>
        <v/>
      </c>
      <c r="H2872" s="5" t="str">
        <f>IFERROR(IF(Portafolio_Proyectos!$AR957="","",Portafolio_Proyectos!$E957),"")</f>
        <v/>
      </c>
    </row>
    <row r="2873" spans="1:8" x14ac:dyDescent="0.35">
      <c r="A2873" s="5" t="str">
        <f>IFERROR(IF(Portafolio_Proyectos!$AP958="","","CAP-"&amp;ROW()-1),"")</f>
        <v/>
      </c>
      <c r="B2873" s="5" t="str">
        <f>IFERROR(IF(Portafolio_Proyectos!$AP958="","",Portafolio_Proyectos!$AP958),"")</f>
        <v/>
      </c>
      <c r="C2873" s="5" t="str">
        <f>IFERROR(IF(Portafolio_Proyectos!$AP958="","","Emergente"),"")</f>
        <v/>
      </c>
      <c r="D2873" s="5" t="str">
        <f>IFERROR(IF(Portafolio_Proyectos!$AP958="","",Portafolio_Proyectos!$C958),"")</f>
        <v/>
      </c>
      <c r="E2873" s="5" t="str">
        <f>IFERROR(IF(Portafolio_Proyectos!$AP958="","",Portafolio_Proyectos!$B958),"")</f>
        <v/>
      </c>
      <c r="F2873" s="5" t="str">
        <f>IFERROR(IF(Portafolio_Proyectos!$AP958="","",Portafolio_Proyectos!$D958),"")</f>
        <v/>
      </c>
      <c r="G2873" s="5" t="str">
        <f>IFERROR(IF(Portafolio_Proyectos!$AP958="","",Portafolio_Proyectos!$A958),"")</f>
        <v/>
      </c>
      <c r="H2873" s="5" t="str">
        <f>IFERROR(IF(Portafolio_Proyectos!$AP958="","",Portafolio_Proyectos!$E958),"")</f>
        <v/>
      </c>
    </row>
    <row r="2874" spans="1:8" x14ac:dyDescent="0.35">
      <c r="A2874" s="5" t="str">
        <f>IFERROR(IF(Portafolio_Proyectos!$AQ958="","","CAP-"&amp;ROW()-1),"")</f>
        <v/>
      </c>
      <c r="B2874" s="5" t="str">
        <f>IFERROR(IF(Portafolio_Proyectos!$AQ958="","",Portafolio_Proyectos!$AQ958),"")</f>
        <v/>
      </c>
      <c r="C2874" s="5" t="str">
        <f>IFERROR(IF(Portafolio_Proyectos!$AQ958="","","Consolidada"),"")</f>
        <v/>
      </c>
      <c r="D2874" s="5" t="str">
        <f>IFERROR(IF(Portafolio_Proyectos!$AQ958="","",Portafolio_Proyectos!$C958),"")</f>
        <v/>
      </c>
      <c r="E2874" s="5" t="str">
        <f>IFERROR(IF(Portafolio_Proyectos!$AQ958="","",Portafolio_Proyectos!$B958),"")</f>
        <v/>
      </c>
      <c r="F2874" s="5" t="str">
        <f>IFERROR(IF(Portafolio_Proyectos!$AQ958="","",Portafolio_Proyectos!$D958),"")</f>
        <v/>
      </c>
      <c r="G2874" s="5" t="str">
        <f>IFERROR(IF(Portafolio_Proyectos!$AQ958="","",Portafolio_Proyectos!$A958),"")</f>
        <v/>
      </c>
      <c r="H2874" s="5" t="str">
        <f>IFERROR(IF(Portafolio_Proyectos!$AQ958="","",Portafolio_Proyectos!$E958),"")</f>
        <v/>
      </c>
    </row>
    <row r="2875" spans="1:8" x14ac:dyDescent="0.35">
      <c r="A2875" s="5" t="str">
        <f>IFERROR(IF(Portafolio_Proyectos!$AR958="","","CAP-"&amp;ROW()-1),"")</f>
        <v/>
      </c>
      <c r="B2875" s="5" t="str">
        <f>IFERROR(IF(Portafolio_Proyectos!$AR958="","",Portafolio_Proyectos!$AR958),"")</f>
        <v/>
      </c>
      <c r="C2875" s="5" t="str">
        <f>IFERROR(IF(Portafolio_Proyectos!$AR958="","","Distintiva"),"")</f>
        <v/>
      </c>
      <c r="D2875" s="5" t="str">
        <f>IFERROR(IF(Portafolio_Proyectos!$AR958="","",Portafolio_Proyectos!$C958),"")</f>
        <v/>
      </c>
      <c r="E2875" s="5" t="str">
        <f>IFERROR(IF(Portafolio_Proyectos!$AR958="","",Portafolio_Proyectos!$B958),"")</f>
        <v/>
      </c>
      <c r="F2875" s="5" t="str">
        <f>IFERROR(IF(Portafolio_Proyectos!$AR958="","",Portafolio_Proyectos!$D958),"")</f>
        <v/>
      </c>
      <c r="G2875" s="5" t="str">
        <f>IFERROR(IF(Portafolio_Proyectos!$AR958="","",Portafolio_Proyectos!$A958),"")</f>
        <v/>
      </c>
      <c r="H2875" s="5" t="str">
        <f>IFERROR(IF(Portafolio_Proyectos!$AR958="","",Portafolio_Proyectos!$E958),"")</f>
        <v/>
      </c>
    </row>
    <row r="2876" spans="1:8" x14ac:dyDescent="0.35">
      <c r="A2876" s="5" t="str">
        <f>IFERROR(IF(Portafolio_Proyectos!$AP959="","","CAP-"&amp;ROW()-1),"")</f>
        <v/>
      </c>
      <c r="B2876" s="5" t="str">
        <f>IFERROR(IF(Portafolio_Proyectos!$AP959="","",Portafolio_Proyectos!$AP959),"")</f>
        <v/>
      </c>
      <c r="C2876" s="5" t="str">
        <f>IFERROR(IF(Portafolio_Proyectos!$AP959="","","Emergente"),"")</f>
        <v/>
      </c>
      <c r="D2876" s="5" t="str">
        <f>IFERROR(IF(Portafolio_Proyectos!$AP959="","",Portafolio_Proyectos!$C959),"")</f>
        <v/>
      </c>
      <c r="E2876" s="5" t="str">
        <f>IFERROR(IF(Portafolio_Proyectos!$AP959="","",Portafolio_Proyectos!$B959),"")</f>
        <v/>
      </c>
      <c r="F2876" s="5" t="str">
        <f>IFERROR(IF(Portafolio_Proyectos!$AP959="","",Portafolio_Proyectos!$D959),"")</f>
        <v/>
      </c>
      <c r="G2876" s="5" t="str">
        <f>IFERROR(IF(Portafolio_Proyectos!$AP959="","",Portafolio_Proyectos!$A959),"")</f>
        <v/>
      </c>
      <c r="H2876" s="5" t="str">
        <f>IFERROR(IF(Portafolio_Proyectos!$AP959="","",Portafolio_Proyectos!$E959),"")</f>
        <v/>
      </c>
    </row>
    <row r="2877" spans="1:8" x14ac:dyDescent="0.35">
      <c r="A2877" s="5" t="str">
        <f>IFERROR(IF(Portafolio_Proyectos!$AQ959="","","CAP-"&amp;ROW()-1),"")</f>
        <v/>
      </c>
      <c r="B2877" s="5" t="str">
        <f>IFERROR(IF(Portafolio_Proyectos!$AQ959="","",Portafolio_Proyectos!$AQ959),"")</f>
        <v/>
      </c>
      <c r="C2877" s="5" t="str">
        <f>IFERROR(IF(Portafolio_Proyectos!$AQ959="","","Consolidada"),"")</f>
        <v/>
      </c>
      <c r="D2877" s="5" t="str">
        <f>IFERROR(IF(Portafolio_Proyectos!$AQ959="","",Portafolio_Proyectos!$C959),"")</f>
        <v/>
      </c>
      <c r="E2877" s="5" t="str">
        <f>IFERROR(IF(Portafolio_Proyectos!$AQ959="","",Portafolio_Proyectos!$B959),"")</f>
        <v/>
      </c>
      <c r="F2877" s="5" t="str">
        <f>IFERROR(IF(Portafolio_Proyectos!$AQ959="","",Portafolio_Proyectos!$D959),"")</f>
        <v/>
      </c>
      <c r="G2877" s="5" t="str">
        <f>IFERROR(IF(Portafolio_Proyectos!$AQ959="","",Portafolio_Proyectos!$A959),"")</f>
        <v/>
      </c>
      <c r="H2877" s="5" t="str">
        <f>IFERROR(IF(Portafolio_Proyectos!$AQ959="","",Portafolio_Proyectos!$E959),"")</f>
        <v/>
      </c>
    </row>
    <row r="2878" spans="1:8" x14ac:dyDescent="0.35">
      <c r="A2878" s="5" t="str">
        <f>IFERROR(IF(Portafolio_Proyectos!$AR959="","","CAP-"&amp;ROW()-1),"")</f>
        <v/>
      </c>
      <c r="B2878" s="5" t="str">
        <f>IFERROR(IF(Portafolio_Proyectos!$AR959="","",Portafolio_Proyectos!$AR959),"")</f>
        <v/>
      </c>
      <c r="C2878" s="5" t="str">
        <f>IFERROR(IF(Portafolio_Proyectos!$AR959="","","Distintiva"),"")</f>
        <v/>
      </c>
      <c r="D2878" s="5" t="str">
        <f>IFERROR(IF(Portafolio_Proyectos!$AR959="","",Portafolio_Proyectos!$C959),"")</f>
        <v/>
      </c>
      <c r="E2878" s="5" t="str">
        <f>IFERROR(IF(Portafolio_Proyectos!$AR959="","",Portafolio_Proyectos!$B959),"")</f>
        <v/>
      </c>
      <c r="F2878" s="5" t="str">
        <f>IFERROR(IF(Portafolio_Proyectos!$AR959="","",Portafolio_Proyectos!$D959),"")</f>
        <v/>
      </c>
      <c r="G2878" s="5" t="str">
        <f>IFERROR(IF(Portafolio_Proyectos!$AR959="","",Portafolio_Proyectos!$A959),"")</f>
        <v/>
      </c>
      <c r="H2878" s="5" t="str">
        <f>IFERROR(IF(Portafolio_Proyectos!$AR959="","",Portafolio_Proyectos!$E959),"")</f>
        <v/>
      </c>
    </row>
    <row r="2879" spans="1:8" x14ac:dyDescent="0.35">
      <c r="A2879" s="5" t="str">
        <f>IFERROR(IF(Portafolio_Proyectos!$AP960="","","CAP-"&amp;ROW()-1),"")</f>
        <v/>
      </c>
      <c r="B2879" s="5" t="str">
        <f>IFERROR(IF(Portafolio_Proyectos!$AP960="","",Portafolio_Proyectos!$AP960),"")</f>
        <v/>
      </c>
      <c r="C2879" s="5" t="str">
        <f>IFERROR(IF(Portafolio_Proyectos!$AP960="","","Emergente"),"")</f>
        <v/>
      </c>
      <c r="D2879" s="5" t="str">
        <f>IFERROR(IF(Portafolio_Proyectos!$AP960="","",Portafolio_Proyectos!$C960),"")</f>
        <v/>
      </c>
      <c r="E2879" s="5" t="str">
        <f>IFERROR(IF(Portafolio_Proyectos!$AP960="","",Portafolio_Proyectos!$B960),"")</f>
        <v/>
      </c>
      <c r="F2879" s="5" t="str">
        <f>IFERROR(IF(Portafolio_Proyectos!$AP960="","",Portafolio_Proyectos!$D960),"")</f>
        <v/>
      </c>
      <c r="G2879" s="5" t="str">
        <f>IFERROR(IF(Portafolio_Proyectos!$AP960="","",Portafolio_Proyectos!$A960),"")</f>
        <v/>
      </c>
      <c r="H2879" s="5" t="str">
        <f>IFERROR(IF(Portafolio_Proyectos!$AP960="","",Portafolio_Proyectos!$E960),"")</f>
        <v/>
      </c>
    </row>
    <row r="2880" spans="1:8" x14ac:dyDescent="0.35">
      <c r="A2880" s="5" t="str">
        <f>IFERROR(IF(Portafolio_Proyectos!$AQ960="","","CAP-"&amp;ROW()-1),"")</f>
        <v/>
      </c>
      <c r="B2880" s="5" t="str">
        <f>IFERROR(IF(Portafolio_Proyectos!$AQ960="","",Portafolio_Proyectos!$AQ960),"")</f>
        <v/>
      </c>
      <c r="C2880" s="5" t="str">
        <f>IFERROR(IF(Portafolio_Proyectos!$AQ960="","","Consolidada"),"")</f>
        <v/>
      </c>
      <c r="D2880" s="5" t="str">
        <f>IFERROR(IF(Portafolio_Proyectos!$AQ960="","",Portafolio_Proyectos!$C960),"")</f>
        <v/>
      </c>
      <c r="E2880" s="5" t="str">
        <f>IFERROR(IF(Portafolio_Proyectos!$AQ960="","",Portafolio_Proyectos!$B960),"")</f>
        <v/>
      </c>
      <c r="F2880" s="5" t="str">
        <f>IFERROR(IF(Portafolio_Proyectos!$AQ960="","",Portafolio_Proyectos!$D960),"")</f>
        <v/>
      </c>
      <c r="G2880" s="5" t="str">
        <f>IFERROR(IF(Portafolio_Proyectos!$AQ960="","",Portafolio_Proyectos!$A960),"")</f>
        <v/>
      </c>
      <c r="H2880" s="5" t="str">
        <f>IFERROR(IF(Portafolio_Proyectos!$AQ960="","",Portafolio_Proyectos!$E960),"")</f>
        <v/>
      </c>
    </row>
    <row r="2881" spans="1:8" x14ac:dyDescent="0.35">
      <c r="A2881" s="5" t="str">
        <f>IFERROR(IF(Portafolio_Proyectos!$AR960="","","CAP-"&amp;ROW()-1),"")</f>
        <v/>
      </c>
      <c r="B2881" s="5" t="str">
        <f>IFERROR(IF(Portafolio_Proyectos!$AR960="","",Portafolio_Proyectos!$AR960),"")</f>
        <v/>
      </c>
      <c r="C2881" s="5" t="str">
        <f>IFERROR(IF(Portafolio_Proyectos!$AR960="","","Distintiva"),"")</f>
        <v/>
      </c>
      <c r="D2881" s="5" t="str">
        <f>IFERROR(IF(Portafolio_Proyectos!$AR960="","",Portafolio_Proyectos!$C960),"")</f>
        <v/>
      </c>
      <c r="E2881" s="5" t="str">
        <f>IFERROR(IF(Portafolio_Proyectos!$AR960="","",Portafolio_Proyectos!$B960),"")</f>
        <v/>
      </c>
      <c r="F2881" s="5" t="str">
        <f>IFERROR(IF(Portafolio_Proyectos!$AR960="","",Portafolio_Proyectos!$D960),"")</f>
        <v/>
      </c>
      <c r="G2881" s="5" t="str">
        <f>IFERROR(IF(Portafolio_Proyectos!$AR960="","",Portafolio_Proyectos!$A960),"")</f>
        <v/>
      </c>
      <c r="H2881" s="5" t="str">
        <f>IFERROR(IF(Portafolio_Proyectos!$AR960="","",Portafolio_Proyectos!$E960),"")</f>
        <v/>
      </c>
    </row>
    <row r="2882" spans="1:8" x14ac:dyDescent="0.35">
      <c r="A2882" s="5" t="str">
        <f>IFERROR(IF(Portafolio_Proyectos!$AP961="","","CAP-"&amp;ROW()-1),"")</f>
        <v/>
      </c>
      <c r="B2882" s="5" t="str">
        <f>IFERROR(IF(Portafolio_Proyectos!$AP961="","",Portafolio_Proyectos!$AP961),"")</f>
        <v/>
      </c>
      <c r="C2882" s="5" t="str">
        <f>IFERROR(IF(Portafolio_Proyectos!$AP961="","","Emergente"),"")</f>
        <v/>
      </c>
      <c r="D2882" s="5" t="str">
        <f>IFERROR(IF(Portafolio_Proyectos!$AP961="","",Portafolio_Proyectos!$C961),"")</f>
        <v/>
      </c>
      <c r="E2882" s="5" t="str">
        <f>IFERROR(IF(Portafolio_Proyectos!$AP961="","",Portafolio_Proyectos!$B961),"")</f>
        <v/>
      </c>
      <c r="F2882" s="5" t="str">
        <f>IFERROR(IF(Portafolio_Proyectos!$AP961="","",Portafolio_Proyectos!$D961),"")</f>
        <v/>
      </c>
      <c r="G2882" s="5" t="str">
        <f>IFERROR(IF(Portafolio_Proyectos!$AP961="","",Portafolio_Proyectos!$A961),"")</f>
        <v/>
      </c>
      <c r="H2882" s="5" t="str">
        <f>IFERROR(IF(Portafolio_Proyectos!$AP961="","",Portafolio_Proyectos!$E961),"")</f>
        <v/>
      </c>
    </row>
    <row r="2883" spans="1:8" x14ac:dyDescent="0.35">
      <c r="A2883" s="5" t="str">
        <f>IFERROR(IF(Portafolio_Proyectos!$AQ961="","","CAP-"&amp;ROW()-1),"")</f>
        <v/>
      </c>
      <c r="B2883" s="5" t="str">
        <f>IFERROR(IF(Portafolio_Proyectos!$AQ961="","",Portafolio_Proyectos!$AQ961),"")</f>
        <v/>
      </c>
      <c r="C2883" s="5" t="str">
        <f>IFERROR(IF(Portafolio_Proyectos!$AQ961="","","Consolidada"),"")</f>
        <v/>
      </c>
      <c r="D2883" s="5" t="str">
        <f>IFERROR(IF(Portafolio_Proyectos!$AQ961="","",Portafolio_Proyectos!$C961),"")</f>
        <v/>
      </c>
      <c r="E2883" s="5" t="str">
        <f>IFERROR(IF(Portafolio_Proyectos!$AQ961="","",Portafolio_Proyectos!$B961),"")</f>
        <v/>
      </c>
      <c r="F2883" s="5" t="str">
        <f>IFERROR(IF(Portafolio_Proyectos!$AQ961="","",Portafolio_Proyectos!$D961),"")</f>
        <v/>
      </c>
      <c r="G2883" s="5" t="str">
        <f>IFERROR(IF(Portafolio_Proyectos!$AQ961="","",Portafolio_Proyectos!$A961),"")</f>
        <v/>
      </c>
      <c r="H2883" s="5" t="str">
        <f>IFERROR(IF(Portafolio_Proyectos!$AQ961="","",Portafolio_Proyectos!$E961),"")</f>
        <v/>
      </c>
    </row>
    <row r="2884" spans="1:8" x14ac:dyDescent="0.35">
      <c r="A2884" s="5" t="str">
        <f>IFERROR(IF(Portafolio_Proyectos!$AR961="","","CAP-"&amp;ROW()-1),"")</f>
        <v/>
      </c>
      <c r="B2884" s="5" t="str">
        <f>IFERROR(IF(Portafolio_Proyectos!$AR961="","",Portafolio_Proyectos!$AR961),"")</f>
        <v/>
      </c>
      <c r="C2884" s="5" t="str">
        <f>IFERROR(IF(Portafolio_Proyectos!$AR961="","","Distintiva"),"")</f>
        <v/>
      </c>
      <c r="D2884" s="5" t="str">
        <f>IFERROR(IF(Portafolio_Proyectos!$AR961="","",Portafolio_Proyectos!$C961),"")</f>
        <v/>
      </c>
      <c r="E2884" s="5" t="str">
        <f>IFERROR(IF(Portafolio_Proyectos!$AR961="","",Portafolio_Proyectos!$B961),"")</f>
        <v/>
      </c>
      <c r="F2884" s="5" t="str">
        <f>IFERROR(IF(Portafolio_Proyectos!$AR961="","",Portafolio_Proyectos!$D961),"")</f>
        <v/>
      </c>
      <c r="G2884" s="5" t="str">
        <f>IFERROR(IF(Portafolio_Proyectos!$AR961="","",Portafolio_Proyectos!$A961),"")</f>
        <v/>
      </c>
      <c r="H2884" s="5" t="str">
        <f>IFERROR(IF(Portafolio_Proyectos!$AR961="","",Portafolio_Proyectos!$E961),"")</f>
        <v/>
      </c>
    </row>
    <row r="2885" spans="1:8" x14ac:dyDescent="0.35">
      <c r="A2885" s="5" t="str">
        <f>IFERROR(IF(Portafolio_Proyectos!$AP962="","","CAP-"&amp;ROW()-1),"")</f>
        <v/>
      </c>
      <c r="B2885" s="5" t="str">
        <f>IFERROR(IF(Portafolio_Proyectos!$AP962="","",Portafolio_Proyectos!$AP962),"")</f>
        <v/>
      </c>
      <c r="C2885" s="5" t="str">
        <f>IFERROR(IF(Portafolio_Proyectos!$AP962="","","Emergente"),"")</f>
        <v/>
      </c>
      <c r="D2885" s="5" t="str">
        <f>IFERROR(IF(Portafolio_Proyectos!$AP962="","",Portafolio_Proyectos!$C962),"")</f>
        <v/>
      </c>
      <c r="E2885" s="5" t="str">
        <f>IFERROR(IF(Portafolio_Proyectos!$AP962="","",Portafolio_Proyectos!$B962),"")</f>
        <v/>
      </c>
      <c r="F2885" s="5" t="str">
        <f>IFERROR(IF(Portafolio_Proyectos!$AP962="","",Portafolio_Proyectos!$D962),"")</f>
        <v/>
      </c>
      <c r="G2885" s="5" t="str">
        <f>IFERROR(IF(Portafolio_Proyectos!$AP962="","",Portafolio_Proyectos!$A962),"")</f>
        <v/>
      </c>
      <c r="H2885" s="5" t="str">
        <f>IFERROR(IF(Portafolio_Proyectos!$AP962="","",Portafolio_Proyectos!$E962),"")</f>
        <v/>
      </c>
    </row>
    <row r="2886" spans="1:8" x14ac:dyDescent="0.35">
      <c r="A2886" s="5" t="str">
        <f>IFERROR(IF(Portafolio_Proyectos!$AQ962="","","CAP-"&amp;ROW()-1),"")</f>
        <v/>
      </c>
      <c r="B2886" s="5" t="str">
        <f>IFERROR(IF(Portafolio_Proyectos!$AQ962="","",Portafolio_Proyectos!$AQ962),"")</f>
        <v/>
      </c>
      <c r="C2886" s="5" t="str">
        <f>IFERROR(IF(Portafolio_Proyectos!$AQ962="","","Consolidada"),"")</f>
        <v/>
      </c>
      <c r="D2886" s="5" t="str">
        <f>IFERROR(IF(Portafolio_Proyectos!$AQ962="","",Portafolio_Proyectos!$C962),"")</f>
        <v/>
      </c>
      <c r="E2886" s="5" t="str">
        <f>IFERROR(IF(Portafolio_Proyectos!$AQ962="","",Portafolio_Proyectos!$B962),"")</f>
        <v/>
      </c>
      <c r="F2886" s="5" t="str">
        <f>IFERROR(IF(Portafolio_Proyectos!$AQ962="","",Portafolio_Proyectos!$D962),"")</f>
        <v/>
      </c>
      <c r="G2886" s="5" t="str">
        <f>IFERROR(IF(Portafolio_Proyectos!$AQ962="","",Portafolio_Proyectos!$A962),"")</f>
        <v/>
      </c>
      <c r="H2886" s="5" t="str">
        <f>IFERROR(IF(Portafolio_Proyectos!$AQ962="","",Portafolio_Proyectos!$E962),"")</f>
        <v/>
      </c>
    </row>
    <row r="2887" spans="1:8" x14ac:dyDescent="0.35">
      <c r="A2887" s="5" t="str">
        <f>IFERROR(IF(Portafolio_Proyectos!$AR962="","","CAP-"&amp;ROW()-1),"")</f>
        <v/>
      </c>
      <c r="B2887" s="5" t="str">
        <f>IFERROR(IF(Portafolio_Proyectos!$AR962="","",Portafolio_Proyectos!$AR962),"")</f>
        <v/>
      </c>
      <c r="C2887" s="5" t="str">
        <f>IFERROR(IF(Portafolio_Proyectos!$AR962="","","Distintiva"),"")</f>
        <v/>
      </c>
      <c r="D2887" s="5" t="str">
        <f>IFERROR(IF(Portafolio_Proyectos!$AR962="","",Portafolio_Proyectos!$C962),"")</f>
        <v/>
      </c>
      <c r="E2887" s="5" t="str">
        <f>IFERROR(IF(Portafolio_Proyectos!$AR962="","",Portafolio_Proyectos!$B962),"")</f>
        <v/>
      </c>
      <c r="F2887" s="5" t="str">
        <f>IFERROR(IF(Portafolio_Proyectos!$AR962="","",Portafolio_Proyectos!$D962),"")</f>
        <v/>
      </c>
      <c r="G2887" s="5" t="str">
        <f>IFERROR(IF(Portafolio_Proyectos!$AR962="","",Portafolio_Proyectos!$A962),"")</f>
        <v/>
      </c>
      <c r="H2887" s="5" t="str">
        <f>IFERROR(IF(Portafolio_Proyectos!$AR962="","",Portafolio_Proyectos!$E962),"")</f>
        <v/>
      </c>
    </row>
    <row r="2888" spans="1:8" x14ac:dyDescent="0.35">
      <c r="A2888" s="5" t="str">
        <f>IFERROR(IF(Portafolio_Proyectos!$AP963="","","CAP-"&amp;ROW()-1),"")</f>
        <v/>
      </c>
      <c r="B2888" s="5" t="str">
        <f>IFERROR(IF(Portafolio_Proyectos!$AP963="","",Portafolio_Proyectos!$AP963),"")</f>
        <v/>
      </c>
      <c r="C2888" s="5" t="str">
        <f>IFERROR(IF(Portafolio_Proyectos!$AP963="","","Emergente"),"")</f>
        <v/>
      </c>
      <c r="D2888" s="5" t="str">
        <f>IFERROR(IF(Portafolio_Proyectos!$AP963="","",Portafolio_Proyectos!$C963),"")</f>
        <v/>
      </c>
      <c r="E2888" s="5" t="str">
        <f>IFERROR(IF(Portafolio_Proyectos!$AP963="","",Portafolio_Proyectos!$B963),"")</f>
        <v/>
      </c>
      <c r="F2888" s="5" t="str">
        <f>IFERROR(IF(Portafolio_Proyectos!$AP963="","",Portafolio_Proyectos!$D963),"")</f>
        <v/>
      </c>
      <c r="G2888" s="5" t="str">
        <f>IFERROR(IF(Portafolio_Proyectos!$AP963="","",Portafolio_Proyectos!$A963),"")</f>
        <v/>
      </c>
      <c r="H2888" s="5" t="str">
        <f>IFERROR(IF(Portafolio_Proyectos!$AP963="","",Portafolio_Proyectos!$E963),"")</f>
        <v/>
      </c>
    </row>
    <row r="2889" spans="1:8" x14ac:dyDescent="0.35">
      <c r="A2889" s="5" t="str">
        <f>IFERROR(IF(Portafolio_Proyectos!$AQ963="","","CAP-"&amp;ROW()-1),"")</f>
        <v/>
      </c>
      <c r="B2889" s="5" t="str">
        <f>IFERROR(IF(Portafolio_Proyectos!$AQ963="","",Portafolio_Proyectos!$AQ963),"")</f>
        <v/>
      </c>
      <c r="C2889" s="5" t="str">
        <f>IFERROR(IF(Portafolio_Proyectos!$AQ963="","","Consolidada"),"")</f>
        <v/>
      </c>
      <c r="D2889" s="5" t="str">
        <f>IFERROR(IF(Portafolio_Proyectos!$AQ963="","",Portafolio_Proyectos!$C963),"")</f>
        <v/>
      </c>
      <c r="E2889" s="5" t="str">
        <f>IFERROR(IF(Portafolio_Proyectos!$AQ963="","",Portafolio_Proyectos!$B963),"")</f>
        <v/>
      </c>
      <c r="F2889" s="5" t="str">
        <f>IFERROR(IF(Portafolio_Proyectos!$AQ963="","",Portafolio_Proyectos!$D963),"")</f>
        <v/>
      </c>
      <c r="G2889" s="5" t="str">
        <f>IFERROR(IF(Portafolio_Proyectos!$AQ963="","",Portafolio_Proyectos!$A963),"")</f>
        <v/>
      </c>
      <c r="H2889" s="5" t="str">
        <f>IFERROR(IF(Portafolio_Proyectos!$AQ963="","",Portafolio_Proyectos!$E963),"")</f>
        <v/>
      </c>
    </row>
    <row r="2890" spans="1:8" x14ac:dyDescent="0.35">
      <c r="A2890" s="5" t="str">
        <f>IFERROR(IF(Portafolio_Proyectos!$AR963="","","CAP-"&amp;ROW()-1),"")</f>
        <v/>
      </c>
      <c r="B2890" s="5" t="str">
        <f>IFERROR(IF(Portafolio_Proyectos!$AR963="","",Portafolio_Proyectos!$AR963),"")</f>
        <v/>
      </c>
      <c r="C2890" s="5" t="str">
        <f>IFERROR(IF(Portafolio_Proyectos!$AR963="","","Distintiva"),"")</f>
        <v/>
      </c>
      <c r="D2890" s="5" t="str">
        <f>IFERROR(IF(Portafolio_Proyectos!$AR963="","",Portafolio_Proyectos!$C963),"")</f>
        <v/>
      </c>
      <c r="E2890" s="5" t="str">
        <f>IFERROR(IF(Portafolio_Proyectos!$AR963="","",Portafolio_Proyectos!$B963),"")</f>
        <v/>
      </c>
      <c r="F2890" s="5" t="str">
        <f>IFERROR(IF(Portafolio_Proyectos!$AR963="","",Portafolio_Proyectos!$D963),"")</f>
        <v/>
      </c>
      <c r="G2890" s="5" t="str">
        <f>IFERROR(IF(Portafolio_Proyectos!$AR963="","",Portafolio_Proyectos!$A963),"")</f>
        <v/>
      </c>
      <c r="H2890" s="5" t="str">
        <f>IFERROR(IF(Portafolio_Proyectos!$AR963="","",Portafolio_Proyectos!$E963),"")</f>
        <v/>
      </c>
    </row>
    <row r="2891" spans="1:8" x14ac:dyDescent="0.35">
      <c r="A2891" s="5" t="str">
        <f>IFERROR(IF(Portafolio_Proyectos!$AP964="","","CAP-"&amp;ROW()-1),"")</f>
        <v/>
      </c>
      <c r="B2891" s="5" t="str">
        <f>IFERROR(IF(Portafolio_Proyectos!$AP964="","",Portafolio_Proyectos!$AP964),"")</f>
        <v/>
      </c>
      <c r="C2891" s="5" t="str">
        <f>IFERROR(IF(Portafolio_Proyectos!$AP964="","","Emergente"),"")</f>
        <v/>
      </c>
      <c r="D2891" s="5" t="str">
        <f>IFERROR(IF(Portafolio_Proyectos!$AP964="","",Portafolio_Proyectos!$C964),"")</f>
        <v/>
      </c>
      <c r="E2891" s="5" t="str">
        <f>IFERROR(IF(Portafolio_Proyectos!$AP964="","",Portafolio_Proyectos!$B964),"")</f>
        <v/>
      </c>
      <c r="F2891" s="5" t="str">
        <f>IFERROR(IF(Portafolio_Proyectos!$AP964="","",Portafolio_Proyectos!$D964),"")</f>
        <v/>
      </c>
      <c r="G2891" s="5" t="str">
        <f>IFERROR(IF(Portafolio_Proyectos!$AP964="","",Portafolio_Proyectos!$A964),"")</f>
        <v/>
      </c>
      <c r="H2891" s="5" t="str">
        <f>IFERROR(IF(Portafolio_Proyectos!$AP964="","",Portafolio_Proyectos!$E964),"")</f>
        <v/>
      </c>
    </row>
    <row r="2892" spans="1:8" x14ac:dyDescent="0.35">
      <c r="A2892" s="5" t="str">
        <f>IFERROR(IF(Portafolio_Proyectos!$AQ964="","","CAP-"&amp;ROW()-1),"")</f>
        <v/>
      </c>
      <c r="B2892" s="5" t="str">
        <f>IFERROR(IF(Portafolio_Proyectos!$AQ964="","",Portafolio_Proyectos!$AQ964),"")</f>
        <v/>
      </c>
      <c r="C2892" s="5" t="str">
        <f>IFERROR(IF(Portafolio_Proyectos!$AQ964="","","Consolidada"),"")</f>
        <v/>
      </c>
      <c r="D2892" s="5" t="str">
        <f>IFERROR(IF(Portafolio_Proyectos!$AQ964="","",Portafolio_Proyectos!$C964),"")</f>
        <v/>
      </c>
      <c r="E2892" s="5" t="str">
        <f>IFERROR(IF(Portafolio_Proyectos!$AQ964="","",Portafolio_Proyectos!$B964),"")</f>
        <v/>
      </c>
      <c r="F2892" s="5" t="str">
        <f>IFERROR(IF(Portafolio_Proyectos!$AQ964="","",Portafolio_Proyectos!$D964),"")</f>
        <v/>
      </c>
      <c r="G2892" s="5" t="str">
        <f>IFERROR(IF(Portafolio_Proyectos!$AQ964="","",Portafolio_Proyectos!$A964),"")</f>
        <v/>
      </c>
      <c r="H2892" s="5" t="str">
        <f>IFERROR(IF(Portafolio_Proyectos!$AQ964="","",Portafolio_Proyectos!$E964),"")</f>
        <v/>
      </c>
    </row>
    <row r="2893" spans="1:8" x14ac:dyDescent="0.35">
      <c r="A2893" s="5" t="str">
        <f>IFERROR(IF(Portafolio_Proyectos!$AR964="","","CAP-"&amp;ROW()-1),"")</f>
        <v/>
      </c>
      <c r="B2893" s="5" t="str">
        <f>IFERROR(IF(Portafolio_Proyectos!$AR964="","",Portafolio_Proyectos!$AR964),"")</f>
        <v/>
      </c>
      <c r="C2893" s="5" t="str">
        <f>IFERROR(IF(Portafolio_Proyectos!$AR964="","","Distintiva"),"")</f>
        <v/>
      </c>
      <c r="D2893" s="5" t="str">
        <f>IFERROR(IF(Portafolio_Proyectos!$AR964="","",Portafolio_Proyectos!$C964),"")</f>
        <v/>
      </c>
      <c r="E2893" s="5" t="str">
        <f>IFERROR(IF(Portafolio_Proyectos!$AR964="","",Portafolio_Proyectos!$B964),"")</f>
        <v/>
      </c>
      <c r="F2893" s="5" t="str">
        <f>IFERROR(IF(Portafolio_Proyectos!$AR964="","",Portafolio_Proyectos!$D964),"")</f>
        <v/>
      </c>
      <c r="G2893" s="5" t="str">
        <f>IFERROR(IF(Portafolio_Proyectos!$AR964="","",Portafolio_Proyectos!$A964),"")</f>
        <v/>
      </c>
      <c r="H2893" s="5" t="str">
        <f>IFERROR(IF(Portafolio_Proyectos!$AR964="","",Portafolio_Proyectos!$E964),"")</f>
        <v/>
      </c>
    </row>
    <row r="2894" spans="1:8" x14ac:dyDescent="0.35">
      <c r="A2894" s="5" t="str">
        <f>IFERROR(IF(Portafolio_Proyectos!$AP965="","","CAP-"&amp;ROW()-1),"")</f>
        <v/>
      </c>
      <c r="B2894" s="5" t="str">
        <f>IFERROR(IF(Portafolio_Proyectos!$AP965="","",Portafolio_Proyectos!$AP965),"")</f>
        <v/>
      </c>
      <c r="C2894" s="5" t="str">
        <f>IFERROR(IF(Portafolio_Proyectos!$AP965="","","Emergente"),"")</f>
        <v/>
      </c>
      <c r="D2894" s="5" t="str">
        <f>IFERROR(IF(Portafolio_Proyectos!$AP965="","",Portafolio_Proyectos!$C965),"")</f>
        <v/>
      </c>
      <c r="E2894" s="5" t="str">
        <f>IFERROR(IF(Portafolio_Proyectos!$AP965="","",Portafolio_Proyectos!$B965),"")</f>
        <v/>
      </c>
      <c r="F2894" s="5" t="str">
        <f>IFERROR(IF(Portafolio_Proyectos!$AP965="","",Portafolio_Proyectos!$D965),"")</f>
        <v/>
      </c>
      <c r="G2894" s="5" t="str">
        <f>IFERROR(IF(Portafolio_Proyectos!$AP965="","",Portafolio_Proyectos!$A965),"")</f>
        <v/>
      </c>
      <c r="H2894" s="5" t="str">
        <f>IFERROR(IF(Portafolio_Proyectos!$AP965="","",Portafolio_Proyectos!$E965),"")</f>
        <v/>
      </c>
    </row>
    <row r="2895" spans="1:8" x14ac:dyDescent="0.35">
      <c r="A2895" s="5" t="str">
        <f>IFERROR(IF(Portafolio_Proyectos!$AQ965="","","CAP-"&amp;ROW()-1),"")</f>
        <v/>
      </c>
      <c r="B2895" s="5" t="str">
        <f>IFERROR(IF(Portafolio_Proyectos!$AQ965="","",Portafolio_Proyectos!$AQ965),"")</f>
        <v/>
      </c>
      <c r="C2895" s="5" t="str">
        <f>IFERROR(IF(Portafolio_Proyectos!$AQ965="","","Consolidada"),"")</f>
        <v/>
      </c>
      <c r="D2895" s="5" t="str">
        <f>IFERROR(IF(Portafolio_Proyectos!$AQ965="","",Portafolio_Proyectos!$C965),"")</f>
        <v/>
      </c>
      <c r="E2895" s="5" t="str">
        <f>IFERROR(IF(Portafolio_Proyectos!$AQ965="","",Portafolio_Proyectos!$B965),"")</f>
        <v/>
      </c>
      <c r="F2895" s="5" t="str">
        <f>IFERROR(IF(Portafolio_Proyectos!$AQ965="","",Portafolio_Proyectos!$D965),"")</f>
        <v/>
      </c>
      <c r="G2895" s="5" t="str">
        <f>IFERROR(IF(Portafolio_Proyectos!$AQ965="","",Portafolio_Proyectos!$A965),"")</f>
        <v/>
      </c>
      <c r="H2895" s="5" t="str">
        <f>IFERROR(IF(Portafolio_Proyectos!$AQ965="","",Portafolio_Proyectos!$E965),"")</f>
        <v/>
      </c>
    </row>
    <row r="2896" spans="1:8" x14ac:dyDescent="0.35">
      <c r="A2896" s="5" t="str">
        <f>IFERROR(IF(Portafolio_Proyectos!$AR965="","","CAP-"&amp;ROW()-1),"")</f>
        <v/>
      </c>
      <c r="B2896" s="5" t="str">
        <f>IFERROR(IF(Portafolio_Proyectos!$AR965="","",Portafolio_Proyectos!$AR965),"")</f>
        <v/>
      </c>
      <c r="C2896" s="5" t="str">
        <f>IFERROR(IF(Portafolio_Proyectos!$AR965="","","Distintiva"),"")</f>
        <v/>
      </c>
      <c r="D2896" s="5" t="str">
        <f>IFERROR(IF(Portafolio_Proyectos!$AR965="","",Portafolio_Proyectos!$C965),"")</f>
        <v/>
      </c>
      <c r="E2896" s="5" t="str">
        <f>IFERROR(IF(Portafolio_Proyectos!$AR965="","",Portafolio_Proyectos!$B965),"")</f>
        <v/>
      </c>
      <c r="F2896" s="5" t="str">
        <f>IFERROR(IF(Portafolio_Proyectos!$AR965="","",Portafolio_Proyectos!$D965),"")</f>
        <v/>
      </c>
      <c r="G2896" s="5" t="str">
        <f>IFERROR(IF(Portafolio_Proyectos!$AR965="","",Portafolio_Proyectos!$A965),"")</f>
        <v/>
      </c>
      <c r="H2896" s="5" t="str">
        <f>IFERROR(IF(Portafolio_Proyectos!$AR965="","",Portafolio_Proyectos!$E965),"")</f>
        <v/>
      </c>
    </row>
    <row r="2897" spans="1:8" x14ac:dyDescent="0.35">
      <c r="A2897" s="5" t="str">
        <f>IFERROR(IF(Portafolio_Proyectos!$AP966="","","CAP-"&amp;ROW()-1),"")</f>
        <v/>
      </c>
      <c r="B2897" s="5" t="str">
        <f>IFERROR(IF(Portafolio_Proyectos!$AP966="","",Portafolio_Proyectos!$AP966),"")</f>
        <v/>
      </c>
      <c r="C2897" s="5" t="str">
        <f>IFERROR(IF(Portafolio_Proyectos!$AP966="","","Emergente"),"")</f>
        <v/>
      </c>
      <c r="D2897" s="5" t="str">
        <f>IFERROR(IF(Portafolio_Proyectos!$AP966="","",Portafolio_Proyectos!$C966),"")</f>
        <v/>
      </c>
      <c r="E2897" s="5" t="str">
        <f>IFERROR(IF(Portafolio_Proyectos!$AP966="","",Portafolio_Proyectos!$B966),"")</f>
        <v/>
      </c>
      <c r="F2897" s="5" t="str">
        <f>IFERROR(IF(Portafolio_Proyectos!$AP966="","",Portafolio_Proyectos!$D966),"")</f>
        <v/>
      </c>
      <c r="G2897" s="5" t="str">
        <f>IFERROR(IF(Portafolio_Proyectos!$AP966="","",Portafolio_Proyectos!$A966),"")</f>
        <v/>
      </c>
      <c r="H2897" s="5" t="str">
        <f>IFERROR(IF(Portafolio_Proyectos!$AP966="","",Portafolio_Proyectos!$E966),"")</f>
        <v/>
      </c>
    </row>
    <row r="2898" spans="1:8" x14ac:dyDescent="0.35">
      <c r="A2898" s="5" t="str">
        <f>IFERROR(IF(Portafolio_Proyectos!$AQ966="","","CAP-"&amp;ROW()-1),"")</f>
        <v/>
      </c>
      <c r="B2898" s="5" t="str">
        <f>IFERROR(IF(Portafolio_Proyectos!$AQ966="","",Portafolio_Proyectos!$AQ966),"")</f>
        <v/>
      </c>
      <c r="C2898" s="5" t="str">
        <f>IFERROR(IF(Portafolio_Proyectos!$AQ966="","","Consolidada"),"")</f>
        <v/>
      </c>
      <c r="D2898" s="5" t="str">
        <f>IFERROR(IF(Portafolio_Proyectos!$AQ966="","",Portafolio_Proyectos!$C966),"")</f>
        <v/>
      </c>
      <c r="E2898" s="5" t="str">
        <f>IFERROR(IF(Portafolio_Proyectos!$AQ966="","",Portafolio_Proyectos!$B966),"")</f>
        <v/>
      </c>
      <c r="F2898" s="5" t="str">
        <f>IFERROR(IF(Portafolio_Proyectos!$AQ966="","",Portafolio_Proyectos!$D966),"")</f>
        <v/>
      </c>
      <c r="G2898" s="5" t="str">
        <f>IFERROR(IF(Portafolio_Proyectos!$AQ966="","",Portafolio_Proyectos!$A966),"")</f>
        <v/>
      </c>
      <c r="H2898" s="5" t="str">
        <f>IFERROR(IF(Portafolio_Proyectos!$AQ966="","",Portafolio_Proyectos!$E966),"")</f>
        <v/>
      </c>
    </row>
    <row r="2899" spans="1:8" x14ac:dyDescent="0.35">
      <c r="A2899" s="5" t="str">
        <f>IFERROR(IF(Portafolio_Proyectos!$AR966="","","CAP-"&amp;ROW()-1),"")</f>
        <v/>
      </c>
      <c r="B2899" s="5" t="str">
        <f>IFERROR(IF(Portafolio_Proyectos!$AR966="","",Portafolio_Proyectos!$AR966),"")</f>
        <v/>
      </c>
      <c r="C2899" s="5" t="str">
        <f>IFERROR(IF(Portafolio_Proyectos!$AR966="","","Distintiva"),"")</f>
        <v/>
      </c>
      <c r="D2899" s="5" t="str">
        <f>IFERROR(IF(Portafolio_Proyectos!$AR966="","",Portafolio_Proyectos!$C966),"")</f>
        <v/>
      </c>
      <c r="E2899" s="5" t="str">
        <f>IFERROR(IF(Portafolio_Proyectos!$AR966="","",Portafolio_Proyectos!$B966),"")</f>
        <v/>
      </c>
      <c r="F2899" s="5" t="str">
        <f>IFERROR(IF(Portafolio_Proyectos!$AR966="","",Portafolio_Proyectos!$D966),"")</f>
        <v/>
      </c>
      <c r="G2899" s="5" t="str">
        <f>IFERROR(IF(Portafolio_Proyectos!$AR966="","",Portafolio_Proyectos!$A966),"")</f>
        <v/>
      </c>
      <c r="H2899" s="5" t="str">
        <f>IFERROR(IF(Portafolio_Proyectos!$AR966="","",Portafolio_Proyectos!$E966),"")</f>
        <v/>
      </c>
    </row>
    <row r="2900" spans="1:8" x14ac:dyDescent="0.35">
      <c r="A2900" s="5" t="str">
        <f>IFERROR(IF(Portafolio_Proyectos!$AP967="","","CAP-"&amp;ROW()-1),"")</f>
        <v/>
      </c>
      <c r="B2900" s="5" t="str">
        <f>IFERROR(IF(Portafolio_Proyectos!$AP967="","",Portafolio_Proyectos!$AP967),"")</f>
        <v/>
      </c>
      <c r="C2900" s="5" t="str">
        <f>IFERROR(IF(Portafolio_Proyectos!$AP967="","","Emergente"),"")</f>
        <v/>
      </c>
      <c r="D2900" s="5" t="str">
        <f>IFERROR(IF(Portafolio_Proyectos!$AP967="","",Portafolio_Proyectos!$C967),"")</f>
        <v/>
      </c>
      <c r="E2900" s="5" t="str">
        <f>IFERROR(IF(Portafolio_Proyectos!$AP967="","",Portafolio_Proyectos!$B967),"")</f>
        <v/>
      </c>
      <c r="F2900" s="5" t="str">
        <f>IFERROR(IF(Portafolio_Proyectos!$AP967="","",Portafolio_Proyectos!$D967),"")</f>
        <v/>
      </c>
      <c r="G2900" s="5" t="str">
        <f>IFERROR(IF(Portafolio_Proyectos!$AP967="","",Portafolio_Proyectos!$A967),"")</f>
        <v/>
      </c>
      <c r="H2900" s="5" t="str">
        <f>IFERROR(IF(Portafolio_Proyectos!$AP967="","",Portafolio_Proyectos!$E967),"")</f>
        <v/>
      </c>
    </row>
    <row r="2901" spans="1:8" x14ac:dyDescent="0.35">
      <c r="A2901" s="5" t="str">
        <f>IFERROR(IF(Portafolio_Proyectos!$AQ967="","","CAP-"&amp;ROW()-1),"")</f>
        <v/>
      </c>
      <c r="B2901" s="5" t="str">
        <f>IFERROR(IF(Portafolio_Proyectos!$AQ967="","",Portafolio_Proyectos!$AQ967),"")</f>
        <v/>
      </c>
      <c r="C2901" s="5" t="str">
        <f>IFERROR(IF(Portafolio_Proyectos!$AQ967="","","Consolidada"),"")</f>
        <v/>
      </c>
      <c r="D2901" s="5" t="str">
        <f>IFERROR(IF(Portafolio_Proyectos!$AQ967="","",Portafolio_Proyectos!$C967),"")</f>
        <v/>
      </c>
      <c r="E2901" s="5" t="str">
        <f>IFERROR(IF(Portafolio_Proyectos!$AQ967="","",Portafolio_Proyectos!$B967),"")</f>
        <v/>
      </c>
      <c r="F2901" s="5" t="str">
        <f>IFERROR(IF(Portafolio_Proyectos!$AQ967="","",Portafolio_Proyectos!$D967),"")</f>
        <v/>
      </c>
      <c r="G2901" s="5" t="str">
        <f>IFERROR(IF(Portafolio_Proyectos!$AQ967="","",Portafolio_Proyectos!$A967),"")</f>
        <v/>
      </c>
      <c r="H2901" s="5" t="str">
        <f>IFERROR(IF(Portafolio_Proyectos!$AQ967="","",Portafolio_Proyectos!$E967),"")</f>
        <v/>
      </c>
    </row>
    <row r="2902" spans="1:8" x14ac:dyDescent="0.35">
      <c r="A2902" s="5" t="str">
        <f>IFERROR(IF(Portafolio_Proyectos!$AR967="","","CAP-"&amp;ROW()-1),"")</f>
        <v/>
      </c>
      <c r="B2902" s="5" t="str">
        <f>IFERROR(IF(Portafolio_Proyectos!$AR967="","",Portafolio_Proyectos!$AR967),"")</f>
        <v/>
      </c>
      <c r="C2902" s="5" t="str">
        <f>IFERROR(IF(Portafolio_Proyectos!$AR967="","","Distintiva"),"")</f>
        <v/>
      </c>
      <c r="D2902" s="5" t="str">
        <f>IFERROR(IF(Portafolio_Proyectos!$AR967="","",Portafolio_Proyectos!$C967),"")</f>
        <v/>
      </c>
      <c r="E2902" s="5" t="str">
        <f>IFERROR(IF(Portafolio_Proyectos!$AR967="","",Portafolio_Proyectos!$B967),"")</f>
        <v/>
      </c>
      <c r="F2902" s="5" t="str">
        <f>IFERROR(IF(Portafolio_Proyectos!$AR967="","",Portafolio_Proyectos!$D967),"")</f>
        <v/>
      </c>
      <c r="G2902" s="5" t="str">
        <f>IFERROR(IF(Portafolio_Proyectos!$AR967="","",Portafolio_Proyectos!$A967),"")</f>
        <v/>
      </c>
      <c r="H2902" s="5" t="str">
        <f>IFERROR(IF(Portafolio_Proyectos!$AR967="","",Portafolio_Proyectos!$E967),"")</f>
        <v/>
      </c>
    </row>
    <row r="2903" spans="1:8" x14ac:dyDescent="0.35">
      <c r="A2903" s="5" t="str">
        <f>IFERROR(IF(Portafolio_Proyectos!$AP968="","","CAP-"&amp;ROW()-1),"")</f>
        <v/>
      </c>
      <c r="B2903" s="5" t="str">
        <f>IFERROR(IF(Portafolio_Proyectos!$AP968="","",Portafolio_Proyectos!$AP968),"")</f>
        <v/>
      </c>
      <c r="C2903" s="5" t="str">
        <f>IFERROR(IF(Portafolio_Proyectos!$AP968="","","Emergente"),"")</f>
        <v/>
      </c>
      <c r="D2903" s="5" t="str">
        <f>IFERROR(IF(Portafolio_Proyectos!$AP968="","",Portafolio_Proyectos!$C968),"")</f>
        <v/>
      </c>
      <c r="E2903" s="5" t="str">
        <f>IFERROR(IF(Portafolio_Proyectos!$AP968="","",Portafolio_Proyectos!$B968),"")</f>
        <v/>
      </c>
      <c r="F2903" s="5" t="str">
        <f>IFERROR(IF(Portafolio_Proyectos!$AP968="","",Portafolio_Proyectos!$D968),"")</f>
        <v/>
      </c>
      <c r="G2903" s="5" t="str">
        <f>IFERROR(IF(Portafolio_Proyectos!$AP968="","",Portafolio_Proyectos!$A968),"")</f>
        <v/>
      </c>
      <c r="H2903" s="5" t="str">
        <f>IFERROR(IF(Portafolio_Proyectos!$AP968="","",Portafolio_Proyectos!$E968),"")</f>
        <v/>
      </c>
    </row>
    <row r="2904" spans="1:8" x14ac:dyDescent="0.35">
      <c r="A2904" s="5" t="str">
        <f>IFERROR(IF(Portafolio_Proyectos!$AQ968="","","CAP-"&amp;ROW()-1),"")</f>
        <v/>
      </c>
      <c r="B2904" s="5" t="str">
        <f>IFERROR(IF(Portafolio_Proyectos!$AQ968="","",Portafolio_Proyectos!$AQ968),"")</f>
        <v/>
      </c>
      <c r="C2904" s="5" t="str">
        <f>IFERROR(IF(Portafolio_Proyectos!$AQ968="","","Consolidada"),"")</f>
        <v/>
      </c>
      <c r="D2904" s="5" t="str">
        <f>IFERROR(IF(Portafolio_Proyectos!$AQ968="","",Portafolio_Proyectos!$C968),"")</f>
        <v/>
      </c>
      <c r="E2904" s="5" t="str">
        <f>IFERROR(IF(Portafolio_Proyectos!$AQ968="","",Portafolio_Proyectos!$B968),"")</f>
        <v/>
      </c>
      <c r="F2904" s="5" t="str">
        <f>IFERROR(IF(Portafolio_Proyectos!$AQ968="","",Portafolio_Proyectos!$D968),"")</f>
        <v/>
      </c>
      <c r="G2904" s="5" t="str">
        <f>IFERROR(IF(Portafolio_Proyectos!$AQ968="","",Portafolio_Proyectos!$A968),"")</f>
        <v/>
      </c>
      <c r="H2904" s="5" t="str">
        <f>IFERROR(IF(Portafolio_Proyectos!$AQ968="","",Portafolio_Proyectos!$E968),"")</f>
        <v/>
      </c>
    </row>
    <row r="2905" spans="1:8" x14ac:dyDescent="0.35">
      <c r="A2905" s="5" t="str">
        <f>IFERROR(IF(Portafolio_Proyectos!$AR968="","","CAP-"&amp;ROW()-1),"")</f>
        <v/>
      </c>
      <c r="B2905" s="5" t="str">
        <f>IFERROR(IF(Portafolio_Proyectos!$AR968="","",Portafolio_Proyectos!$AR968),"")</f>
        <v/>
      </c>
      <c r="C2905" s="5" t="str">
        <f>IFERROR(IF(Portafolio_Proyectos!$AR968="","","Distintiva"),"")</f>
        <v/>
      </c>
      <c r="D2905" s="5" t="str">
        <f>IFERROR(IF(Portafolio_Proyectos!$AR968="","",Portafolio_Proyectos!$C968),"")</f>
        <v/>
      </c>
      <c r="E2905" s="5" t="str">
        <f>IFERROR(IF(Portafolio_Proyectos!$AR968="","",Portafolio_Proyectos!$B968),"")</f>
        <v/>
      </c>
      <c r="F2905" s="5" t="str">
        <f>IFERROR(IF(Portafolio_Proyectos!$AR968="","",Portafolio_Proyectos!$D968),"")</f>
        <v/>
      </c>
      <c r="G2905" s="5" t="str">
        <f>IFERROR(IF(Portafolio_Proyectos!$AR968="","",Portafolio_Proyectos!$A968),"")</f>
        <v/>
      </c>
      <c r="H2905" s="5" t="str">
        <f>IFERROR(IF(Portafolio_Proyectos!$AR968="","",Portafolio_Proyectos!$E968),"")</f>
        <v/>
      </c>
    </row>
    <row r="2906" spans="1:8" x14ac:dyDescent="0.35">
      <c r="A2906" s="5" t="str">
        <f>IFERROR(IF(Portafolio_Proyectos!$AP969="","","CAP-"&amp;ROW()-1),"")</f>
        <v/>
      </c>
      <c r="B2906" s="5" t="str">
        <f>IFERROR(IF(Portafolio_Proyectos!$AP969="","",Portafolio_Proyectos!$AP969),"")</f>
        <v/>
      </c>
      <c r="C2906" s="5" t="str">
        <f>IFERROR(IF(Portafolio_Proyectos!$AP969="","","Emergente"),"")</f>
        <v/>
      </c>
      <c r="D2906" s="5" t="str">
        <f>IFERROR(IF(Portafolio_Proyectos!$AP969="","",Portafolio_Proyectos!$C969),"")</f>
        <v/>
      </c>
      <c r="E2906" s="5" t="str">
        <f>IFERROR(IF(Portafolio_Proyectos!$AP969="","",Portafolio_Proyectos!$B969),"")</f>
        <v/>
      </c>
      <c r="F2906" s="5" t="str">
        <f>IFERROR(IF(Portafolio_Proyectos!$AP969="","",Portafolio_Proyectos!$D969),"")</f>
        <v/>
      </c>
      <c r="G2906" s="5" t="str">
        <f>IFERROR(IF(Portafolio_Proyectos!$AP969="","",Portafolio_Proyectos!$A969),"")</f>
        <v/>
      </c>
      <c r="H2906" s="5" t="str">
        <f>IFERROR(IF(Portafolio_Proyectos!$AP969="","",Portafolio_Proyectos!$E969),"")</f>
        <v/>
      </c>
    </row>
    <row r="2907" spans="1:8" x14ac:dyDescent="0.35">
      <c r="A2907" s="5" t="str">
        <f>IFERROR(IF(Portafolio_Proyectos!$AQ969="","","CAP-"&amp;ROW()-1),"")</f>
        <v/>
      </c>
      <c r="B2907" s="5" t="str">
        <f>IFERROR(IF(Portafolio_Proyectos!$AQ969="","",Portafolio_Proyectos!$AQ969),"")</f>
        <v/>
      </c>
      <c r="C2907" s="5" t="str">
        <f>IFERROR(IF(Portafolio_Proyectos!$AQ969="","","Consolidada"),"")</f>
        <v/>
      </c>
      <c r="D2907" s="5" t="str">
        <f>IFERROR(IF(Portafolio_Proyectos!$AQ969="","",Portafolio_Proyectos!$C969),"")</f>
        <v/>
      </c>
      <c r="E2907" s="5" t="str">
        <f>IFERROR(IF(Portafolio_Proyectos!$AQ969="","",Portafolio_Proyectos!$B969),"")</f>
        <v/>
      </c>
      <c r="F2907" s="5" t="str">
        <f>IFERROR(IF(Portafolio_Proyectos!$AQ969="","",Portafolio_Proyectos!$D969),"")</f>
        <v/>
      </c>
      <c r="G2907" s="5" t="str">
        <f>IFERROR(IF(Portafolio_Proyectos!$AQ969="","",Portafolio_Proyectos!$A969),"")</f>
        <v/>
      </c>
      <c r="H2907" s="5" t="str">
        <f>IFERROR(IF(Portafolio_Proyectos!$AQ969="","",Portafolio_Proyectos!$E969),"")</f>
        <v/>
      </c>
    </row>
    <row r="2908" spans="1:8" x14ac:dyDescent="0.35">
      <c r="A2908" s="5" t="str">
        <f>IFERROR(IF(Portafolio_Proyectos!$AR969="","","CAP-"&amp;ROW()-1),"")</f>
        <v/>
      </c>
      <c r="B2908" s="5" t="str">
        <f>IFERROR(IF(Portafolio_Proyectos!$AR969="","",Portafolio_Proyectos!$AR969),"")</f>
        <v/>
      </c>
      <c r="C2908" s="5" t="str">
        <f>IFERROR(IF(Portafolio_Proyectos!$AR969="","","Distintiva"),"")</f>
        <v/>
      </c>
      <c r="D2908" s="5" t="str">
        <f>IFERROR(IF(Portafolio_Proyectos!$AR969="","",Portafolio_Proyectos!$C969),"")</f>
        <v/>
      </c>
      <c r="E2908" s="5" t="str">
        <f>IFERROR(IF(Portafolio_Proyectos!$AR969="","",Portafolio_Proyectos!$B969),"")</f>
        <v/>
      </c>
      <c r="F2908" s="5" t="str">
        <f>IFERROR(IF(Portafolio_Proyectos!$AR969="","",Portafolio_Proyectos!$D969),"")</f>
        <v/>
      </c>
      <c r="G2908" s="5" t="str">
        <f>IFERROR(IF(Portafolio_Proyectos!$AR969="","",Portafolio_Proyectos!$A969),"")</f>
        <v/>
      </c>
      <c r="H2908" s="5" t="str">
        <f>IFERROR(IF(Portafolio_Proyectos!$AR969="","",Portafolio_Proyectos!$E969),"")</f>
        <v/>
      </c>
    </row>
    <row r="2909" spans="1:8" x14ac:dyDescent="0.35">
      <c r="A2909" s="5" t="str">
        <f>IFERROR(IF(Portafolio_Proyectos!$AP970="","","CAP-"&amp;ROW()-1),"")</f>
        <v/>
      </c>
      <c r="B2909" s="5" t="str">
        <f>IFERROR(IF(Portafolio_Proyectos!$AP970="","",Portafolio_Proyectos!$AP970),"")</f>
        <v/>
      </c>
      <c r="C2909" s="5" t="str">
        <f>IFERROR(IF(Portafolio_Proyectos!$AP970="","","Emergente"),"")</f>
        <v/>
      </c>
      <c r="D2909" s="5" t="str">
        <f>IFERROR(IF(Portafolio_Proyectos!$AP970="","",Portafolio_Proyectos!$C970),"")</f>
        <v/>
      </c>
      <c r="E2909" s="5" t="str">
        <f>IFERROR(IF(Portafolio_Proyectos!$AP970="","",Portafolio_Proyectos!$B970),"")</f>
        <v/>
      </c>
      <c r="F2909" s="5" t="str">
        <f>IFERROR(IF(Portafolio_Proyectos!$AP970="","",Portafolio_Proyectos!$D970),"")</f>
        <v/>
      </c>
      <c r="G2909" s="5" t="str">
        <f>IFERROR(IF(Portafolio_Proyectos!$AP970="","",Portafolio_Proyectos!$A970),"")</f>
        <v/>
      </c>
      <c r="H2909" s="5" t="str">
        <f>IFERROR(IF(Portafolio_Proyectos!$AP970="","",Portafolio_Proyectos!$E970),"")</f>
        <v/>
      </c>
    </row>
    <row r="2910" spans="1:8" x14ac:dyDescent="0.35">
      <c r="A2910" s="5" t="str">
        <f>IFERROR(IF(Portafolio_Proyectos!$AQ970="","","CAP-"&amp;ROW()-1),"")</f>
        <v/>
      </c>
      <c r="B2910" s="5" t="str">
        <f>IFERROR(IF(Portafolio_Proyectos!$AQ970="","",Portafolio_Proyectos!$AQ970),"")</f>
        <v/>
      </c>
      <c r="C2910" s="5" t="str">
        <f>IFERROR(IF(Portafolio_Proyectos!$AQ970="","","Consolidada"),"")</f>
        <v/>
      </c>
      <c r="D2910" s="5" t="str">
        <f>IFERROR(IF(Portafolio_Proyectos!$AQ970="","",Portafolio_Proyectos!$C970),"")</f>
        <v/>
      </c>
      <c r="E2910" s="5" t="str">
        <f>IFERROR(IF(Portafolio_Proyectos!$AQ970="","",Portafolio_Proyectos!$B970),"")</f>
        <v/>
      </c>
      <c r="F2910" s="5" t="str">
        <f>IFERROR(IF(Portafolio_Proyectos!$AQ970="","",Portafolio_Proyectos!$D970),"")</f>
        <v/>
      </c>
      <c r="G2910" s="5" t="str">
        <f>IFERROR(IF(Portafolio_Proyectos!$AQ970="","",Portafolio_Proyectos!$A970),"")</f>
        <v/>
      </c>
      <c r="H2910" s="5" t="str">
        <f>IFERROR(IF(Portafolio_Proyectos!$AQ970="","",Portafolio_Proyectos!$E970),"")</f>
        <v/>
      </c>
    </row>
    <row r="2911" spans="1:8" x14ac:dyDescent="0.35">
      <c r="A2911" s="5" t="str">
        <f>IFERROR(IF(Portafolio_Proyectos!$AR970="","","CAP-"&amp;ROW()-1),"")</f>
        <v/>
      </c>
      <c r="B2911" s="5" t="str">
        <f>IFERROR(IF(Portafolio_Proyectos!$AR970="","",Portafolio_Proyectos!$AR970),"")</f>
        <v/>
      </c>
      <c r="C2911" s="5" t="str">
        <f>IFERROR(IF(Portafolio_Proyectos!$AR970="","","Distintiva"),"")</f>
        <v/>
      </c>
      <c r="D2911" s="5" t="str">
        <f>IFERROR(IF(Portafolio_Proyectos!$AR970="","",Portafolio_Proyectos!$C970),"")</f>
        <v/>
      </c>
      <c r="E2911" s="5" t="str">
        <f>IFERROR(IF(Portafolio_Proyectos!$AR970="","",Portafolio_Proyectos!$B970),"")</f>
        <v/>
      </c>
      <c r="F2911" s="5" t="str">
        <f>IFERROR(IF(Portafolio_Proyectos!$AR970="","",Portafolio_Proyectos!$D970),"")</f>
        <v/>
      </c>
      <c r="G2911" s="5" t="str">
        <f>IFERROR(IF(Portafolio_Proyectos!$AR970="","",Portafolio_Proyectos!$A970),"")</f>
        <v/>
      </c>
      <c r="H2911" s="5" t="str">
        <f>IFERROR(IF(Portafolio_Proyectos!$AR970="","",Portafolio_Proyectos!$E970),"")</f>
        <v/>
      </c>
    </row>
    <row r="2912" spans="1:8" x14ac:dyDescent="0.35">
      <c r="A2912" s="5" t="str">
        <f>IFERROR(IF(Portafolio_Proyectos!$AP971="","","CAP-"&amp;ROW()-1),"")</f>
        <v/>
      </c>
      <c r="B2912" s="5" t="str">
        <f>IFERROR(IF(Portafolio_Proyectos!$AP971="","",Portafolio_Proyectos!$AP971),"")</f>
        <v/>
      </c>
      <c r="C2912" s="5" t="str">
        <f>IFERROR(IF(Portafolio_Proyectos!$AP971="","","Emergente"),"")</f>
        <v/>
      </c>
      <c r="D2912" s="5" t="str">
        <f>IFERROR(IF(Portafolio_Proyectos!$AP971="","",Portafolio_Proyectos!$C971),"")</f>
        <v/>
      </c>
      <c r="E2912" s="5" t="str">
        <f>IFERROR(IF(Portafolio_Proyectos!$AP971="","",Portafolio_Proyectos!$B971),"")</f>
        <v/>
      </c>
      <c r="F2912" s="5" t="str">
        <f>IFERROR(IF(Portafolio_Proyectos!$AP971="","",Portafolio_Proyectos!$D971),"")</f>
        <v/>
      </c>
      <c r="G2912" s="5" t="str">
        <f>IFERROR(IF(Portafolio_Proyectos!$AP971="","",Portafolio_Proyectos!$A971),"")</f>
        <v/>
      </c>
      <c r="H2912" s="5" t="str">
        <f>IFERROR(IF(Portafolio_Proyectos!$AP971="","",Portafolio_Proyectos!$E971),"")</f>
        <v/>
      </c>
    </row>
    <row r="2913" spans="1:8" x14ac:dyDescent="0.35">
      <c r="A2913" s="5" t="str">
        <f>IFERROR(IF(Portafolio_Proyectos!$AQ971="","","CAP-"&amp;ROW()-1),"")</f>
        <v/>
      </c>
      <c r="B2913" s="5" t="str">
        <f>IFERROR(IF(Portafolio_Proyectos!$AQ971="","",Portafolio_Proyectos!$AQ971),"")</f>
        <v/>
      </c>
      <c r="C2913" s="5" t="str">
        <f>IFERROR(IF(Portafolio_Proyectos!$AQ971="","","Consolidada"),"")</f>
        <v/>
      </c>
      <c r="D2913" s="5" t="str">
        <f>IFERROR(IF(Portafolio_Proyectos!$AQ971="","",Portafolio_Proyectos!$C971),"")</f>
        <v/>
      </c>
      <c r="E2913" s="5" t="str">
        <f>IFERROR(IF(Portafolio_Proyectos!$AQ971="","",Portafolio_Proyectos!$B971),"")</f>
        <v/>
      </c>
      <c r="F2913" s="5" t="str">
        <f>IFERROR(IF(Portafolio_Proyectos!$AQ971="","",Portafolio_Proyectos!$D971),"")</f>
        <v/>
      </c>
      <c r="G2913" s="5" t="str">
        <f>IFERROR(IF(Portafolio_Proyectos!$AQ971="","",Portafolio_Proyectos!$A971),"")</f>
        <v/>
      </c>
      <c r="H2913" s="5" t="str">
        <f>IFERROR(IF(Portafolio_Proyectos!$AQ971="","",Portafolio_Proyectos!$E971),"")</f>
        <v/>
      </c>
    </row>
    <row r="2914" spans="1:8" x14ac:dyDescent="0.35">
      <c r="A2914" s="5" t="str">
        <f>IFERROR(IF(Portafolio_Proyectos!$AR971="","","CAP-"&amp;ROW()-1),"")</f>
        <v/>
      </c>
      <c r="B2914" s="5" t="str">
        <f>IFERROR(IF(Portafolio_Proyectos!$AR971="","",Portafolio_Proyectos!$AR971),"")</f>
        <v/>
      </c>
      <c r="C2914" s="5" t="str">
        <f>IFERROR(IF(Portafolio_Proyectos!$AR971="","","Distintiva"),"")</f>
        <v/>
      </c>
      <c r="D2914" s="5" t="str">
        <f>IFERROR(IF(Portafolio_Proyectos!$AR971="","",Portafolio_Proyectos!$C971),"")</f>
        <v/>
      </c>
      <c r="E2914" s="5" t="str">
        <f>IFERROR(IF(Portafolio_Proyectos!$AR971="","",Portafolio_Proyectos!$B971),"")</f>
        <v/>
      </c>
      <c r="F2914" s="5" t="str">
        <f>IFERROR(IF(Portafolio_Proyectos!$AR971="","",Portafolio_Proyectos!$D971),"")</f>
        <v/>
      </c>
      <c r="G2914" s="5" t="str">
        <f>IFERROR(IF(Portafolio_Proyectos!$AR971="","",Portafolio_Proyectos!$A971),"")</f>
        <v/>
      </c>
      <c r="H2914" s="5" t="str">
        <f>IFERROR(IF(Portafolio_Proyectos!$AR971="","",Portafolio_Proyectos!$E971),"")</f>
        <v/>
      </c>
    </row>
    <row r="2915" spans="1:8" x14ac:dyDescent="0.35">
      <c r="A2915" s="5" t="str">
        <f>IFERROR(IF(Portafolio_Proyectos!$AP972="","","CAP-"&amp;ROW()-1),"")</f>
        <v/>
      </c>
      <c r="B2915" s="5" t="str">
        <f>IFERROR(IF(Portafolio_Proyectos!$AP972="","",Portafolio_Proyectos!$AP972),"")</f>
        <v/>
      </c>
      <c r="C2915" s="5" t="str">
        <f>IFERROR(IF(Portafolio_Proyectos!$AP972="","","Emergente"),"")</f>
        <v/>
      </c>
      <c r="D2915" s="5" t="str">
        <f>IFERROR(IF(Portafolio_Proyectos!$AP972="","",Portafolio_Proyectos!$C972),"")</f>
        <v/>
      </c>
      <c r="E2915" s="5" t="str">
        <f>IFERROR(IF(Portafolio_Proyectos!$AP972="","",Portafolio_Proyectos!$B972),"")</f>
        <v/>
      </c>
      <c r="F2915" s="5" t="str">
        <f>IFERROR(IF(Portafolio_Proyectos!$AP972="","",Portafolio_Proyectos!$D972),"")</f>
        <v/>
      </c>
      <c r="G2915" s="5" t="str">
        <f>IFERROR(IF(Portafolio_Proyectos!$AP972="","",Portafolio_Proyectos!$A972),"")</f>
        <v/>
      </c>
      <c r="H2915" s="5" t="str">
        <f>IFERROR(IF(Portafolio_Proyectos!$AP972="","",Portafolio_Proyectos!$E972),"")</f>
        <v/>
      </c>
    </row>
    <row r="2916" spans="1:8" x14ac:dyDescent="0.35">
      <c r="A2916" s="5" t="str">
        <f>IFERROR(IF(Portafolio_Proyectos!$AQ972="","","CAP-"&amp;ROW()-1),"")</f>
        <v/>
      </c>
      <c r="B2916" s="5" t="str">
        <f>IFERROR(IF(Portafolio_Proyectos!$AQ972="","",Portafolio_Proyectos!$AQ972),"")</f>
        <v/>
      </c>
      <c r="C2916" s="5" t="str">
        <f>IFERROR(IF(Portafolio_Proyectos!$AQ972="","","Consolidada"),"")</f>
        <v/>
      </c>
      <c r="D2916" s="5" t="str">
        <f>IFERROR(IF(Portafolio_Proyectos!$AQ972="","",Portafolio_Proyectos!$C972),"")</f>
        <v/>
      </c>
      <c r="E2916" s="5" t="str">
        <f>IFERROR(IF(Portafolio_Proyectos!$AQ972="","",Portafolio_Proyectos!$B972),"")</f>
        <v/>
      </c>
      <c r="F2916" s="5" t="str">
        <f>IFERROR(IF(Portafolio_Proyectos!$AQ972="","",Portafolio_Proyectos!$D972),"")</f>
        <v/>
      </c>
      <c r="G2916" s="5" t="str">
        <f>IFERROR(IF(Portafolio_Proyectos!$AQ972="","",Portafolio_Proyectos!$A972),"")</f>
        <v/>
      </c>
      <c r="H2916" s="5" t="str">
        <f>IFERROR(IF(Portafolio_Proyectos!$AQ972="","",Portafolio_Proyectos!$E972),"")</f>
        <v/>
      </c>
    </row>
    <row r="2917" spans="1:8" x14ac:dyDescent="0.35">
      <c r="A2917" s="5" t="str">
        <f>IFERROR(IF(Portafolio_Proyectos!$AR972="","","CAP-"&amp;ROW()-1),"")</f>
        <v/>
      </c>
      <c r="B2917" s="5" t="str">
        <f>IFERROR(IF(Portafolio_Proyectos!$AR972="","",Portafolio_Proyectos!$AR972),"")</f>
        <v/>
      </c>
      <c r="C2917" s="5" t="str">
        <f>IFERROR(IF(Portafolio_Proyectos!$AR972="","","Distintiva"),"")</f>
        <v/>
      </c>
      <c r="D2917" s="5" t="str">
        <f>IFERROR(IF(Portafolio_Proyectos!$AR972="","",Portafolio_Proyectos!$C972),"")</f>
        <v/>
      </c>
      <c r="E2917" s="5" t="str">
        <f>IFERROR(IF(Portafolio_Proyectos!$AR972="","",Portafolio_Proyectos!$B972),"")</f>
        <v/>
      </c>
      <c r="F2917" s="5" t="str">
        <f>IFERROR(IF(Portafolio_Proyectos!$AR972="","",Portafolio_Proyectos!$D972),"")</f>
        <v/>
      </c>
      <c r="G2917" s="5" t="str">
        <f>IFERROR(IF(Portafolio_Proyectos!$AR972="","",Portafolio_Proyectos!$A972),"")</f>
        <v/>
      </c>
      <c r="H2917" s="5" t="str">
        <f>IFERROR(IF(Portafolio_Proyectos!$AR972="","",Portafolio_Proyectos!$E972),"")</f>
        <v/>
      </c>
    </row>
    <row r="2918" spans="1:8" x14ac:dyDescent="0.35">
      <c r="A2918" s="5" t="str">
        <f>IFERROR(IF(Portafolio_Proyectos!$AP973="","","CAP-"&amp;ROW()-1),"")</f>
        <v/>
      </c>
      <c r="B2918" s="5" t="str">
        <f>IFERROR(IF(Portafolio_Proyectos!$AP973="","",Portafolio_Proyectos!$AP973),"")</f>
        <v/>
      </c>
      <c r="C2918" s="5" t="str">
        <f>IFERROR(IF(Portafolio_Proyectos!$AP973="","","Emergente"),"")</f>
        <v/>
      </c>
      <c r="D2918" s="5" t="str">
        <f>IFERROR(IF(Portafolio_Proyectos!$AP973="","",Portafolio_Proyectos!$C973),"")</f>
        <v/>
      </c>
      <c r="E2918" s="5" t="str">
        <f>IFERROR(IF(Portafolio_Proyectos!$AP973="","",Portafolio_Proyectos!$B973),"")</f>
        <v/>
      </c>
      <c r="F2918" s="5" t="str">
        <f>IFERROR(IF(Portafolio_Proyectos!$AP973="","",Portafolio_Proyectos!$D973),"")</f>
        <v/>
      </c>
      <c r="G2918" s="5" t="str">
        <f>IFERROR(IF(Portafolio_Proyectos!$AP973="","",Portafolio_Proyectos!$A973),"")</f>
        <v/>
      </c>
      <c r="H2918" s="5" t="str">
        <f>IFERROR(IF(Portafolio_Proyectos!$AP973="","",Portafolio_Proyectos!$E973),"")</f>
        <v/>
      </c>
    </row>
    <row r="2919" spans="1:8" x14ac:dyDescent="0.35">
      <c r="A2919" s="5" t="str">
        <f>IFERROR(IF(Portafolio_Proyectos!$AQ973="","","CAP-"&amp;ROW()-1),"")</f>
        <v/>
      </c>
      <c r="B2919" s="5" t="str">
        <f>IFERROR(IF(Portafolio_Proyectos!$AQ973="","",Portafolio_Proyectos!$AQ973),"")</f>
        <v/>
      </c>
      <c r="C2919" s="5" t="str">
        <f>IFERROR(IF(Portafolio_Proyectos!$AQ973="","","Consolidada"),"")</f>
        <v/>
      </c>
      <c r="D2919" s="5" t="str">
        <f>IFERROR(IF(Portafolio_Proyectos!$AQ973="","",Portafolio_Proyectos!$C973),"")</f>
        <v/>
      </c>
      <c r="E2919" s="5" t="str">
        <f>IFERROR(IF(Portafolio_Proyectos!$AQ973="","",Portafolio_Proyectos!$B973),"")</f>
        <v/>
      </c>
      <c r="F2919" s="5" t="str">
        <f>IFERROR(IF(Portafolio_Proyectos!$AQ973="","",Portafolio_Proyectos!$D973),"")</f>
        <v/>
      </c>
      <c r="G2919" s="5" t="str">
        <f>IFERROR(IF(Portafolio_Proyectos!$AQ973="","",Portafolio_Proyectos!$A973),"")</f>
        <v/>
      </c>
      <c r="H2919" s="5" t="str">
        <f>IFERROR(IF(Portafolio_Proyectos!$AQ973="","",Portafolio_Proyectos!$E973),"")</f>
        <v/>
      </c>
    </row>
    <row r="2920" spans="1:8" x14ac:dyDescent="0.35">
      <c r="A2920" s="5" t="str">
        <f>IFERROR(IF(Portafolio_Proyectos!$AR973="","","CAP-"&amp;ROW()-1),"")</f>
        <v/>
      </c>
      <c r="B2920" s="5" t="str">
        <f>IFERROR(IF(Portafolio_Proyectos!$AR973="","",Portafolio_Proyectos!$AR973),"")</f>
        <v/>
      </c>
      <c r="C2920" s="5" t="str">
        <f>IFERROR(IF(Portafolio_Proyectos!$AR973="","","Distintiva"),"")</f>
        <v/>
      </c>
      <c r="D2920" s="5" t="str">
        <f>IFERROR(IF(Portafolio_Proyectos!$AR973="","",Portafolio_Proyectos!$C973),"")</f>
        <v/>
      </c>
      <c r="E2920" s="5" t="str">
        <f>IFERROR(IF(Portafolio_Proyectos!$AR973="","",Portafolio_Proyectos!$B973),"")</f>
        <v/>
      </c>
      <c r="F2920" s="5" t="str">
        <f>IFERROR(IF(Portafolio_Proyectos!$AR973="","",Portafolio_Proyectos!$D973),"")</f>
        <v/>
      </c>
      <c r="G2920" s="5" t="str">
        <f>IFERROR(IF(Portafolio_Proyectos!$AR973="","",Portafolio_Proyectos!$A973),"")</f>
        <v/>
      </c>
      <c r="H2920" s="5" t="str">
        <f>IFERROR(IF(Portafolio_Proyectos!$AR973="","",Portafolio_Proyectos!$E973),"")</f>
        <v/>
      </c>
    </row>
    <row r="2921" spans="1:8" x14ac:dyDescent="0.35">
      <c r="A2921" s="5" t="str">
        <f>IFERROR(IF(Portafolio_Proyectos!$AP974="","","CAP-"&amp;ROW()-1),"")</f>
        <v/>
      </c>
      <c r="B2921" s="5" t="str">
        <f>IFERROR(IF(Portafolio_Proyectos!$AP974="","",Portafolio_Proyectos!$AP974),"")</f>
        <v/>
      </c>
      <c r="C2921" s="5" t="str">
        <f>IFERROR(IF(Portafolio_Proyectos!$AP974="","","Emergente"),"")</f>
        <v/>
      </c>
      <c r="D2921" s="5" t="str">
        <f>IFERROR(IF(Portafolio_Proyectos!$AP974="","",Portafolio_Proyectos!$C974),"")</f>
        <v/>
      </c>
      <c r="E2921" s="5" t="str">
        <f>IFERROR(IF(Portafolio_Proyectos!$AP974="","",Portafolio_Proyectos!$B974),"")</f>
        <v/>
      </c>
      <c r="F2921" s="5" t="str">
        <f>IFERROR(IF(Portafolio_Proyectos!$AP974="","",Portafolio_Proyectos!$D974),"")</f>
        <v/>
      </c>
      <c r="G2921" s="5" t="str">
        <f>IFERROR(IF(Portafolio_Proyectos!$AP974="","",Portafolio_Proyectos!$A974),"")</f>
        <v/>
      </c>
      <c r="H2921" s="5" t="str">
        <f>IFERROR(IF(Portafolio_Proyectos!$AP974="","",Portafolio_Proyectos!$E974),"")</f>
        <v/>
      </c>
    </row>
    <row r="2922" spans="1:8" x14ac:dyDescent="0.35">
      <c r="A2922" s="5" t="str">
        <f>IFERROR(IF(Portafolio_Proyectos!$AQ974="","","CAP-"&amp;ROW()-1),"")</f>
        <v/>
      </c>
      <c r="B2922" s="5" t="str">
        <f>IFERROR(IF(Portafolio_Proyectos!$AQ974="","",Portafolio_Proyectos!$AQ974),"")</f>
        <v/>
      </c>
      <c r="C2922" s="5" t="str">
        <f>IFERROR(IF(Portafolio_Proyectos!$AQ974="","","Consolidada"),"")</f>
        <v/>
      </c>
      <c r="D2922" s="5" t="str">
        <f>IFERROR(IF(Portafolio_Proyectos!$AQ974="","",Portafolio_Proyectos!$C974),"")</f>
        <v/>
      </c>
      <c r="E2922" s="5" t="str">
        <f>IFERROR(IF(Portafolio_Proyectos!$AQ974="","",Portafolio_Proyectos!$B974),"")</f>
        <v/>
      </c>
      <c r="F2922" s="5" t="str">
        <f>IFERROR(IF(Portafolio_Proyectos!$AQ974="","",Portafolio_Proyectos!$D974),"")</f>
        <v/>
      </c>
      <c r="G2922" s="5" t="str">
        <f>IFERROR(IF(Portafolio_Proyectos!$AQ974="","",Portafolio_Proyectos!$A974),"")</f>
        <v/>
      </c>
      <c r="H2922" s="5" t="str">
        <f>IFERROR(IF(Portafolio_Proyectos!$AQ974="","",Portafolio_Proyectos!$E974),"")</f>
        <v/>
      </c>
    </row>
    <row r="2923" spans="1:8" x14ac:dyDescent="0.35">
      <c r="A2923" s="5" t="str">
        <f>IFERROR(IF(Portafolio_Proyectos!$AR974="","","CAP-"&amp;ROW()-1),"")</f>
        <v/>
      </c>
      <c r="B2923" s="5" t="str">
        <f>IFERROR(IF(Portafolio_Proyectos!$AR974="","",Portafolio_Proyectos!$AR974),"")</f>
        <v/>
      </c>
      <c r="C2923" s="5" t="str">
        <f>IFERROR(IF(Portafolio_Proyectos!$AR974="","","Distintiva"),"")</f>
        <v/>
      </c>
      <c r="D2923" s="5" t="str">
        <f>IFERROR(IF(Portafolio_Proyectos!$AR974="","",Portafolio_Proyectos!$C974),"")</f>
        <v/>
      </c>
      <c r="E2923" s="5" t="str">
        <f>IFERROR(IF(Portafolio_Proyectos!$AR974="","",Portafolio_Proyectos!$B974),"")</f>
        <v/>
      </c>
      <c r="F2923" s="5" t="str">
        <f>IFERROR(IF(Portafolio_Proyectos!$AR974="","",Portafolio_Proyectos!$D974),"")</f>
        <v/>
      </c>
      <c r="G2923" s="5" t="str">
        <f>IFERROR(IF(Portafolio_Proyectos!$AR974="","",Portafolio_Proyectos!$A974),"")</f>
        <v/>
      </c>
      <c r="H2923" s="5" t="str">
        <f>IFERROR(IF(Portafolio_Proyectos!$AR974="","",Portafolio_Proyectos!$E974),"")</f>
        <v/>
      </c>
    </row>
    <row r="2924" spans="1:8" x14ac:dyDescent="0.35">
      <c r="A2924" s="5" t="str">
        <f>IFERROR(IF(Portafolio_Proyectos!$AP975="","","CAP-"&amp;ROW()-1),"")</f>
        <v/>
      </c>
      <c r="B2924" s="5" t="str">
        <f>IFERROR(IF(Portafolio_Proyectos!$AP975="","",Portafolio_Proyectos!$AP975),"")</f>
        <v/>
      </c>
      <c r="C2924" s="5" t="str">
        <f>IFERROR(IF(Portafolio_Proyectos!$AP975="","","Emergente"),"")</f>
        <v/>
      </c>
      <c r="D2924" s="5" t="str">
        <f>IFERROR(IF(Portafolio_Proyectos!$AP975="","",Portafolio_Proyectos!$C975),"")</f>
        <v/>
      </c>
      <c r="E2924" s="5" t="str">
        <f>IFERROR(IF(Portafolio_Proyectos!$AP975="","",Portafolio_Proyectos!$B975),"")</f>
        <v/>
      </c>
      <c r="F2924" s="5" t="str">
        <f>IFERROR(IF(Portafolio_Proyectos!$AP975="","",Portafolio_Proyectos!$D975),"")</f>
        <v/>
      </c>
      <c r="G2924" s="5" t="str">
        <f>IFERROR(IF(Portafolio_Proyectos!$AP975="","",Portafolio_Proyectos!$A975),"")</f>
        <v/>
      </c>
      <c r="H2924" s="5" t="str">
        <f>IFERROR(IF(Portafolio_Proyectos!$AP975="","",Portafolio_Proyectos!$E975),"")</f>
        <v/>
      </c>
    </row>
    <row r="2925" spans="1:8" x14ac:dyDescent="0.35">
      <c r="A2925" s="5" t="str">
        <f>IFERROR(IF(Portafolio_Proyectos!$AQ975="","","CAP-"&amp;ROW()-1),"")</f>
        <v/>
      </c>
      <c r="B2925" s="5" t="str">
        <f>IFERROR(IF(Portafolio_Proyectos!$AQ975="","",Portafolio_Proyectos!$AQ975),"")</f>
        <v/>
      </c>
      <c r="C2925" s="5" t="str">
        <f>IFERROR(IF(Portafolio_Proyectos!$AQ975="","","Consolidada"),"")</f>
        <v/>
      </c>
      <c r="D2925" s="5" t="str">
        <f>IFERROR(IF(Portafolio_Proyectos!$AQ975="","",Portafolio_Proyectos!$C975),"")</f>
        <v/>
      </c>
      <c r="E2925" s="5" t="str">
        <f>IFERROR(IF(Portafolio_Proyectos!$AQ975="","",Portafolio_Proyectos!$B975),"")</f>
        <v/>
      </c>
      <c r="F2925" s="5" t="str">
        <f>IFERROR(IF(Portafolio_Proyectos!$AQ975="","",Portafolio_Proyectos!$D975),"")</f>
        <v/>
      </c>
      <c r="G2925" s="5" t="str">
        <f>IFERROR(IF(Portafolio_Proyectos!$AQ975="","",Portafolio_Proyectos!$A975),"")</f>
        <v/>
      </c>
      <c r="H2925" s="5" t="str">
        <f>IFERROR(IF(Portafolio_Proyectos!$AQ975="","",Portafolio_Proyectos!$E975),"")</f>
        <v/>
      </c>
    </row>
    <row r="2926" spans="1:8" x14ac:dyDescent="0.35">
      <c r="A2926" s="5" t="str">
        <f>IFERROR(IF(Portafolio_Proyectos!$AR975="","","CAP-"&amp;ROW()-1),"")</f>
        <v/>
      </c>
      <c r="B2926" s="5" t="str">
        <f>IFERROR(IF(Portafolio_Proyectos!$AR975="","",Portafolio_Proyectos!$AR975),"")</f>
        <v/>
      </c>
      <c r="C2926" s="5" t="str">
        <f>IFERROR(IF(Portafolio_Proyectos!$AR975="","","Distintiva"),"")</f>
        <v/>
      </c>
      <c r="D2926" s="5" t="str">
        <f>IFERROR(IF(Portafolio_Proyectos!$AR975="","",Portafolio_Proyectos!$C975),"")</f>
        <v/>
      </c>
      <c r="E2926" s="5" t="str">
        <f>IFERROR(IF(Portafolio_Proyectos!$AR975="","",Portafolio_Proyectos!$B975),"")</f>
        <v/>
      </c>
      <c r="F2926" s="5" t="str">
        <f>IFERROR(IF(Portafolio_Proyectos!$AR975="","",Portafolio_Proyectos!$D975),"")</f>
        <v/>
      </c>
      <c r="G2926" s="5" t="str">
        <f>IFERROR(IF(Portafolio_Proyectos!$AR975="","",Portafolio_Proyectos!$A975),"")</f>
        <v/>
      </c>
      <c r="H2926" s="5" t="str">
        <f>IFERROR(IF(Portafolio_Proyectos!$AR975="","",Portafolio_Proyectos!$E975),"")</f>
        <v/>
      </c>
    </row>
    <row r="2927" spans="1:8" x14ac:dyDescent="0.35">
      <c r="A2927" s="5" t="str">
        <f>IFERROR(IF(Portafolio_Proyectos!$AP976="","","CAP-"&amp;ROW()-1),"")</f>
        <v/>
      </c>
      <c r="B2927" s="5" t="str">
        <f>IFERROR(IF(Portafolio_Proyectos!$AP976="","",Portafolio_Proyectos!$AP976),"")</f>
        <v/>
      </c>
      <c r="C2927" s="5" t="str">
        <f>IFERROR(IF(Portafolio_Proyectos!$AP976="","","Emergente"),"")</f>
        <v/>
      </c>
      <c r="D2927" s="5" t="str">
        <f>IFERROR(IF(Portafolio_Proyectos!$AP976="","",Portafolio_Proyectos!$C976),"")</f>
        <v/>
      </c>
      <c r="E2927" s="5" t="str">
        <f>IFERROR(IF(Portafolio_Proyectos!$AP976="","",Portafolio_Proyectos!$B976),"")</f>
        <v/>
      </c>
      <c r="F2927" s="5" t="str">
        <f>IFERROR(IF(Portafolio_Proyectos!$AP976="","",Portafolio_Proyectos!$D976),"")</f>
        <v/>
      </c>
      <c r="G2927" s="5" t="str">
        <f>IFERROR(IF(Portafolio_Proyectos!$AP976="","",Portafolio_Proyectos!$A976),"")</f>
        <v/>
      </c>
      <c r="H2927" s="5" t="str">
        <f>IFERROR(IF(Portafolio_Proyectos!$AP976="","",Portafolio_Proyectos!$E976),"")</f>
        <v/>
      </c>
    </row>
    <row r="2928" spans="1:8" x14ac:dyDescent="0.35">
      <c r="A2928" s="5" t="str">
        <f>IFERROR(IF(Portafolio_Proyectos!$AQ976="","","CAP-"&amp;ROW()-1),"")</f>
        <v/>
      </c>
      <c r="B2928" s="5" t="str">
        <f>IFERROR(IF(Portafolio_Proyectos!$AQ976="","",Portafolio_Proyectos!$AQ976),"")</f>
        <v/>
      </c>
      <c r="C2928" s="5" t="str">
        <f>IFERROR(IF(Portafolio_Proyectos!$AQ976="","","Consolidada"),"")</f>
        <v/>
      </c>
      <c r="D2928" s="5" t="str">
        <f>IFERROR(IF(Portafolio_Proyectos!$AQ976="","",Portafolio_Proyectos!$C976),"")</f>
        <v/>
      </c>
      <c r="E2928" s="5" t="str">
        <f>IFERROR(IF(Portafolio_Proyectos!$AQ976="","",Portafolio_Proyectos!$B976),"")</f>
        <v/>
      </c>
      <c r="F2928" s="5" t="str">
        <f>IFERROR(IF(Portafolio_Proyectos!$AQ976="","",Portafolio_Proyectos!$D976),"")</f>
        <v/>
      </c>
      <c r="G2928" s="5" t="str">
        <f>IFERROR(IF(Portafolio_Proyectos!$AQ976="","",Portafolio_Proyectos!$A976),"")</f>
        <v/>
      </c>
      <c r="H2928" s="5" t="str">
        <f>IFERROR(IF(Portafolio_Proyectos!$AQ976="","",Portafolio_Proyectos!$E976),"")</f>
        <v/>
      </c>
    </row>
    <row r="2929" spans="1:8" x14ac:dyDescent="0.35">
      <c r="A2929" s="5" t="str">
        <f>IFERROR(IF(Portafolio_Proyectos!$AR976="","","CAP-"&amp;ROW()-1),"")</f>
        <v/>
      </c>
      <c r="B2929" s="5" t="str">
        <f>IFERROR(IF(Portafolio_Proyectos!$AR976="","",Portafolio_Proyectos!$AR976),"")</f>
        <v/>
      </c>
      <c r="C2929" s="5" t="str">
        <f>IFERROR(IF(Portafolio_Proyectos!$AR976="","","Distintiva"),"")</f>
        <v/>
      </c>
      <c r="D2929" s="5" t="str">
        <f>IFERROR(IF(Portafolio_Proyectos!$AR976="","",Portafolio_Proyectos!$C976),"")</f>
        <v/>
      </c>
      <c r="E2929" s="5" t="str">
        <f>IFERROR(IF(Portafolio_Proyectos!$AR976="","",Portafolio_Proyectos!$B976),"")</f>
        <v/>
      </c>
      <c r="F2929" s="5" t="str">
        <f>IFERROR(IF(Portafolio_Proyectos!$AR976="","",Portafolio_Proyectos!$D976),"")</f>
        <v/>
      </c>
      <c r="G2929" s="5" t="str">
        <f>IFERROR(IF(Portafolio_Proyectos!$AR976="","",Portafolio_Proyectos!$A976),"")</f>
        <v/>
      </c>
      <c r="H2929" s="5" t="str">
        <f>IFERROR(IF(Portafolio_Proyectos!$AR976="","",Portafolio_Proyectos!$E976),"")</f>
        <v/>
      </c>
    </row>
    <row r="2930" spans="1:8" x14ac:dyDescent="0.35">
      <c r="A2930" s="5" t="str">
        <f>IFERROR(IF(Portafolio_Proyectos!$AP977="","","CAP-"&amp;ROW()-1),"")</f>
        <v/>
      </c>
      <c r="B2930" s="5" t="str">
        <f>IFERROR(IF(Portafolio_Proyectos!$AP977="","",Portafolio_Proyectos!$AP977),"")</f>
        <v/>
      </c>
      <c r="C2930" s="5" t="str">
        <f>IFERROR(IF(Portafolio_Proyectos!$AP977="","","Emergente"),"")</f>
        <v/>
      </c>
      <c r="D2930" s="5" t="str">
        <f>IFERROR(IF(Portafolio_Proyectos!$AP977="","",Portafolio_Proyectos!$C977),"")</f>
        <v/>
      </c>
      <c r="E2930" s="5" t="str">
        <f>IFERROR(IF(Portafolio_Proyectos!$AP977="","",Portafolio_Proyectos!$B977),"")</f>
        <v/>
      </c>
      <c r="F2930" s="5" t="str">
        <f>IFERROR(IF(Portafolio_Proyectos!$AP977="","",Portafolio_Proyectos!$D977),"")</f>
        <v/>
      </c>
      <c r="G2930" s="5" t="str">
        <f>IFERROR(IF(Portafolio_Proyectos!$AP977="","",Portafolio_Proyectos!$A977),"")</f>
        <v/>
      </c>
      <c r="H2930" s="5" t="str">
        <f>IFERROR(IF(Portafolio_Proyectos!$AP977="","",Portafolio_Proyectos!$E977),"")</f>
        <v/>
      </c>
    </row>
    <row r="2931" spans="1:8" x14ac:dyDescent="0.35">
      <c r="A2931" s="5" t="str">
        <f>IFERROR(IF(Portafolio_Proyectos!$AQ977="","","CAP-"&amp;ROW()-1),"")</f>
        <v/>
      </c>
      <c r="B2931" s="5" t="str">
        <f>IFERROR(IF(Portafolio_Proyectos!$AQ977="","",Portafolio_Proyectos!$AQ977),"")</f>
        <v/>
      </c>
      <c r="C2931" s="5" t="str">
        <f>IFERROR(IF(Portafolio_Proyectos!$AQ977="","","Consolidada"),"")</f>
        <v/>
      </c>
      <c r="D2931" s="5" t="str">
        <f>IFERROR(IF(Portafolio_Proyectos!$AQ977="","",Portafolio_Proyectos!$C977),"")</f>
        <v/>
      </c>
      <c r="E2931" s="5" t="str">
        <f>IFERROR(IF(Portafolio_Proyectos!$AQ977="","",Portafolio_Proyectos!$B977),"")</f>
        <v/>
      </c>
      <c r="F2931" s="5" t="str">
        <f>IFERROR(IF(Portafolio_Proyectos!$AQ977="","",Portafolio_Proyectos!$D977),"")</f>
        <v/>
      </c>
      <c r="G2931" s="5" t="str">
        <f>IFERROR(IF(Portafolio_Proyectos!$AQ977="","",Portafolio_Proyectos!$A977),"")</f>
        <v/>
      </c>
      <c r="H2931" s="5" t="str">
        <f>IFERROR(IF(Portafolio_Proyectos!$AQ977="","",Portafolio_Proyectos!$E977),"")</f>
        <v/>
      </c>
    </row>
    <row r="2932" spans="1:8" x14ac:dyDescent="0.35">
      <c r="A2932" s="5" t="str">
        <f>IFERROR(IF(Portafolio_Proyectos!$AR977="","","CAP-"&amp;ROW()-1),"")</f>
        <v/>
      </c>
      <c r="B2932" s="5" t="str">
        <f>IFERROR(IF(Portafolio_Proyectos!$AR977="","",Portafolio_Proyectos!$AR977),"")</f>
        <v/>
      </c>
      <c r="C2932" s="5" t="str">
        <f>IFERROR(IF(Portafolio_Proyectos!$AR977="","","Distintiva"),"")</f>
        <v/>
      </c>
      <c r="D2932" s="5" t="str">
        <f>IFERROR(IF(Portafolio_Proyectos!$AR977="","",Portafolio_Proyectos!$C977),"")</f>
        <v/>
      </c>
      <c r="E2932" s="5" t="str">
        <f>IFERROR(IF(Portafolio_Proyectos!$AR977="","",Portafolio_Proyectos!$B977),"")</f>
        <v/>
      </c>
      <c r="F2932" s="5" t="str">
        <f>IFERROR(IF(Portafolio_Proyectos!$AR977="","",Portafolio_Proyectos!$D977),"")</f>
        <v/>
      </c>
      <c r="G2932" s="5" t="str">
        <f>IFERROR(IF(Portafolio_Proyectos!$AR977="","",Portafolio_Proyectos!$A977),"")</f>
        <v/>
      </c>
      <c r="H2932" s="5" t="str">
        <f>IFERROR(IF(Portafolio_Proyectos!$AR977="","",Portafolio_Proyectos!$E977),"")</f>
        <v/>
      </c>
    </row>
    <row r="2933" spans="1:8" x14ac:dyDescent="0.35">
      <c r="A2933" s="5" t="str">
        <f>IFERROR(IF(Portafolio_Proyectos!$AP978="","","CAP-"&amp;ROW()-1),"")</f>
        <v/>
      </c>
      <c r="B2933" s="5" t="str">
        <f>IFERROR(IF(Portafolio_Proyectos!$AP978="","",Portafolio_Proyectos!$AP978),"")</f>
        <v/>
      </c>
      <c r="C2933" s="5" t="str">
        <f>IFERROR(IF(Portafolio_Proyectos!$AP978="","","Emergente"),"")</f>
        <v/>
      </c>
      <c r="D2933" s="5" t="str">
        <f>IFERROR(IF(Portafolio_Proyectos!$AP978="","",Portafolio_Proyectos!$C978),"")</f>
        <v/>
      </c>
      <c r="E2933" s="5" t="str">
        <f>IFERROR(IF(Portafolio_Proyectos!$AP978="","",Portafolio_Proyectos!$B978),"")</f>
        <v/>
      </c>
      <c r="F2933" s="5" t="str">
        <f>IFERROR(IF(Portafolio_Proyectos!$AP978="","",Portafolio_Proyectos!$D978),"")</f>
        <v/>
      </c>
      <c r="G2933" s="5" t="str">
        <f>IFERROR(IF(Portafolio_Proyectos!$AP978="","",Portafolio_Proyectos!$A978),"")</f>
        <v/>
      </c>
      <c r="H2933" s="5" t="str">
        <f>IFERROR(IF(Portafolio_Proyectos!$AP978="","",Portafolio_Proyectos!$E978),"")</f>
        <v/>
      </c>
    </row>
    <row r="2934" spans="1:8" x14ac:dyDescent="0.35">
      <c r="A2934" s="5" t="str">
        <f>IFERROR(IF(Portafolio_Proyectos!$AQ978="","","CAP-"&amp;ROW()-1),"")</f>
        <v/>
      </c>
      <c r="B2934" s="5" t="str">
        <f>IFERROR(IF(Portafolio_Proyectos!$AQ978="","",Portafolio_Proyectos!$AQ978),"")</f>
        <v/>
      </c>
      <c r="C2934" s="5" t="str">
        <f>IFERROR(IF(Portafolio_Proyectos!$AQ978="","","Consolidada"),"")</f>
        <v/>
      </c>
      <c r="D2934" s="5" t="str">
        <f>IFERROR(IF(Portafolio_Proyectos!$AQ978="","",Portafolio_Proyectos!$C978),"")</f>
        <v/>
      </c>
      <c r="E2934" s="5" t="str">
        <f>IFERROR(IF(Portafolio_Proyectos!$AQ978="","",Portafolio_Proyectos!$B978),"")</f>
        <v/>
      </c>
      <c r="F2934" s="5" t="str">
        <f>IFERROR(IF(Portafolio_Proyectos!$AQ978="","",Portafolio_Proyectos!$D978),"")</f>
        <v/>
      </c>
      <c r="G2934" s="5" t="str">
        <f>IFERROR(IF(Portafolio_Proyectos!$AQ978="","",Portafolio_Proyectos!$A978),"")</f>
        <v/>
      </c>
      <c r="H2934" s="5" t="str">
        <f>IFERROR(IF(Portafolio_Proyectos!$AQ978="","",Portafolio_Proyectos!$E978),"")</f>
        <v/>
      </c>
    </row>
    <row r="2935" spans="1:8" x14ac:dyDescent="0.35">
      <c r="A2935" s="5" t="str">
        <f>IFERROR(IF(Portafolio_Proyectos!$AR978="","","CAP-"&amp;ROW()-1),"")</f>
        <v/>
      </c>
      <c r="B2935" s="5" t="str">
        <f>IFERROR(IF(Portafolio_Proyectos!$AR978="","",Portafolio_Proyectos!$AR978),"")</f>
        <v/>
      </c>
      <c r="C2935" s="5" t="str">
        <f>IFERROR(IF(Portafolio_Proyectos!$AR978="","","Distintiva"),"")</f>
        <v/>
      </c>
      <c r="D2935" s="5" t="str">
        <f>IFERROR(IF(Portafolio_Proyectos!$AR978="","",Portafolio_Proyectos!$C978),"")</f>
        <v/>
      </c>
      <c r="E2935" s="5" t="str">
        <f>IFERROR(IF(Portafolio_Proyectos!$AR978="","",Portafolio_Proyectos!$B978),"")</f>
        <v/>
      </c>
      <c r="F2935" s="5" t="str">
        <f>IFERROR(IF(Portafolio_Proyectos!$AR978="","",Portafolio_Proyectos!$D978),"")</f>
        <v/>
      </c>
      <c r="G2935" s="5" t="str">
        <f>IFERROR(IF(Portafolio_Proyectos!$AR978="","",Portafolio_Proyectos!$A978),"")</f>
        <v/>
      </c>
      <c r="H2935" s="5" t="str">
        <f>IFERROR(IF(Portafolio_Proyectos!$AR978="","",Portafolio_Proyectos!$E978),"")</f>
        <v/>
      </c>
    </row>
    <row r="2936" spans="1:8" x14ac:dyDescent="0.35">
      <c r="A2936" s="5" t="str">
        <f>IFERROR(IF(Portafolio_Proyectos!$AP979="","","CAP-"&amp;ROW()-1),"")</f>
        <v/>
      </c>
      <c r="B2936" s="5" t="str">
        <f>IFERROR(IF(Portafolio_Proyectos!$AP979="","",Portafolio_Proyectos!$AP979),"")</f>
        <v/>
      </c>
      <c r="C2936" s="5" t="str">
        <f>IFERROR(IF(Portafolio_Proyectos!$AP979="","","Emergente"),"")</f>
        <v/>
      </c>
      <c r="D2936" s="5" t="str">
        <f>IFERROR(IF(Portafolio_Proyectos!$AP979="","",Portafolio_Proyectos!$C979),"")</f>
        <v/>
      </c>
      <c r="E2936" s="5" t="str">
        <f>IFERROR(IF(Portafolio_Proyectos!$AP979="","",Portafolio_Proyectos!$B979),"")</f>
        <v/>
      </c>
      <c r="F2936" s="5" t="str">
        <f>IFERROR(IF(Portafolio_Proyectos!$AP979="","",Portafolio_Proyectos!$D979),"")</f>
        <v/>
      </c>
      <c r="G2936" s="5" t="str">
        <f>IFERROR(IF(Portafolio_Proyectos!$AP979="","",Portafolio_Proyectos!$A979),"")</f>
        <v/>
      </c>
      <c r="H2936" s="5" t="str">
        <f>IFERROR(IF(Portafolio_Proyectos!$AP979="","",Portafolio_Proyectos!$E979),"")</f>
        <v/>
      </c>
    </row>
    <row r="2937" spans="1:8" x14ac:dyDescent="0.35">
      <c r="A2937" s="5" t="str">
        <f>IFERROR(IF(Portafolio_Proyectos!$AQ979="","","CAP-"&amp;ROW()-1),"")</f>
        <v/>
      </c>
      <c r="B2937" s="5" t="str">
        <f>IFERROR(IF(Portafolio_Proyectos!$AQ979="","",Portafolio_Proyectos!$AQ979),"")</f>
        <v/>
      </c>
      <c r="C2937" s="5" t="str">
        <f>IFERROR(IF(Portafolio_Proyectos!$AQ979="","","Consolidada"),"")</f>
        <v/>
      </c>
      <c r="D2937" s="5" t="str">
        <f>IFERROR(IF(Portafolio_Proyectos!$AQ979="","",Portafolio_Proyectos!$C979),"")</f>
        <v/>
      </c>
      <c r="E2937" s="5" t="str">
        <f>IFERROR(IF(Portafolio_Proyectos!$AQ979="","",Portafolio_Proyectos!$B979),"")</f>
        <v/>
      </c>
      <c r="F2937" s="5" t="str">
        <f>IFERROR(IF(Portafolio_Proyectos!$AQ979="","",Portafolio_Proyectos!$D979),"")</f>
        <v/>
      </c>
      <c r="G2937" s="5" t="str">
        <f>IFERROR(IF(Portafolio_Proyectos!$AQ979="","",Portafolio_Proyectos!$A979),"")</f>
        <v/>
      </c>
      <c r="H2937" s="5" t="str">
        <f>IFERROR(IF(Portafolio_Proyectos!$AQ979="","",Portafolio_Proyectos!$E979),"")</f>
        <v/>
      </c>
    </row>
    <row r="2938" spans="1:8" x14ac:dyDescent="0.35">
      <c r="A2938" s="5" t="str">
        <f>IFERROR(IF(Portafolio_Proyectos!$AR979="","","CAP-"&amp;ROW()-1),"")</f>
        <v/>
      </c>
      <c r="B2938" s="5" t="str">
        <f>IFERROR(IF(Portafolio_Proyectos!$AR979="","",Portafolio_Proyectos!$AR979),"")</f>
        <v/>
      </c>
      <c r="C2938" s="5" t="str">
        <f>IFERROR(IF(Portafolio_Proyectos!$AR979="","","Distintiva"),"")</f>
        <v/>
      </c>
      <c r="D2938" s="5" t="str">
        <f>IFERROR(IF(Portafolio_Proyectos!$AR979="","",Portafolio_Proyectos!$C979),"")</f>
        <v/>
      </c>
      <c r="E2938" s="5" t="str">
        <f>IFERROR(IF(Portafolio_Proyectos!$AR979="","",Portafolio_Proyectos!$B979),"")</f>
        <v/>
      </c>
      <c r="F2938" s="5" t="str">
        <f>IFERROR(IF(Portafolio_Proyectos!$AR979="","",Portafolio_Proyectos!$D979),"")</f>
        <v/>
      </c>
      <c r="G2938" s="5" t="str">
        <f>IFERROR(IF(Portafolio_Proyectos!$AR979="","",Portafolio_Proyectos!$A979),"")</f>
        <v/>
      </c>
      <c r="H2938" s="5" t="str">
        <f>IFERROR(IF(Portafolio_Proyectos!$AR979="","",Portafolio_Proyectos!$E979),"")</f>
        <v/>
      </c>
    </row>
    <row r="2939" spans="1:8" x14ac:dyDescent="0.35">
      <c r="A2939" s="5" t="str">
        <f>IFERROR(IF(Portafolio_Proyectos!$AP980="","","CAP-"&amp;ROW()-1),"")</f>
        <v/>
      </c>
      <c r="B2939" s="5" t="str">
        <f>IFERROR(IF(Portafolio_Proyectos!$AP980="","",Portafolio_Proyectos!$AP980),"")</f>
        <v/>
      </c>
      <c r="C2939" s="5" t="str">
        <f>IFERROR(IF(Portafolio_Proyectos!$AP980="","","Emergente"),"")</f>
        <v/>
      </c>
      <c r="D2939" s="5" t="str">
        <f>IFERROR(IF(Portafolio_Proyectos!$AP980="","",Portafolio_Proyectos!$C980),"")</f>
        <v/>
      </c>
      <c r="E2939" s="5" t="str">
        <f>IFERROR(IF(Portafolio_Proyectos!$AP980="","",Portafolio_Proyectos!$B980),"")</f>
        <v/>
      </c>
      <c r="F2939" s="5" t="str">
        <f>IFERROR(IF(Portafolio_Proyectos!$AP980="","",Portafolio_Proyectos!$D980),"")</f>
        <v/>
      </c>
      <c r="G2939" s="5" t="str">
        <f>IFERROR(IF(Portafolio_Proyectos!$AP980="","",Portafolio_Proyectos!$A980),"")</f>
        <v/>
      </c>
      <c r="H2939" s="5" t="str">
        <f>IFERROR(IF(Portafolio_Proyectos!$AP980="","",Portafolio_Proyectos!$E980),"")</f>
        <v/>
      </c>
    </row>
    <row r="2940" spans="1:8" x14ac:dyDescent="0.35">
      <c r="A2940" s="5" t="str">
        <f>IFERROR(IF(Portafolio_Proyectos!$AQ980="","","CAP-"&amp;ROW()-1),"")</f>
        <v/>
      </c>
      <c r="B2940" s="5" t="str">
        <f>IFERROR(IF(Portafolio_Proyectos!$AQ980="","",Portafolio_Proyectos!$AQ980),"")</f>
        <v/>
      </c>
      <c r="C2940" s="5" t="str">
        <f>IFERROR(IF(Portafolio_Proyectos!$AQ980="","","Consolidada"),"")</f>
        <v/>
      </c>
      <c r="D2940" s="5" t="str">
        <f>IFERROR(IF(Portafolio_Proyectos!$AQ980="","",Portafolio_Proyectos!$C980),"")</f>
        <v/>
      </c>
      <c r="E2940" s="5" t="str">
        <f>IFERROR(IF(Portafolio_Proyectos!$AQ980="","",Portafolio_Proyectos!$B980),"")</f>
        <v/>
      </c>
      <c r="F2940" s="5" t="str">
        <f>IFERROR(IF(Portafolio_Proyectos!$AQ980="","",Portafolio_Proyectos!$D980),"")</f>
        <v/>
      </c>
      <c r="G2940" s="5" t="str">
        <f>IFERROR(IF(Portafolio_Proyectos!$AQ980="","",Portafolio_Proyectos!$A980),"")</f>
        <v/>
      </c>
      <c r="H2940" s="5" t="str">
        <f>IFERROR(IF(Portafolio_Proyectos!$AQ980="","",Portafolio_Proyectos!$E980),"")</f>
        <v/>
      </c>
    </row>
    <row r="2941" spans="1:8" x14ac:dyDescent="0.35">
      <c r="A2941" s="5" t="str">
        <f>IFERROR(IF(Portafolio_Proyectos!$AR980="","","CAP-"&amp;ROW()-1),"")</f>
        <v/>
      </c>
      <c r="B2941" s="5" t="str">
        <f>IFERROR(IF(Portafolio_Proyectos!$AR980="","",Portafolio_Proyectos!$AR980),"")</f>
        <v/>
      </c>
      <c r="C2941" s="5" t="str">
        <f>IFERROR(IF(Portafolio_Proyectos!$AR980="","","Distintiva"),"")</f>
        <v/>
      </c>
      <c r="D2941" s="5" t="str">
        <f>IFERROR(IF(Portafolio_Proyectos!$AR980="","",Portafolio_Proyectos!$C980),"")</f>
        <v/>
      </c>
      <c r="E2941" s="5" t="str">
        <f>IFERROR(IF(Portafolio_Proyectos!$AR980="","",Portafolio_Proyectos!$B980),"")</f>
        <v/>
      </c>
      <c r="F2941" s="5" t="str">
        <f>IFERROR(IF(Portafolio_Proyectos!$AR980="","",Portafolio_Proyectos!$D980),"")</f>
        <v/>
      </c>
      <c r="G2941" s="5" t="str">
        <f>IFERROR(IF(Portafolio_Proyectos!$AR980="","",Portafolio_Proyectos!$A980),"")</f>
        <v/>
      </c>
      <c r="H2941" s="5" t="str">
        <f>IFERROR(IF(Portafolio_Proyectos!$AR980="","",Portafolio_Proyectos!$E980),"")</f>
        <v/>
      </c>
    </row>
    <row r="2942" spans="1:8" x14ac:dyDescent="0.35">
      <c r="A2942" s="5" t="str">
        <f>IFERROR(IF(Portafolio_Proyectos!$AP981="","","CAP-"&amp;ROW()-1),"")</f>
        <v/>
      </c>
      <c r="B2942" s="5" t="str">
        <f>IFERROR(IF(Portafolio_Proyectos!$AP981="","",Portafolio_Proyectos!$AP981),"")</f>
        <v/>
      </c>
      <c r="C2942" s="5" t="str">
        <f>IFERROR(IF(Portafolio_Proyectos!$AP981="","","Emergente"),"")</f>
        <v/>
      </c>
      <c r="D2942" s="5" t="str">
        <f>IFERROR(IF(Portafolio_Proyectos!$AP981="","",Portafolio_Proyectos!$C981),"")</f>
        <v/>
      </c>
      <c r="E2942" s="5" t="str">
        <f>IFERROR(IF(Portafolio_Proyectos!$AP981="","",Portafolio_Proyectos!$B981),"")</f>
        <v/>
      </c>
      <c r="F2942" s="5" t="str">
        <f>IFERROR(IF(Portafolio_Proyectos!$AP981="","",Portafolio_Proyectos!$D981),"")</f>
        <v/>
      </c>
      <c r="G2942" s="5" t="str">
        <f>IFERROR(IF(Portafolio_Proyectos!$AP981="","",Portafolio_Proyectos!$A981),"")</f>
        <v/>
      </c>
      <c r="H2942" s="5" t="str">
        <f>IFERROR(IF(Portafolio_Proyectos!$AP981="","",Portafolio_Proyectos!$E981),"")</f>
        <v/>
      </c>
    </row>
    <row r="2943" spans="1:8" x14ac:dyDescent="0.35">
      <c r="A2943" s="5" t="str">
        <f>IFERROR(IF(Portafolio_Proyectos!$AQ981="","","CAP-"&amp;ROW()-1),"")</f>
        <v/>
      </c>
      <c r="B2943" s="5" t="str">
        <f>IFERROR(IF(Portafolio_Proyectos!$AQ981="","",Portafolio_Proyectos!$AQ981),"")</f>
        <v/>
      </c>
      <c r="C2943" s="5" t="str">
        <f>IFERROR(IF(Portafolio_Proyectos!$AQ981="","","Consolidada"),"")</f>
        <v/>
      </c>
      <c r="D2943" s="5" t="str">
        <f>IFERROR(IF(Portafolio_Proyectos!$AQ981="","",Portafolio_Proyectos!$C981),"")</f>
        <v/>
      </c>
      <c r="E2943" s="5" t="str">
        <f>IFERROR(IF(Portafolio_Proyectos!$AQ981="","",Portafolio_Proyectos!$B981),"")</f>
        <v/>
      </c>
      <c r="F2943" s="5" t="str">
        <f>IFERROR(IF(Portafolio_Proyectos!$AQ981="","",Portafolio_Proyectos!$D981),"")</f>
        <v/>
      </c>
      <c r="G2943" s="5" t="str">
        <f>IFERROR(IF(Portafolio_Proyectos!$AQ981="","",Portafolio_Proyectos!$A981),"")</f>
        <v/>
      </c>
      <c r="H2943" s="5" t="str">
        <f>IFERROR(IF(Portafolio_Proyectos!$AQ981="","",Portafolio_Proyectos!$E981),"")</f>
        <v/>
      </c>
    </row>
    <row r="2944" spans="1:8" x14ac:dyDescent="0.35">
      <c r="A2944" s="5" t="str">
        <f>IFERROR(IF(Portafolio_Proyectos!$AR981="","","CAP-"&amp;ROW()-1),"")</f>
        <v/>
      </c>
      <c r="B2944" s="5" t="str">
        <f>IFERROR(IF(Portafolio_Proyectos!$AR981="","",Portafolio_Proyectos!$AR981),"")</f>
        <v/>
      </c>
      <c r="C2944" s="5" t="str">
        <f>IFERROR(IF(Portafolio_Proyectos!$AR981="","","Distintiva"),"")</f>
        <v/>
      </c>
      <c r="D2944" s="5" t="str">
        <f>IFERROR(IF(Portafolio_Proyectos!$AR981="","",Portafolio_Proyectos!$C981),"")</f>
        <v/>
      </c>
      <c r="E2944" s="5" t="str">
        <f>IFERROR(IF(Portafolio_Proyectos!$AR981="","",Portafolio_Proyectos!$B981),"")</f>
        <v/>
      </c>
      <c r="F2944" s="5" t="str">
        <f>IFERROR(IF(Portafolio_Proyectos!$AR981="","",Portafolio_Proyectos!$D981),"")</f>
        <v/>
      </c>
      <c r="G2944" s="5" t="str">
        <f>IFERROR(IF(Portafolio_Proyectos!$AR981="","",Portafolio_Proyectos!$A981),"")</f>
        <v/>
      </c>
      <c r="H2944" s="5" t="str">
        <f>IFERROR(IF(Portafolio_Proyectos!$AR981="","",Portafolio_Proyectos!$E981),"")</f>
        <v/>
      </c>
    </row>
    <row r="2945" spans="1:8" x14ac:dyDescent="0.35">
      <c r="A2945" s="5" t="str">
        <f>IFERROR(IF(Portafolio_Proyectos!$AP982="","","CAP-"&amp;ROW()-1),"")</f>
        <v/>
      </c>
      <c r="B2945" s="5" t="str">
        <f>IFERROR(IF(Portafolio_Proyectos!$AP982="","",Portafolio_Proyectos!$AP982),"")</f>
        <v/>
      </c>
      <c r="C2945" s="5" t="str">
        <f>IFERROR(IF(Portafolio_Proyectos!$AP982="","","Emergente"),"")</f>
        <v/>
      </c>
      <c r="D2945" s="5" t="str">
        <f>IFERROR(IF(Portafolio_Proyectos!$AP982="","",Portafolio_Proyectos!$C982),"")</f>
        <v/>
      </c>
      <c r="E2945" s="5" t="str">
        <f>IFERROR(IF(Portafolio_Proyectos!$AP982="","",Portafolio_Proyectos!$B982),"")</f>
        <v/>
      </c>
      <c r="F2945" s="5" t="str">
        <f>IFERROR(IF(Portafolio_Proyectos!$AP982="","",Portafolio_Proyectos!$D982),"")</f>
        <v/>
      </c>
      <c r="G2945" s="5" t="str">
        <f>IFERROR(IF(Portafolio_Proyectos!$AP982="","",Portafolio_Proyectos!$A982),"")</f>
        <v/>
      </c>
      <c r="H2945" s="5" t="str">
        <f>IFERROR(IF(Portafolio_Proyectos!$AP982="","",Portafolio_Proyectos!$E982),"")</f>
        <v/>
      </c>
    </row>
    <row r="2946" spans="1:8" x14ac:dyDescent="0.35">
      <c r="A2946" s="5" t="str">
        <f>IFERROR(IF(Portafolio_Proyectos!$AQ982="","","CAP-"&amp;ROW()-1),"")</f>
        <v/>
      </c>
      <c r="B2946" s="5" t="str">
        <f>IFERROR(IF(Portafolio_Proyectos!$AQ982="","",Portafolio_Proyectos!$AQ982),"")</f>
        <v/>
      </c>
      <c r="C2946" s="5" t="str">
        <f>IFERROR(IF(Portafolio_Proyectos!$AQ982="","","Consolidada"),"")</f>
        <v/>
      </c>
      <c r="D2946" s="5" t="str">
        <f>IFERROR(IF(Portafolio_Proyectos!$AQ982="","",Portafolio_Proyectos!$C982),"")</f>
        <v/>
      </c>
      <c r="E2946" s="5" t="str">
        <f>IFERROR(IF(Portafolio_Proyectos!$AQ982="","",Portafolio_Proyectos!$B982),"")</f>
        <v/>
      </c>
      <c r="F2946" s="5" t="str">
        <f>IFERROR(IF(Portafolio_Proyectos!$AQ982="","",Portafolio_Proyectos!$D982),"")</f>
        <v/>
      </c>
      <c r="G2946" s="5" t="str">
        <f>IFERROR(IF(Portafolio_Proyectos!$AQ982="","",Portafolio_Proyectos!$A982),"")</f>
        <v/>
      </c>
      <c r="H2946" s="5" t="str">
        <f>IFERROR(IF(Portafolio_Proyectos!$AQ982="","",Portafolio_Proyectos!$E982),"")</f>
        <v/>
      </c>
    </row>
    <row r="2947" spans="1:8" x14ac:dyDescent="0.35">
      <c r="A2947" s="5" t="str">
        <f>IFERROR(IF(Portafolio_Proyectos!$AR982="","","CAP-"&amp;ROW()-1),"")</f>
        <v/>
      </c>
      <c r="B2947" s="5" t="str">
        <f>IFERROR(IF(Portafolio_Proyectos!$AR982="","",Portafolio_Proyectos!$AR982),"")</f>
        <v/>
      </c>
      <c r="C2947" s="5" t="str">
        <f>IFERROR(IF(Portafolio_Proyectos!$AR982="","","Distintiva"),"")</f>
        <v/>
      </c>
      <c r="D2947" s="5" t="str">
        <f>IFERROR(IF(Portafolio_Proyectos!$AR982="","",Portafolio_Proyectos!$C982),"")</f>
        <v/>
      </c>
      <c r="E2947" s="5" t="str">
        <f>IFERROR(IF(Portafolio_Proyectos!$AR982="","",Portafolio_Proyectos!$B982),"")</f>
        <v/>
      </c>
      <c r="F2947" s="5" t="str">
        <f>IFERROR(IF(Portafolio_Proyectos!$AR982="","",Portafolio_Proyectos!$D982),"")</f>
        <v/>
      </c>
      <c r="G2947" s="5" t="str">
        <f>IFERROR(IF(Portafolio_Proyectos!$AR982="","",Portafolio_Proyectos!$A982),"")</f>
        <v/>
      </c>
      <c r="H2947" s="5" t="str">
        <f>IFERROR(IF(Portafolio_Proyectos!$AR982="","",Portafolio_Proyectos!$E982),"")</f>
        <v/>
      </c>
    </row>
    <row r="2948" spans="1:8" x14ac:dyDescent="0.35">
      <c r="A2948" s="5" t="str">
        <f>IFERROR(IF(Portafolio_Proyectos!$AP983="","","CAP-"&amp;ROW()-1),"")</f>
        <v/>
      </c>
      <c r="B2948" s="5" t="str">
        <f>IFERROR(IF(Portafolio_Proyectos!$AP983="","",Portafolio_Proyectos!$AP983),"")</f>
        <v/>
      </c>
      <c r="C2948" s="5" t="str">
        <f>IFERROR(IF(Portafolio_Proyectos!$AP983="","","Emergente"),"")</f>
        <v/>
      </c>
      <c r="D2948" s="5" t="str">
        <f>IFERROR(IF(Portafolio_Proyectos!$AP983="","",Portafolio_Proyectos!$C983),"")</f>
        <v/>
      </c>
      <c r="E2948" s="5" t="str">
        <f>IFERROR(IF(Portafolio_Proyectos!$AP983="","",Portafolio_Proyectos!$B983),"")</f>
        <v/>
      </c>
      <c r="F2948" s="5" t="str">
        <f>IFERROR(IF(Portafolio_Proyectos!$AP983="","",Portafolio_Proyectos!$D983),"")</f>
        <v/>
      </c>
      <c r="G2948" s="5" t="str">
        <f>IFERROR(IF(Portafolio_Proyectos!$AP983="","",Portafolio_Proyectos!$A983),"")</f>
        <v/>
      </c>
      <c r="H2948" s="5" t="str">
        <f>IFERROR(IF(Portafolio_Proyectos!$AP983="","",Portafolio_Proyectos!$E983),"")</f>
        <v/>
      </c>
    </row>
    <row r="2949" spans="1:8" x14ac:dyDescent="0.35">
      <c r="A2949" s="5" t="str">
        <f>IFERROR(IF(Portafolio_Proyectos!$AQ983="","","CAP-"&amp;ROW()-1),"")</f>
        <v/>
      </c>
      <c r="B2949" s="5" t="str">
        <f>IFERROR(IF(Portafolio_Proyectos!$AQ983="","",Portafolio_Proyectos!$AQ983),"")</f>
        <v/>
      </c>
      <c r="C2949" s="5" t="str">
        <f>IFERROR(IF(Portafolio_Proyectos!$AQ983="","","Consolidada"),"")</f>
        <v/>
      </c>
      <c r="D2949" s="5" t="str">
        <f>IFERROR(IF(Portafolio_Proyectos!$AQ983="","",Portafolio_Proyectos!$C983),"")</f>
        <v/>
      </c>
      <c r="E2949" s="5" t="str">
        <f>IFERROR(IF(Portafolio_Proyectos!$AQ983="","",Portafolio_Proyectos!$B983),"")</f>
        <v/>
      </c>
      <c r="F2949" s="5" t="str">
        <f>IFERROR(IF(Portafolio_Proyectos!$AQ983="","",Portafolio_Proyectos!$D983),"")</f>
        <v/>
      </c>
      <c r="G2949" s="5" t="str">
        <f>IFERROR(IF(Portafolio_Proyectos!$AQ983="","",Portafolio_Proyectos!$A983),"")</f>
        <v/>
      </c>
      <c r="H2949" s="5" t="str">
        <f>IFERROR(IF(Portafolio_Proyectos!$AQ983="","",Portafolio_Proyectos!$E983),"")</f>
        <v/>
      </c>
    </row>
    <row r="2950" spans="1:8" x14ac:dyDescent="0.35">
      <c r="A2950" s="5" t="str">
        <f>IFERROR(IF(Portafolio_Proyectos!$AR983="","","CAP-"&amp;ROW()-1),"")</f>
        <v/>
      </c>
      <c r="B2950" s="5" t="str">
        <f>IFERROR(IF(Portafolio_Proyectos!$AR983="","",Portafolio_Proyectos!$AR983),"")</f>
        <v/>
      </c>
      <c r="C2950" s="5" t="str">
        <f>IFERROR(IF(Portafolio_Proyectos!$AR983="","","Distintiva"),"")</f>
        <v/>
      </c>
      <c r="D2950" s="5" t="str">
        <f>IFERROR(IF(Portafolio_Proyectos!$AR983="","",Portafolio_Proyectos!$C983),"")</f>
        <v/>
      </c>
      <c r="E2950" s="5" t="str">
        <f>IFERROR(IF(Portafolio_Proyectos!$AR983="","",Portafolio_Proyectos!$B983),"")</f>
        <v/>
      </c>
      <c r="F2950" s="5" t="str">
        <f>IFERROR(IF(Portafolio_Proyectos!$AR983="","",Portafolio_Proyectos!$D983),"")</f>
        <v/>
      </c>
      <c r="G2950" s="5" t="str">
        <f>IFERROR(IF(Portafolio_Proyectos!$AR983="","",Portafolio_Proyectos!$A983),"")</f>
        <v/>
      </c>
      <c r="H2950" s="5" t="str">
        <f>IFERROR(IF(Portafolio_Proyectos!$AR983="","",Portafolio_Proyectos!$E983),"")</f>
        <v/>
      </c>
    </row>
    <row r="2951" spans="1:8" x14ac:dyDescent="0.35">
      <c r="A2951" s="5" t="str">
        <f>IFERROR(IF(Portafolio_Proyectos!$AP984="","","CAP-"&amp;ROW()-1),"")</f>
        <v/>
      </c>
      <c r="B2951" s="5" t="str">
        <f>IFERROR(IF(Portafolio_Proyectos!$AP984="","",Portafolio_Proyectos!$AP984),"")</f>
        <v/>
      </c>
      <c r="C2951" s="5" t="str">
        <f>IFERROR(IF(Portafolio_Proyectos!$AP984="","","Emergente"),"")</f>
        <v/>
      </c>
      <c r="D2951" s="5" t="str">
        <f>IFERROR(IF(Portafolio_Proyectos!$AP984="","",Portafolio_Proyectos!$C984),"")</f>
        <v/>
      </c>
      <c r="E2951" s="5" t="str">
        <f>IFERROR(IF(Portafolio_Proyectos!$AP984="","",Portafolio_Proyectos!$B984),"")</f>
        <v/>
      </c>
      <c r="F2951" s="5" t="str">
        <f>IFERROR(IF(Portafolio_Proyectos!$AP984="","",Portafolio_Proyectos!$D984),"")</f>
        <v/>
      </c>
      <c r="G2951" s="5" t="str">
        <f>IFERROR(IF(Portafolio_Proyectos!$AP984="","",Portafolio_Proyectos!$A984),"")</f>
        <v/>
      </c>
      <c r="H2951" s="5" t="str">
        <f>IFERROR(IF(Portafolio_Proyectos!$AP984="","",Portafolio_Proyectos!$E984),"")</f>
        <v/>
      </c>
    </row>
    <row r="2952" spans="1:8" x14ac:dyDescent="0.35">
      <c r="A2952" s="5" t="str">
        <f>IFERROR(IF(Portafolio_Proyectos!$AQ984="","","CAP-"&amp;ROW()-1),"")</f>
        <v/>
      </c>
      <c r="B2952" s="5" t="str">
        <f>IFERROR(IF(Portafolio_Proyectos!$AQ984="","",Portafolio_Proyectos!$AQ984),"")</f>
        <v/>
      </c>
      <c r="C2952" s="5" t="str">
        <f>IFERROR(IF(Portafolio_Proyectos!$AQ984="","","Consolidada"),"")</f>
        <v/>
      </c>
      <c r="D2952" s="5" t="str">
        <f>IFERROR(IF(Portafolio_Proyectos!$AQ984="","",Portafolio_Proyectos!$C984),"")</f>
        <v/>
      </c>
      <c r="E2952" s="5" t="str">
        <f>IFERROR(IF(Portafolio_Proyectos!$AQ984="","",Portafolio_Proyectos!$B984),"")</f>
        <v/>
      </c>
      <c r="F2952" s="5" t="str">
        <f>IFERROR(IF(Portafolio_Proyectos!$AQ984="","",Portafolio_Proyectos!$D984),"")</f>
        <v/>
      </c>
      <c r="G2952" s="5" t="str">
        <f>IFERROR(IF(Portafolio_Proyectos!$AQ984="","",Portafolio_Proyectos!$A984),"")</f>
        <v/>
      </c>
      <c r="H2952" s="5" t="str">
        <f>IFERROR(IF(Portafolio_Proyectos!$AQ984="","",Portafolio_Proyectos!$E984),"")</f>
        <v/>
      </c>
    </row>
    <row r="2953" spans="1:8" x14ac:dyDescent="0.35">
      <c r="A2953" s="5" t="str">
        <f>IFERROR(IF(Portafolio_Proyectos!$AR984="","","CAP-"&amp;ROW()-1),"")</f>
        <v/>
      </c>
      <c r="B2953" s="5" t="str">
        <f>IFERROR(IF(Portafolio_Proyectos!$AR984="","",Portafolio_Proyectos!$AR984),"")</f>
        <v/>
      </c>
      <c r="C2953" s="5" t="str">
        <f>IFERROR(IF(Portafolio_Proyectos!$AR984="","","Distintiva"),"")</f>
        <v/>
      </c>
      <c r="D2953" s="5" t="str">
        <f>IFERROR(IF(Portafolio_Proyectos!$AR984="","",Portafolio_Proyectos!$C984),"")</f>
        <v/>
      </c>
      <c r="E2953" s="5" t="str">
        <f>IFERROR(IF(Portafolio_Proyectos!$AR984="","",Portafolio_Proyectos!$B984),"")</f>
        <v/>
      </c>
      <c r="F2953" s="5" t="str">
        <f>IFERROR(IF(Portafolio_Proyectos!$AR984="","",Portafolio_Proyectos!$D984),"")</f>
        <v/>
      </c>
      <c r="G2953" s="5" t="str">
        <f>IFERROR(IF(Portafolio_Proyectos!$AR984="","",Portafolio_Proyectos!$A984),"")</f>
        <v/>
      </c>
      <c r="H2953" s="5" t="str">
        <f>IFERROR(IF(Portafolio_Proyectos!$AR984="","",Portafolio_Proyectos!$E984),"")</f>
        <v/>
      </c>
    </row>
    <row r="2954" spans="1:8" x14ac:dyDescent="0.35">
      <c r="A2954" s="5" t="str">
        <f>IFERROR(IF(Portafolio_Proyectos!$AP985="","","CAP-"&amp;ROW()-1),"")</f>
        <v/>
      </c>
      <c r="B2954" s="5" t="str">
        <f>IFERROR(IF(Portafolio_Proyectos!$AP985="","",Portafolio_Proyectos!$AP985),"")</f>
        <v/>
      </c>
      <c r="C2954" s="5" t="str">
        <f>IFERROR(IF(Portafolio_Proyectos!$AP985="","","Emergente"),"")</f>
        <v/>
      </c>
      <c r="D2954" s="5" t="str">
        <f>IFERROR(IF(Portafolio_Proyectos!$AP985="","",Portafolio_Proyectos!$C985),"")</f>
        <v/>
      </c>
      <c r="E2954" s="5" t="str">
        <f>IFERROR(IF(Portafolio_Proyectos!$AP985="","",Portafolio_Proyectos!$B985),"")</f>
        <v/>
      </c>
      <c r="F2954" s="5" t="str">
        <f>IFERROR(IF(Portafolio_Proyectos!$AP985="","",Portafolio_Proyectos!$D985),"")</f>
        <v/>
      </c>
      <c r="G2954" s="5" t="str">
        <f>IFERROR(IF(Portafolio_Proyectos!$AP985="","",Portafolio_Proyectos!$A985),"")</f>
        <v/>
      </c>
      <c r="H2954" s="5" t="str">
        <f>IFERROR(IF(Portafolio_Proyectos!$AP985="","",Portafolio_Proyectos!$E985),"")</f>
        <v/>
      </c>
    </row>
    <row r="2955" spans="1:8" x14ac:dyDescent="0.35">
      <c r="A2955" s="5" t="str">
        <f>IFERROR(IF(Portafolio_Proyectos!$AQ985="","","CAP-"&amp;ROW()-1),"")</f>
        <v/>
      </c>
      <c r="B2955" s="5" t="str">
        <f>IFERROR(IF(Portafolio_Proyectos!$AQ985="","",Portafolio_Proyectos!$AQ985),"")</f>
        <v/>
      </c>
      <c r="C2955" s="5" t="str">
        <f>IFERROR(IF(Portafolio_Proyectos!$AQ985="","","Consolidada"),"")</f>
        <v/>
      </c>
      <c r="D2955" s="5" t="str">
        <f>IFERROR(IF(Portafolio_Proyectos!$AQ985="","",Portafolio_Proyectos!$C985),"")</f>
        <v/>
      </c>
      <c r="E2955" s="5" t="str">
        <f>IFERROR(IF(Portafolio_Proyectos!$AQ985="","",Portafolio_Proyectos!$B985),"")</f>
        <v/>
      </c>
      <c r="F2955" s="5" t="str">
        <f>IFERROR(IF(Portafolio_Proyectos!$AQ985="","",Portafolio_Proyectos!$D985),"")</f>
        <v/>
      </c>
      <c r="G2955" s="5" t="str">
        <f>IFERROR(IF(Portafolio_Proyectos!$AQ985="","",Portafolio_Proyectos!$A985),"")</f>
        <v/>
      </c>
      <c r="H2955" s="5" t="str">
        <f>IFERROR(IF(Portafolio_Proyectos!$AQ985="","",Portafolio_Proyectos!$E985),"")</f>
        <v/>
      </c>
    </row>
    <row r="2956" spans="1:8" x14ac:dyDescent="0.35">
      <c r="A2956" s="5" t="str">
        <f>IFERROR(IF(Portafolio_Proyectos!$AR985="","","CAP-"&amp;ROW()-1),"")</f>
        <v/>
      </c>
      <c r="B2956" s="5" t="str">
        <f>IFERROR(IF(Portafolio_Proyectos!$AR985="","",Portafolio_Proyectos!$AR985),"")</f>
        <v/>
      </c>
      <c r="C2956" s="5" t="str">
        <f>IFERROR(IF(Portafolio_Proyectos!$AR985="","","Distintiva"),"")</f>
        <v/>
      </c>
      <c r="D2956" s="5" t="str">
        <f>IFERROR(IF(Portafolio_Proyectos!$AR985="","",Portafolio_Proyectos!$C985),"")</f>
        <v/>
      </c>
      <c r="E2956" s="5" t="str">
        <f>IFERROR(IF(Portafolio_Proyectos!$AR985="","",Portafolio_Proyectos!$B985),"")</f>
        <v/>
      </c>
      <c r="F2956" s="5" t="str">
        <f>IFERROR(IF(Portafolio_Proyectos!$AR985="","",Portafolio_Proyectos!$D985),"")</f>
        <v/>
      </c>
      <c r="G2956" s="5" t="str">
        <f>IFERROR(IF(Portafolio_Proyectos!$AR985="","",Portafolio_Proyectos!$A985),"")</f>
        <v/>
      </c>
      <c r="H2956" s="5" t="str">
        <f>IFERROR(IF(Portafolio_Proyectos!$AR985="","",Portafolio_Proyectos!$E985),"")</f>
        <v/>
      </c>
    </row>
    <row r="2957" spans="1:8" x14ac:dyDescent="0.35">
      <c r="A2957" s="5" t="str">
        <f>IFERROR(IF(Portafolio_Proyectos!$AP986="","","CAP-"&amp;ROW()-1),"")</f>
        <v/>
      </c>
      <c r="B2957" s="5" t="str">
        <f>IFERROR(IF(Portafolio_Proyectos!$AP986="","",Portafolio_Proyectos!$AP986),"")</f>
        <v/>
      </c>
      <c r="C2957" s="5" t="str">
        <f>IFERROR(IF(Portafolio_Proyectos!$AP986="","","Emergente"),"")</f>
        <v/>
      </c>
      <c r="D2957" s="5" t="str">
        <f>IFERROR(IF(Portafolio_Proyectos!$AP986="","",Portafolio_Proyectos!$C986),"")</f>
        <v/>
      </c>
      <c r="E2957" s="5" t="str">
        <f>IFERROR(IF(Portafolio_Proyectos!$AP986="","",Portafolio_Proyectos!$B986),"")</f>
        <v/>
      </c>
      <c r="F2957" s="5" t="str">
        <f>IFERROR(IF(Portafolio_Proyectos!$AP986="","",Portafolio_Proyectos!$D986),"")</f>
        <v/>
      </c>
      <c r="G2957" s="5" t="str">
        <f>IFERROR(IF(Portafolio_Proyectos!$AP986="","",Portafolio_Proyectos!$A986),"")</f>
        <v/>
      </c>
      <c r="H2957" s="5" t="str">
        <f>IFERROR(IF(Portafolio_Proyectos!$AP986="","",Portafolio_Proyectos!$E986),"")</f>
        <v/>
      </c>
    </row>
    <row r="2958" spans="1:8" x14ac:dyDescent="0.35">
      <c r="A2958" s="5" t="str">
        <f>IFERROR(IF(Portafolio_Proyectos!$AQ986="","","CAP-"&amp;ROW()-1),"")</f>
        <v/>
      </c>
      <c r="B2958" s="5" t="str">
        <f>IFERROR(IF(Portafolio_Proyectos!$AQ986="","",Portafolio_Proyectos!$AQ986),"")</f>
        <v/>
      </c>
      <c r="C2958" s="5" t="str">
        <f>IFERROR(IF(Portafolio_Proyectos!$AQ986="","","Consolidada"),"")</f>
        <v/>
      </c>
      <c r="D2958" s="5" t="str">
        <f>IFERROR(IF(Portafolio_Proyectos!$AQ986="","",Portafolio_Proyectos!$C986),"")</f>
        <v/>
      </c>
      <c r="E2958" s="5" t="str">
        <f>IFERROR(IF(Portafolio_Proyectos!$AQ986="","",Portafolio_Proyectos!$B986),"")</f>
        <v/>
      </c>
      <c r="F2958" s="5" t="str">
        <f>IFERROR(IF(Portafolio_Proyectos!$AQ986="","",Portafolio_Proyectos!$D986),"")</f>
        <v/>
      </c>
      <c r="G2958" s="5" t="str">
        <f>IFERROR(IF(Portafolio_Proyectos!$AQ986="","",Portafolio_Proyectos!$A986),"")</f>
        <v/>
      </c>
      <c r="H2958" s="5" t="str">
        <f>IFERROR(IF(Portafolio_Proyectos!$AQ986="","",Portafolio_Proyectos!$E986),"")</f>
        <v/>
      </c>
    </row>
    <row r="2959" spans="1:8" x14ac:dyDescent="0.35">
      <c r="A2959" s="5" t="str">
        <f>IFERROR(IF(Portafolio_Proyectos!$AR986="","","CAP-"&amp;ROW()-1),"")</f>
        <v/>
      </c>
      <c r="B2959" s="5" t="str">
        <f>IFERROR(IF(Portafolio_Proyectos!$AR986="","",Portafolio_Proyectos!$AR986),"")</f>
        <v/>
      </c>
      <c r="C2959" s="5" t="str">
        <f>IFERROR(IF(Portafolio_Proyectos!$AR986="","","Distintiva"),"")</f>
        <v/>
      </c>
      <c r="D2959" s="5" t="str">
        <f>IFERROR(IF(Portafolio_Proyectos!$AR986="","",Portafolio_Proyectos!$C986),"")</f>
        <v/>
      </c>
      <c r="E2959" s="5" t="str">
        <f>IFERROR(IF(Portafolio_Proyectos!$AR986="","",Portafolio_Proyectos!$B986),"")</f>
        <v/>
      </c>
      <c r="F2959" s="5" t="str">
        <f>IFERROR(IF(Portafolio_Proyectos!$AR986="","",Portafolio_Proyectos!$D986),"")</f>
        <v/>
      </c>
      <c r="G2959" s="5" t="str">
        <f>IFERROR(IF(Portafolio_Proyectos!$AR986="","",Portafolio_Proyectos!$A986),"")</f>
        <v/>
      </c>
      <c r="H2959" s="5" t="str">
        <f>IFERROR(IF(Portafolio_Proyectos!$AR986="","",Portafolio_Proyectos!$E986),"")</f>
        <v/>
      </c>
    </row>
    <row r="2960" spans="1:8" x14ac:dyDescent="0.35">
      <c r="A2960" s="5" t="str">
        <f>IFERROR(IF(Portafolio_Proyectos!$AP987="","","CAP-"&amp;ROW()-1),"")</f>
        <v/>
      </c>
      <c r="B2960" s="5" t="str">
        <f>IFERROR(IF(Portafolio_Proyectos!$AP987="","",Portafolio_Proyectos!$AP987),"")</f>
        <v/>
      </c>
      <c r="C2960" s="5" t="str">
        <f>IFERROR(IF(Portafolio_Proyectos!$AP987="","","Emergente"),"")</f>
        <v/>
      </c>
      <c r="D2960" s="5" t="str">
        <f>IFERROR(IF(Portafolio_Proyectos!$AP987="","",Portafolio_Proyectos!$C987),"")</f>
        <v/>
      </c>
      <c r="E2960" s="5" t="str">
        <f>IFERROR(IF(Portafolio_Proyectos!$AP987="","",Portafolio_Proyectos!$B987),"")</f>
        <v/>
      </c>
      <c r="F2960" s="5" t="str">
        <f>IFERROR(IF(Portafolio_Proyectos!$AP987="","",Portafolio_Proyectos!$D987),"")</f>
        <v/>
      </c>
      <c r="G2960" s="5" t="str">
        <f>IFERROR(IF(Portafolio_Proyectos!$AP987="","",Portafolio_Proyectos!$A987),"")</f>
        <v/>
      </c>
      <c r="H2960" s="5" t="str">
        <f>IFERROR(IF(Portafolio_Proyectos!$AP987="","",Portafolio_Proyectos!$E987),"")</f>
        <v/>
      </c>
    </row>
    <row r="2961" spans="1:8" x14ac:dyDescent="0.35">
      <c r="A2961" s="5" t="str">
        <f>IFERROR(IF(Portafolio_Proyectos!$AQ987="","","CAP-"&amp;ROW()-1),"")</f>
        <v/>
      </c>
      <c r="B2961" s="5" t="str">
        <f>IFERROR(IF(Portafolio_Proyectos!$AQ987="","",Portafolio_Proyectos!$AQ987),"")</f>
        <v/>
      </c>
      <c r="C2961" s="5" t="str">
        <f>IFERROR(IF(Portafolio_Proyectos!$AQ987="","","Consolidada"),"")</f>
        <v/>
      </c>
      <c r="D2961" s="5" t="str">
        <f>IFERROR(IF(Portafolio_Proyectos!$AQ987="","",Portafolio_Proyectos!$C987),"")</f>
        <v/>
      </c>
      <c r="E2961" s="5" t="str">
        <f>IFERROR(IF(Portafolio_Proyectos!$AQ987="","",Portafolio_Proyectos!$B987),"")</f>
        <v/>
      </c>
      <c r="F2961" s="5" t="str">
        <f>IFERROR(IF(Portafolio_Proyectos!$AQ987="","",Portafolio_Proyectos!$D987),"")</f>
        <v/>
      </c>
      <c r="G2961" s="5" t="str">
        <f>IFERROR(IF(Portafolio_Proyectos!$AQ987="","",Portafolio_Proyectos!$A987),"")</f>
        <v/>
      </c>
      <c r="H2961" s="5" t="str">
        <f>IFERROR(IF(Portafolio_Proyectos!$AQ987="","",Portafolio_Proyectos!$E987),"")</f>
        <v/>
      </c>
    </row>
    <row r="2962" spans="1:8" x14ac:dyDescent="0.35">
      <c r="A2962" s="5" t="str">
        <f>IFERROR(IF(Portafolio_Proyectos!$AR987="","","CAP-"&amp;ROW()-1),"")</f>
        <v/>
      </c>
      <c r="B2962" s="5" t="str">
        <f>IFERROR(IF(Portafolio_Proyectos!$AR987="","",Portafolio_Proyectos!$AR987),"")</f>
        <v/>
      </c>
      <c r="C2962" s="5" t="str">
        <f>IFERROR(IF(Portafolio_Proyectos!$AR987="","","Distintiva"),"")</f>
        <v/>
      </c>
      <c r="D2962" s="5" t="str">
        <f>IFERROR(IF(Portafolio_Proyectos!$AR987="","",Portafolio_Proyectos!$C987),"")</f>
        <v/>
      </c>
      <c r="E2962" s="5" t="str">
        <f>IFERROR(IF(Portafolio_Proyectos!$AR987="","",Portafolio_Proyectos!$B987),"")</f>
        <v/>
      </c>
      <c r="F2962" s="5" t="str">
        <f>IFERROR(IF(Portafolio_Proyectos!$AR987="","",Portafolio_Proyectos!$D987),"")</f>
        <v/>
      </c>
      <c r="G2962" s="5" t="str">
        <f>IFERROR(IF(Portafolio_Proyectos!$AR987="","",Portafolio_Proyectos!$A987),"")</f>
        <v/>
      </c>
      <c r="H2962" s="5" t="str">
        <f>IFERROR(IF(Portafolio_Proyectos!$AR987="","",Portafolio_Proyectos!$E987),"")</f>
        <v/>
      </c>
    </row>
    <row r="2963" spans="1:8" x14ac:dyDescent="0.35">
      <c r="A2963" s="5" t="str">
        <f>IFERROR(IF(Portafolio_Proyectos!$AP988="","","CAP-"&amp;ROW()-1),"")</f>
        <v/>
      </c>
      <c r="B2963" s="5" t="str">
        <f>IFERROR(IF(Portafolio_Proyectos!$AP988="","",Portafolio_Proyectos!$AP988),"")</f>
        <v/>
      </c>
      <c r="C2963" s="5" t="str">
        <f>IFERROR(IF(Portafolio_Proyectos!$AP988="","","Emergente"),"")</f>
        <v/>
      </c>
      <c r="D2963" s="5" t="str">
        <f>IFERROR(IF(Portafolio_Proyectos!$AP988="","",Portafolio_Proyectos!$C988),"")</f>
        <v/>
      </c>
      <c r="E2963" s="5" t="str">
        <f>IFERROR(IF(Portafolio_Proyectos!$AP988="","",Portafolio_Proyectos!$B988),"")</f>
        <v/>
      </c>
      <c r="F2963" s="5" t="str">
        <f>IFERROR(IF(Portafolio_Proyectos!$AP988="","",Portafolio_Proyectos!$D988),"")</f>
        <v/>
      </c>
      <c r="G2963" s="5" t="str">
        <f>IFERROR(IF(Portafolio_Proyectos!$AP988="","",Portafolio_Proyectos!$A988),"")</f>
        <v/>
      </c>
      <c r="H2963" s="5" t="str">
        <f>IFERROR(IF(Portafolio_Proyectos!$AP988="","",Portafolio_Proyectos!$E988),"")</f>
        <v/>
      </c>
    </row>
    <row r="2964" spans="1:8" x14ac:dyDescent="0.35">
      <c r="A2964" s="5" t="str">
        <f>IFERROR(IF(Portafolio_Proyectos!$AQ988="","","CAP-"&amp;ROW()-1),"")</f>
        <v/>
      </c>
      <c r="B2964" s="5" t="str">
        <f>IFERROR(IF(Portafolio_Proyectos!$AQ988="","",Portafolio_Proyectos!$AQ988),"")</f>
        <v/>
      </c>
      <c r="C2964" s="5" t="str">
        <f>IFERROR(IF(Portafolio_Proyectos!$AQ988="","","Consolidada"),"")</f>
        <v/>
      </c>
      <c r="D2964" s="5" t="str">
        <f>IFERROR(IF(Portafolio_Proyectos!$AQ988="","",Portafolio_Proyectos!$C988),"")</f>
        <v/>
      </c>
      <c r="E2964" s="5" t="str">
        <f>IFERROR(IF(Portafolio_Proyectos!$AQ988="","",Portafolio_Proyectos!$B988),"")</f>
        <v/>
      </c>
      <c r="F2964" s="5" t="str">
        <f>IFERROR(IF(Portafolio_Proyectos!$AQ988="","",Portafolio_Proyectos!$D988),"")</f>
        <v/>
      </c>
      <c r="G2964" s="5" t="str">
        <f>IFERROR(IF(Portafolio_Proyectos!$AQ988="","",Portafolio_Proyectos!$A988),"")</f>
        <v/>
      </c>
      <c r="H2964" s="5" t="str">
        <f>IFERROR(IF(Portafolio_Proyectos!$AQ988="","",Portafolio_Proyectos!$E988),"")</f>
        <v/>
      </c>
    </row>
    <row r="2965" spans="1:8" x14ac:dyDescent="0.35">
      <c r="A2965" s="5" t="str">
        <f>IFERROR(IF(Portafolio_Proyectos!$AR988="","","CAP-"&amp;ROW()-1),"")</f>
        <v/>
      </c>
      <c r="B2965" s="5" t="str">
        <f>IFERROR(IF(Portafolio_Proyectos!$AR988="","",Portafolio_Proyectos!$AR988),"")</f>
        <v/>
      </c>
      <c r="C2965" s="5" t="str">
        <f>IFERROR(IF(Portafolio_Proyectos!$AR988="","","Distintiva"),"")</f>
        <v/>
      </c>
      <c r="D2965" s="5" t="str">
        <f>IFERROR(IF(Portafolio_Proyectos!$AR988="","",Portafolio_Proyectos!$C988),"")</f>
        <v/>
      </c>
      <c r="E2965" s="5" t="str">
        <f>IFERROR(IF(Portafolio_Proyectos!$AR988="","",Portafolio_Proyectos!$B988),"")</f>
        <v/>
      </c>
      <c r="F2965" s="5" t="str">
        <f>IFERROR(IF(Portafolio_Proyectos!$AR988="","",Portafolio_Proyectos!$D988),"")</f>
        <v/>
      </c>
      <c r="G2965" s="5" t="str">
        <f>IFERROR(IF(Portafolio_Proyectos!$AR988="","",Portafolio_Proyectos!$A988),"")</f>
        <v/>
      </c>
      <c r="H2965" s="5" t="str">
        <f>IFERROR(IF(Portafolio_Proyectos!$AR988="","",Portafolio_Proyectos!$E988),"")</f>
        <v/>
      </c>
    </row>
    <row r="2966" spans="1:8" x14ac:dyDescent="0.35">
      <c r="A2966" s="5" t="str">
        <f>IFERROR(IF(Portafolio_Proyectos!$AP989="","","CAP-"&amp;ROW()-1),"")</f>
        <v/>
      </c>
      <c r="B2966" s="5" t="str">
        <f>IFERROR(IF(Portafolio_Proyectos!$AP989="","",Portafolio_Proyectos!$AP989),"")</f>
        <v/>
      </c>
      <c r="C2966" s="5" t="str">
        <f>IFERROR(IF(Portafolio_Proyectos!$AP989="","","Emergente"),"")</f>
        <v/>
      </c>
      <c r="D2966" s="5" t="str">
        <f>IFERROR(IF(Portafolio_Proyectos!$AP989="","",Portafolio_Proyectos!$C989),"")</f>
        <v/>
      </c>
      <c r="E2966" s="5" t="str">
        <f>IFERROR(IF(Portafolio_Proyectos!$AP989="","",Portafolio_Proyectos!$B989),"")</f>
        <v/>
      </c>
      <c r="F2966" s="5" t="str">
        <f>IFERROR(IF(Portafolio_Proyectos!$AP989="","",Portafolio_Proyectos!$D989),"")</f>
        <v/>
      </c>
      <c r="G2966" s="5" t="str">
        <f>IFERROR(IF(Portafolio_Proyectos!$AP989="","",Portafolio_Proyectos!$A989),"")</f>
        <v/>
      </c>
      <c r="H2966" s="5" t="str">
        <f>IFERROR(IF(Portafolio_Proyectos!$AP989="","",Portafolio_Proyectos!$E989),"")</f>
        <v/>
      </c>
    </row>
    <row r="2967" spans="1:8" x14ac:dyDescent="0.35">
      <c r="A2967" s="5" t="str">
        <f>IFERROR(IF(Portafolio_Proyectos!$AQ989="","","CAP-"&amp;ROW()-1),"")</f>
        <v/>
      </c>
      <c r="B2967" s="5" t="str">
        <f>IFERROR(IF(Portafolio_Proyectos!$AQ989="","",Portafolio_Proyectos!$AQ989),"")</f>
        <v/>
      </c>
      <c r="C2967" s="5" t="str">
        <f>IFERROR(IF(Portafolio_Proyectos!$AQ989="","","Consolidada"),"")</f>
        <v/>
      </c>
      <c r="D2967" s="5" t="str">
        <f>IFERROR(IF(Portafolio_Proyectos!$AQ989="","",Portafolio_Proyectos!$C989),"")</f>
        <v/>
      </c>
      <c r="E2967" s="5" t="str">
        <f>IFERROR(IF(Portafolio_Proyectos!$AQ989="","",Portafolio_Proyectos!$B989),"")</f>
        <v/>
      </c>
      <c r="F2967" s="5" t="str">
        <f>IFERROR(IF(Portafolio_Proyectos!$AQ989="","",Portafolio_Proyectos!$D989),"")</f>
        <v/>
      </c>
      <c r="G2967" s="5" t="str">
        <f>IFERROR(IF(Portafolio_Proyectos!$AQ989="","",Portafolio_Proyectos!$A989),"")</f>
        <v/>
      </c>
      <c r="H2967" s="5" t="str">
        <f>IFERROR(IF(Portafolio_Proyectos!$AQ989="","",Portafolio_Proyectos!$E989),"")</f>
        <v/>
      </c>
    </row>
    <row r="2968" spans="1:8" x14ac:dyDescent="0.35">
      <c r="A2968" s="5" t="str">
        <f>IFERROR(IF(Portafolio_Proyectos!$AR989="","","CAP-"&amp;ROW()-1),"")</f>
        <v/>
      </c>
      <c r="B2968" s="5" t="str">
        <f>IFERROR(IF(Portafolio_Proyectos!$AR989="","",Portafolio_Proyectos!$AR989),"")</f>
        <v/>
      </c>
      <c r="C2968" s="5" t="str">
        <f>IFERROR(IF(Portafolio_Proyectos!$AR989="","","Distintiva"),"")</f>
        <v/>
      </c>
      <c r="D2968" s="5" t="str">
        <f>IFERROR(IF(Portafolio_Proyectos!$AR989="","",Portafolio_Proyectos!$C989),"")</f>
        <v/>
      </c>
      <c r="E2968" s="5" t="str">
        <f>IFERROR(IF(Portafolio_Proyectos!$AR989="","",Portafolio_Proyectos!$B989),"")</f>
        <v/>
      </c>
      <c r="F2968" s="5" t="str">
        <f>IFERROR(IF(Portafolio_Proyectos!$AR989="","",Portafolio_Proyectos!$D989),"")</f>
        <v/>
      </c>
      <c r="G2968" s="5" t="str">
        <f>IFERROR(IF(Portafolio_Proyectos!$AR989="","",Portafolio_Proyectos!$A989),"")</f>
        <v/>
      </c>
      <c r="H2968" s="5" t="str">
        <f>IFERROR(IF(Portafolio_Proyectos!$AR989="","",Portafolio_Proyectos!$E989),"")</f>
        <v/>
      </c>
    </row>
    <row r="2969" spans="1:8" x14ac:dyDescent="0.35">
      <c r="A2969" s="5" t="str">
        <f>IFERROR(IF(Portafolio_Proyectos!$AP990="","","CAP-"&amp;ROW()-1),"")</f>
        <v/>
      </c>
      <c r="B2969" s="5" t="str">
        <f>IFERROR(IF(Portafolio_Proyectos!$AP990="","",Portafolio_Proyectos!$AP990),"")</f>
        <v/>
      </c>
      <c r="C2969" s="5" t="str">
        <f>IFERROR(IF(Portafolio_Proyectos!$AP990="","","Emergente"),"")</f>
        <v/>
      </c>
      <c r="D2969" s="5" t="str">
        <f>IFERROR(IF(Portafolio_Proyectos!$AP990="","",Portafolio_Proyectos!$C990),"")</f>
        <v/>
      </c>
      <c r="E2969" s="5" t="str">
        <f>IFERROR(IF(Portafolio_Proyectos!$AP990="","",Portafolio_Proyectos!$B990),"")</f>
        <v/>
      </c>
      <c r="F2969" s="5" t="str">
        <f>IFERROR(IF(Portafolio_Proyectos!$AP990="","",Portafolio_Proyectos!$D990),"")</f>
        <v/>
      </c>
      <c r="G2969" s="5" t="str">
        <f>IFERROR(IF(Portafolio_Proyectos!$AP990="","",Portafolio_Proyectos!$A990),"")</f>
        <v/>
      </c>
      <c r="H2969" s="5" t="str">
        <f>IFERROR(IF(Portafolio_Proyectos!$AP990="","",Portafolio_Proyectos!$E990),"")</f>
        <v/>
      </c>
    </row>
    <row r="2970" spans="1:8" x14ac:dyDescent="0.35">
      <c r="A2970" s="5" t="str">
        <f>IFERROR(IF(Portafolio_Proyectos!$AQ990="","","CAP-"&amp;ROW()-1),"")</f>
        <v/>
      </c>
      <c r="B2970" s="5" t="str">
        <f>IFERROR(IF(Portafolio_Proyectos!$AQ990="","",Portafolio_Proyectos!$AQ990),"")</f>
        <v/>
      </c>
      <c r="C2970" s="5" t="str">
        <f>IFERROR(IF(Portafolio_Proyectos!$AQ990="","","Consolidada"),"")</f>
        <v/>
      </c>
      <c r="D2970" s="5" t="str">
        <f>IFERROR(IF(Portafolio_Proyectos!$AQ990="","",Portafolio_Proyectos!$C990),"")</f>
        <v/>
      </c>
      <c r="E2970" s="5" t="str">
        <f>IFERROR(IF(Portafolio_Proyectos!$AQ990="","",Portafolio_Proyectos!$B990),"")</f>
        <v/>
      </c>
      <c r="F2970" s="5" t="str">
        <f>IFERROR(IF(Portafolio_Proyectos!$AQ990="","",Portafolio_Proyectos!$D990),"")</f>
        <v/>
      </c>
      <c r="G2970" s="5" t="str">
        <f>IFERROR(IF(Portafolio_Proyectos!$AQ990="","",Portafolio_Proyectos!$A990),"")</f>
        <v/>
      </c>
      <c r="H2970" s="5" t="str">
        <f>IFERROR(IF(Portafolio_Proyectos!$AQ990="","",Portafolio_Proyectos!$E990),"")</f>
        <v/>
      </c>
    </row>
    <row r="2971" spans="1:8" x14ac:dyDescent="0.35">
      <c r="A2971" s="5" t="str">
        <f>IFERROR(IF(Portafolio_Proyectos!$AR990="","","CAP-"&amp;ROW()-1),"")</f>
        <v/>
      </c>
      <c r="B2971" s="5" t="str">
        <f>IFERROR(IF(Portafolio_Proyectos!$AR990="","",Portafolio_Proyectos!$AR990),"")</f>
        <v/>
      </c>
      <c r="C2971" s="5" t="str">
        <f>IFERROR(IF(Portafolio_Proyectos!$AR990="","","Distintiva"),"")</f>
        <v/>
      </c>
      <c r="D2971" s="5" t="str">
        <f>IFERROR(IF(Portafolio_Proyectos!$AR990="","",Portafolio_Proyectos!$C990),"")</f>
        <v/>
      </c>
      <c r="E2971" s="5" t="str">
        <f>IFERROR(IF(Portafolio_Proyectos!$AR990="","",Portafolio_Proyectos!$B990),"")</f>
        <v/>
      </c>
      <c r="F2971" s="5" t="str">
        <f>IFERROR(IF(Portafolio_Proyectos!$AR990="","",Portafolio_Proyectos!$D990),"")</f>
        <v/>
      </c>
      <c r="G2971" s="5" t="str">
        <f>IFERROR(IF(Portafolio_Proyectos!$AR990="","",Portafolio_Proyectos!$A990),"")</f>
        <v/>
      </c>
      <c r="H2971" s="5" t="str">
        <f>IFERROR(IF(Portafolio_Proyectos!$AR990="","",Portafolio_Proyectos!$E990),"")</f>
        <v/>
      </c>
    </row>
    <row r="2972" spans="1:8" x14ac:dyDescent="0.35">
      <c r="A2972" s="5" t="str">
        <f>IFERROR(IF(Portafolio_Proyectos!$AP991="","","CAP-"&amp;ROW()-1),"")</f>
        <v/>
      </c>
      <c r="B2972" s="5" t="str">
        <f>IFERROR(IF(Portafolio_Proyectos!$AP991="","",Portafolio_Proyectos!$AP991),"")</f>
        <v/>
      </c>
      <c r="C2972" s="5" t="str">
        <f>IFERROR(IF(Portafolio_Proyectos!$AP991="","","Emergente"),"")</f>
        <v/>
      </c>
      <c r="D2972" s="5" t="str">
        <f>IFERROR(IF(Portafolio_Proyectos!$AP991="","",Portafolio_Proyectos!$C991),"")</f>
        <v/>
      </c>
      <c r="E2972" s="5" t="str">
        <f>IFERROR(IF(Portafolio_Proyectos!$AP991="","",Portafolio_Proyectos!$B991),"")</f>
        <v/>
      </c>
      <c r="F2972" s="5" t="str">
        <f>IFERROR(IF(Portafolio_Proyectos!$AP991="","",Portafolio_Proyectos!$D991),"")</f>
        <v/>
      </c>
      <c r="G2972" s="5" t="str">
        <f>IFERROR(IF(Portafolio_Proyectos!$AP991="","",Portafolio_Proyectos!$A991),"")</f>
        <v/>
      </c>
      <c r="H2972" s="5" t="str">
        <f>IFERROR(IF(Portafolio_Proyectos!$AP991="","",Portafolio_Proyectos!$E991),"")</f>
        <v/>
      </c>
    </row>
    <row r="2973" spans="1:8" x14ac:dyDescent="0.35">
      <c r="A2973" s="5" t="str">
        <f>IFERROR(IF(Portafolio_Proyectos!$AQ991="","","CAP-"&amp;ROW()-1),"")</f>
        <v/>
      </c>
      <c r="B2973" s="5" t="str">
        <f>IFERROR(IF(Portafolio_Proyectos!$AQ991="","",Portafolio_Proyectos!$AQ991),"")</f>
        <v/>
      </c>
      <c r="C2973" s="5" t="str">
        <f>IFERROR(IF(Portafolio_Proyectos!$AQ991="","","Consolidada"),"")</f>
        <v/>
      </c>
      <c r="D2973" s="5" t="str">
        <f>IFERROR(IF(Portafolio_Proyectos!$AQ991="","",Portafolio_Proyectos!$C991),"")</f>
        <v/>
      </c>
      <c r="E2973" s="5" t="str">
        <f>IFERROR(IF(Portafolio_Proyectos!$AQ991="","",Portafolio_Proyectos!$B991),"")</f>
        <v/>
      </c>
      <c r="F2973" s="5" t="str">
        <f>IFERROR(IF(Portafolio_Proyectos!$AQ991="","",Portafolio_Proyectos!$D991),"")</f>
        <v/>
      </c>
      <c r="G2973" s="5" t="str">
        <f>IFERROR(IF(Portafolio_Proyectos!$AQ991="","",Portafolio_Proyectos!$A991),"")</f>
        <v/>
      </c>
      <c r="H2973" s="5" t="str">
        <f>IFERROR(IF(Portafolio_Proyectos!$AQ991="","",Portafolio_Proyectos!$E991),"")</f>
        <v/>
      </c>
    </row>
    <row r="2974" spans="1:8" x14ac:dyDescent="0.35">
      <c r="A2974" s="5" t="str">
        <f>IFERROR(IF(Portafolio_Proyectos!$AR991="","","CAP-"&amp;ROW()-1),"")</f>
        <v/>
      </c>
      <c r="B2974" s="5" t="str">
        <f>IFERROR(IF(Portafolio_Proyectos!$AR991="","",Portafolio_Proyectos!$AR991),"")</f>
        <v/>
      </c>
      <c r="C2974" s="5" t="str">
        <f>IFERROR(IF(Portafolio_Proyectos!$AR991="","","Distintiva"),"")</f>
        <v/>
      </c>
      <c r="D2974" s="5" t="str">
        <f>IFERROR(IF(Portafolio_Proyectos!$AR991="","",Portafolio_Proyectos!$C991),"")</f>
        <v/>
      </c>
      <c r="E2974" s="5" t="str">
        <f>IFERROR(IF(Portafolio_Proyectos!$AR991="","",Portafolio_Proyectos!$B991),"")</f>
        <v/>
      </c>
      <c r="F2974" s="5" t="str">
        <f>IFERROR(IF(Portafolio_Proyectos!$AR991="","",Portafolio_Proyectos!$D991),"")</f>
        <v/>
      </c>
      <c r="G2974" s="5" t="str">
        <f>IFERROR(IF(Portafolio_Proyectos!$AR991="","",Portafolio_Proyectos!$A991),"")</f>
        <v/>
      </c>
      <c r="H2974" s="5" t="str">
        <f>IFERROR(IF(Portafolio_Proyectos!$AR991="","",Portafolio_Proyectos!$E991),"")</f>
        <v/>
      </c>
    </row>
    <row r="2975" spans="1:8" x14ac:dyDescent="0.35">
      <c r="A2975" s="5" t="str">
        <f>IFERROR(IF(Portafolio_Proyectos!$AP992="","","CAP-"&amp;ROW()-1),"")</f>
        <v/>
      </c>
      <c r="B2975" s="5" t="str">
        <f>IFERROR(IF(Portafolio_Proyectos!$AP992="","",Portafolio_Proyectos!$AP992),"")</f>
        <v/>
      </c>
      <c r="C2975" s="5" t="str">
        <f>IFERROR(IF(Portafolio_Proyectos!$AP992="","","Emergente"),"")</f>
        <v/>
      </c>
      <c r="D2975" s="5" t="str">
        <f>IFERROR(IF(Portafolio_Proyectos!$AP992="","",Portafolio_Proyectos!$C992),"")</f>
        <v/>
      </c>
      <c r="E2975" s="5" t="str">
        <f>IFERROR(IF(Portafolio_Proyectos!$AP992="","",Portafolio_Proyectos!$B992),"")</f>
        <v/>
      </c>
      <c r="F2975" s="5" t="str">
        <f>IFERROR(IF(Portafolio_Proyectos!$AP992="","",Portafolio_Proyectos!$D992),"")</f>
        <v/>
      </c>
      <c r="G2975" s="5" t="str">
        <f>IFERROR(IF(Portafolio_Proyectos!$AP992="","",Portafolio_Proyectos!$A992),"")</f>
        <v/>
      </c>
      <c r="H2975" s="5" t="str">
        <f>IFERROR(IF(Portafolio_Proyectos!$AP992="","",Portafolio_Proyectos!$E992),"")</f>
        <v/>
      </c>
    </row>
    <row r="2976" spans="1:8" x14ac:dyDescent="0.35">
      <c r="A2976" s="5" t="str">
        <f>IFERROR(IF(Portafolio_Proyectos!$AQ992="","","CAP-"&amp;ROW()-1),"")</f>
        <v/>
      </c>
      <c r="B2976" s="5" t="str">
        <f>IFERROR(IF(Portafolio_Proyectos!$AQ992="","",Portafolio_Proyectos!$AQ992),"")</f>
        <v/>
      </c>
      <c r="C2976" s="5" t="str">
        <f>IFERROR(IF(Portafolio_Proyectos!$AQ992="","","Consolidada"),"")</f>
        <v/>
      </c>
      <c r="D2976" s="5" t="str">
        <f>IFERROR(IF(Portafolio_Proyectos!$AQ992="","",Portafolio_Proyectos!$C992),"")</f>
        <v/>
      </c>
      <c r="E2976" s="5" t="str">
        <f>IFERROR(IF(Portafolio_Proyectos!$AQ992="","",Portafolio_Proyectos!$B992),"")</f>
        <v/>
      </c>
      <c r="F2976" s="5" t="str">
        <f>IFERROR(IF(Portafolio_Proyectos!$AQ992="","",Portafolio_Proyectos!$D992),"")</f>
        <v/>
      </c>
      <c r="G2976" s="5" t="str">
        <f>IFERROR(IF(Portafolio_Proyectos!$AQ992="","",Portafolio_Proyectos!$A992),"")</f>
        <v/>
      </c>
      <c r="H2976" s="5" t="str">
        <f>IFERROR(IF(Portafolio_Proyectos!$AQ992="","",Portafolio_Proyectos!$E992),"")</f>
        <v/>
      </c>
    </row>
    <row r="2977" spans="1:8" x14ac:dyDescent="0.35">
      <c r="A2977" s="5" t="str">
        <f>IFERROR(IF(Portafolio_Proyectos!$AR992="","","CAP-"&amp;ROW()-1),"")</f>
        <v/>
      </c>
      <c r="B2977" s="5" t="str">
        <f>IFERROR(IF(Portafolio_Proyectos!$AR992="","",Portafolio_Proyectos!$AR992),"")</f>
        <v/>
      </c>
      <c r="C2977" s="5" t="str">
        <f>IFERROR(IF(Portafolio_Proyectos!$AR992="","","Distintiva"),"")</f>
        <v/>
      </c>
      <c r="D2977" s="5" t="str">
        <f>IFERROR(IF(Portafolio_Proyectos!$AR992="","",Portafolio_Proyectos!$C992),"")</f>
        <v/>
      </c>
      <c r="E2977" s="5" t="str">
        <f>IFERROR(IF(Portafolio_Proyectos!$AR992="","",Portafolio_Proyectos!$B992),"")</f>
        <v/>
      </c>
      <c r="F2977" s="5" t="str">
        <f>IFERROR(IF(Portafolio_Proyectos!$AR992="","",Portafolio_Proyectos!$D992),"")</f>
        <v/>
      </c>
      <c r="G2977" s="5" t="str">
        <f>IFERROR(IF(Portafolio_Proyectos!$AR992="","",Portafolio_Proyectos!$A992),"")</f>
        <v/>
      </c>
      <c r="H2977" s="5" t="str">
        <f>IFERROR(IF(Portafolio_Proyectos!$AR992="","",Portafolio_Proyectos!$E992),"")</f>
        <v/>
      </c>
    </row>
    <row r="2978" spans="1:8" x14ac:dyDescent="0.35">
      <c r="A2978" s="5" t="str">
        <f>IFERROR(IF(Portafolio_Proyectos!$AP993="","","CAP-"&amp;ROW()-1),"")</f>
        <v/>
      </c>
      <c r="B2978" s="5" t="str">
        <f>IFERROR(IF(Portafolio_Proyectos!$AP993="","",Portafolio_Proyectos!$AP993),"")</f>
        <v/>
      </c>
      <c r="C2978" s="5" t="str">
        <f>IFERROR(IF(Portafolio_Proyectos!$AP993="","","Emergente"),"")</f>
        <v/>
      </c>
      <c r="D2978" s="5" t="str">
        <f>IFERROR(IF(Portafolio_Proyectos!$AP993="","",Portafolio_Proyectos!$C993),"")</f>
        <v/>
      </c>
      <c r="E2978" s="5" t="str">
        <f>IFERROR(IF(Portafolio_Proyectos!$AP993="","",Portafolio_Proyectos!$B993),"")</f>
        <v/>
      </c>
      <c r="F2978" s="5" t="str">
        <f>IFERROR(IF(Portafolio_Proyectos!$AP993="","",Portafolio_Proyectos!$D993),"")</f>
        <v/>
      </c>
      <c r="G2978" s="5" t="str">
        <f>IFERROR(IF(Portafolio_Proyectos!$AP993="","",Portafolio_Proyectos!$A993),"")</f>
        <v/>
      </c>
      <c r="H2978" s="5" t="str">
        <f>IFERROR(IF(Portafolio_Proyectos!$AP993="","",Portafolio_Proyectos!$E993),"")</f>
        <v/>
      </c>
    </row>
    <row r="2979" spans="1:8" x14ac:dyDescent="0.35">
      <c r="A2979" s="5" t="str">
        <f>IFERROR(IF(Portafolio_Proyectos!$AQ993="","","CAP-"&amp;ROW()-1),"")</f>
        <v/>
      </c>
      <c r="B2979" s="5" t="str">
        <f>IFERROR(IF(Portafolio_Proyectos!$AQ993="","",Portafolio_Proyectos!$AQ993),"")</f>
        <v/>
      </c>
      <c r="C2979" s="5" t="str">
        <f>IFERROR(IF(Portafolio_Proyectos!$AQ993="","","Consolidada"),"")</f>
        <v/>
      </c>
      <c r="D2979" s="5" t="str">
        <f>IFERROR(IF(Portafolio_Proyectos!$AQ993="","",Portafolio_Proyectos!$C993),"")</f>
        <v/>
      </c>
      <c r="E2979" s="5" t="str">
        <f>IFERROR(IF(Portafolio_Proyectos!$AQ993="","",Portafolio_Proyectos!$B993),"")</f>
        <v/>
      </c>
      <c r="F2979" s="5" t="str">
        <f>IFERROR(IF(Portafolio_Proyectos!$AQ993="","",Portafolio_Proyectos!$D993),"")</f>
        <v/>
      </c>
      <c r="G2979" s="5" t="str">
        <f>IFERROR(IF(Portafolio_Proyectos!$AQ993="","",Portafolio_Proyectos!$A993),"")</f>
        <v/>
      </c>
      <c r="H2979" s="5" t="str">
        <f>IFERROR(IF(Portafolio_Proyectos!$AQ993="","",Portafolio_Proyectos!$E993),"")</f>
        <v/>
      </c>
    </row>
    <row r="2980" spans="1:8" x14ac:dyDescent="0.35">
      <c r="A2980" s="5" t="str">
        <f>IFERROR(IF(Portafolio_Proyectos!$AR993="","","CAP-"&amp;ROW()-1),"")</f>
        <v/>
      </c>
      <c r="B2980" s="5" t="str">
        <f>IFERROR(IF(Portafolio_Proyectos!$AR993="","",Portafolio_Proyectos!$AR993),"")</f>
        <v/>
      </c>
      <c r="C2980" s="5" t="str">
        <f>IFERROR(IF(Portafolio_Proyectos!$AR993="","","Distintiva"),"")</f>
        <v/>
      </c>
      <c r="D2980" s="5" t="str">
        <f>IFERROR(IF(Portafolio_Proyectos!$AR993="","",Portafolio_Proyectos!$C993),"")</f>
        <v/>
      </c>
      <c r="E2980" s="5" t="str">
        <f>IFERROR(IF(Portafolio_Proyectos!$AR993="","",Portafolio_Proyectos!$B993),"")</f>
        <v/>
      </c>
      <c r="F2980" s="5" t="str">
        <f>IFERROR(IF(Portafolio_Proyectos!$AR993="","",Portafolio_Proyectos!$D993),"")</f>
        <v/>
      </c>
      <c r="G2980" s="5" t="str">
        <f>IFERROR(IF(Portafolio_Proyectos!$AR993="","",Portafolio_Proyectos!$A993),"")</f>
        <v/>
      </c>
      <c r="H2980" s="5" t="str">
        <f>IFERROR(IF(Portafolio_Proyectos!$AR993="","",Portafolio_Proyectos!$E993),"")</f>
        <v/>
      </c>
    </row>
    <row r="2981" spans="1:8" x14ac:dyDescent="0.35">
      <c r="A2981" s="5" t="str">
        <f>IFERROR(IF(Portafolio_Proyectos!$AP994="","","CAP-"&amp;ROW()-1),"")</f>
        <v/>
      </c>
      <c r="B2981" s="5" t="str">
        <f>IFERROR(IF(Portafolio_Proyectos!$AP994="","",Portafolio_Proyectos!$AP994),"")</f>
        <v/>
      </c>
      <c r="C2981" s="5" t="str">
        <f>IFERROR(IF(Portafolio_Proyectos!$AP994="","","Emergente"),"")</f>
        <v/>
      </c>
      <c r="D2981" s="5" t="str">
        <f>IFERROR(IF(Portafolio_Proyectos!$AP994="","",Portafolio_Proyectos!$C994),"")</f>
        <v/>
      </c>
      <c r="E2981" s="5" t="str">
        <f>IFERROR(IF(Portafolio_Proyectos!$AP994="","",Portafolio_Proyectos!$B994),"")</f>
        <v/>
      </c>
      <c r="F2981" s="5" t="str">
        <f>IFERROR(IF(Portafolio_Proyectos!$AP994="","",Portafolio_Proyectos!$D994),"")</f>
        <v/>
      </c>
      <c r="G2981" s="5" t="str">
        <f>IFERROR(IF(Portafolio_Proyectos!$AP994="","",Portafolio_Proyectos!$A994),"")</f>
        <v/>
      </c>
      <c r="H2981" s="5" t="str">
        <f>IFERROR(IF(Portafolio_Proyectos!$AP994="","",Portafolio_Proyectos!$E994),"")</f>
        <v/>
      </c>
    </row>
    <row r="2982" spans="1:8" x14ac:dyDescent="0.35">
      <c r="A2982" s="5" t="str">
        <f>IFERROR(IF(Portafolio_Proyectos!$AQ994="","","CAP-"&amp;ROW()-1),"")</f>
        <v/>
      </c>
      <c r="B2982" s="5" t="str">
        <f>IFERROR(IF(Portafolio_Proyectos!$AQ994="","",Portafolio_Proyectos!$AQ994),"")</f>
        <v/>
      </c>
      <c r="C2982" s="5" t="str">
        <f>IFERROR(IF(Portafolio_Proyectos!$AQ994="","","Consolidada"),"")</f>
        <v/>
      </c>
      <c r="D2982" s="5" t="str">
        <f>IFERROR(IF(Portafolio_Proyectos!$AQ994="","",Portafolio_Proyectos!$C994),"")</f>
        <v/>
      </c>
      <c r="E2982" s="5" t="str">
        <f>IFERROR(IF(Portafolio_Proyectos!$AQ994="","",Portafolio_Proyectos!$B994),"")</f>
        <v/>
      </c>
      <c r="F2982" s="5" t="str">
        <f>IFERROR(IF(Portafolio_Proyectos!$AQ994="","",Portafolio_Proyectos!$D994),"")</f>
        <v/>
      </c>
      <c r="G2982" s="5" t="str">
        <f>IFERROR(IF(Portafolio_Proyectos!$AQ994="","",Portafolio_Proyectos!$A994),"")</f>
        <v/>
      </c>
      <c r="H2982" s="5" t="str">
        <f>IFERROR(IF(Portafolio_Proyectos!$AQ994="","",Portafolio_Proyectos!$E994),"")</f>
        <v/>
      </c>
    </row>
    <row r="2983" spans="1:8" x14ac:dyDescent="0.35">
      <c r="A2983" s="5" t="str">
        <f>IFERROR(IF(Portafolio_Proyectos!$AR994="","","CAP-"&amp;ROW()-1),"")</f>
        <v/>
      </c>
      <c r="B2983" s="5" t="str">
        <f>IFERROR(IF(Portafolio_Proyectos!$AR994="","",Portafolio_Proyectos!$AR994),"")</f>
        <v/>
      </c>
      <c r="C2983" s="5" t="str">
        <f>IFERROR(IF(Portafolio_Proyectos!$AR994="","","Distintiva"),"")</f>
        <v/>
      </c>
      <c r="D2983" s="5" t="str">
        <f>IFERROR(IF(Portafolio_Proyectos!$AR994="","",Portafolio_Proyectos!$C994),"")</f>
        <v/>
      </c>
      <c r="E2983" s="5" t="str">
        <f>IFERROR(IF(Portafolio_Proyectos!$AR994="","",Portafolio_Proyectos!$B994),"")</f>
        <v/>
      </c>
      <c r="F2983" s="5" t="str">
        <f>IFERROR(IF(Portafolio_Proyectos!$AR994="","",Portafolio_Proyectos!$D994),"")</f>
        <v/>
      </c>
      <c r="G2983" s="5" t="str">
        <f>IFERROR(IF(Portafolio_Proyectos!$AR994="","",Portafolio_Proyectos!$A994),"")</f>
        <v/>
      </c>
      <c r="H2983" s="5" t="str">
        <f>IFERROR(IF(Portafolio_Proyectos!$AR994="","",Portafolio_Proyectos!$E994),"")</f>
        <v/>
      </c>
    </row>
    <row r="2984" spans="1:8" x14ac:dyDescent="0.35">
      <c r="A2984" s="5" t="str">
        <f>IFERROR(IF(Portafolio_Proyectos!$AP995="","","CAP-"&amp;ROW()-1),"")</f>
        <v/>
      </c>
      <c r="B2984" s="5" t="str">
        <f>IFERROR(IF(Portafolio_Proyectos!$AP995="","",Portafolio_Proyectos!$AP995),"")</f>
        <v/>
      </c>
      <c r="C2984" s="5" t="str">
        <f>IFERROR(IF(Portafolio_Proyectos!$AP995="","","Emergente"),"")</f>
        <v/>
      </c>
      <c r="D2984" s="5" t="str">
        <f>IFERROR(IF(Portafolio_Proyectos!$AP995="","",Portafolio_Proyectos!$C995),"")</f>
        <v/>
      </c>
      <c r="E2984" s="5" t="str">
        <f>IFERROR(IF(Portafolio_Proyectos!$AP995="","",Portafolio_Proyectos!$B995),"")</f>
        <v/>
      </c>
      <c r="F2984" s="5" t="str">
        <f>IFERROR(IF(Portafolio_Proyectos!$AP995="","",Portafolio_Proyectos!$D995),"")</f>
        <v/>
      </c>
      <c r="G2984" s="5" t="str">
        <f>IFERROR(IF(Portafolio_Proyectos!$AP995="","",Portafolio_Proyectos!$A995),"")</f>
        <v/>
      </c>
      <c r="H2984" s="5" t="str">
        <f>IFERROR(IF(Portafolio_Proyectos!$AP995="","",Portafolio_Proyectos!$E995),"")</f>
        <v/>
      </c>
    </row>
    <row r="2985" spans="1:8" x14ac:dyDescent="0.35">
      <c r="A2985" s="5" t="str">
        <f>IFERROR(IF(Portafolio_Proyectos!$AQ995="","","CAP-"&amp;ROW()-1),"")</f>
        <v/>
      </c>
      <c r="B2985" s="5" t="str">
        <f>IFERROR(IF(Portafolio_Proyectos!$AQ995="","",Portafolio_Proyectos!$AQ995),"")</f>
        <v/>
      </c>
      <c r="C2985" s="5" t="str">
        <f>IFERROR(IF(Portafolio_Proyectos!$AQ995="","","Consolidada"),"")</f>
        <v/>
      </c>
      <c r="D2985" s="5" t="str">
        <f>IFERROR(IF(Portafolio_Proyectos!$AQ995="","",Portafolio_Proyectos!$C995),"")</f>
        <v/>
      </c>
      <c r="E2985" s="5" t="str">
        <f>IFERROR(IF(Portafolio_Proyectos!$AQ995="","",Portafolio_Proyectos!$B995),"")</f>
        <v/>
      </c>
      <c r="F2985" s="5" t="str">
        <f>IFERROR(IF(Portafolio_Proyectos!$AQ995="","",Portafolio_Proyectos!$D995),"")</f>
        <v/>
      </c>
      <c r="G2985" s="5" t="str">
        <f>IFERROR(IF(Portafolio_Proyectos!$AQ995="","",Portafolio_Proyectos!$A995),"")</f>
        <v/>
      </c>
      <c r="H2985" s="5" t="str">
        <f>IFERROR(IF(Portafolio_Proyectos!$AQ995="","",Portafolio_Proyectos!$E995),"")</f>
        <v/>
      </c>
    </row>
    <row r="2986" spans="1:8" x14ac:dyDescent="0.35">
      <c r="A2986" s="5" t="str">
        <f>IFERROR(IF(Portafolio_Proyectos!$AR995="","","CAP-"&amp;ROW()-1),"")</f>
        <v/>
      </c>
      <c r="B2986" s="5" t="str">
        <f>IFERROR(IF(Portafolio_Proyectos!$AR995="","",Portafolio_Proyectos!$AR995),"")</f>
        <v/>
      </c>
      <c r="C2986" s="5" t="str">
        <f>IFERROR(IF(Portafolio_Proyectos!$AR995="","","Distintiva"),"")</f>
        <v/>
      </c>
      <c r="D2986" s="5" t="str">
        <f>IFERROR(IF(Portafolio_Proyectos!$AR995="","",Portafolio_Proyectos!$C995),"")</f>
        <v/>
      </c>
      <c r="E2986" s="5" t="str">
        <f>IFERROR(IF(Portafolio_Proyectos!$AR995="","",Portafolio_Proyectos!$B995),"")</f>
        <v/>
      </c>
      <c r="F2986" s="5" t="str">
        <f>IFERROR(IF(Portafolio_Proyectos!$AR995="","",Portafolio_Proyectos!$D995),"")</f>
        <v/>
      </c>
      <c r="G2986" s="5" t="str">
        <f>IFERROR(IF(Portafolio_Proyectos!$AR995="","",Portafolio_Proyectos!$A995),"")</f>
        <v/>
      </c>
      <c r="H2986" s="5" t="str">
        <f>IFERROR(IF(Portafolio_Proyectos!$AR995="","",Portafolio_Proyectos!$E995),"")</f>
        <v/>
      </c>
    </row>
    <row r="2987" spans="1:8" x14ac:dyDescent="0.35">
      <c r="A2987" s="5" t="str">
        <f>IFERROR(IF(Portafolio_Proyectos!$AP996="","","CAP-"&amp;ROW()-1),"")</f>
        <v/>
      </c>
      <c r="B2987" s="5" t="str">
        <f>IFERROR(IF(Portafolio_Proyectos!$AP996="","",Portafolio_Proyectos!$AP996),"")</f>
        <v/>
      </c>
      <c r="C2987" s="5" t="str">
        <f>IFERROR(IF(Portafolio_Proyectos!$AP996="","","Emergente"),"")</f>
        <v/>
      </c>
      <c r="D2987" s="5" t="str">
        <f>IFERROR(IF(Portafolio_Proyectos!$AP996="","",Portafolio_Proyectos!$C996),"")</f>
        <v/>
      </c>
      <c r="E2987" s="5" t="str">
        <f>IFERROR(IF(Portafolio_Proyectos!$AP996="","",Portafolio_Proyectos!$B996),"")</f>
        <v/>
      </c>
      <c r="F2987" s="5" t="str">
        <f>IFERROR(IF(Portafolio_Proyectos!$AP996="","",Portafolio_Proyectos!$D996),"")</f>
        <v/>
      </c>
      <c r="G2987" s="5" t="str">
        <f>IFERROR(IF(Portafolio_Proyectos!$AP996="","",Portafolio_Proyectos!$A996),"")</f>
        <v/>
      </c>
      <c r="H2987" s="5" t="str">
        <f>IFERROR(IF(Portafolio_Proyectos!$AP996="","",Portafolio_Proyectos!$E996),"")</f>
        <v/>
      </c>
    </row>
    <row r="2988" spans="1:8" x14ac:dyDescent="0.35">
      <c r="A2988" s="5" t="str">
        <f>IFERROR(IF(Portafolio_Proyectos!$AQ996="","","CAP-"&amp;ROW()-1),"")</f>
        <v/>
      </c>
      <c r="B2988" s="5" t="str">
        <f>IFERROR(IF(Portafolio_Proyectos!$AQ996="","",Portafolio_Proyectos!$AQ996),"")</f>
        <v/>
      </c>
      <c r="C2988" s="5" t="str">
        <f>IFERROR(IF(Portafolio_Proyectos!$AQ996="","","Consolidada"),"")</f>
        <v/>
      </c>
      <c r="D2988" s="5" t="str">
        <f>IFERROR(IF(Portafolio_Proyectos!$AQ996="","",Portafolio_Proyectos!$C996),"")</f>
        <v/>
      </c>
      <c r="E2988" s="5" t="str">
        <f>IFERROR(IF(Portafolio_Proyectos!$AQ996="","",Portafolio_Proyectos!$B996),"")</f>
        <v/>
      </c>
      <c r="F2988" s="5" t="str">
        <f>IFERROR(IF(Portafolio_Proyectos!$AQ996="","",Portafolio_Proyectos!$D996),"")</f>
        <v/>
      </c>
      <c r="G2988" s="5" t="str">
        <f>IFERROR(IF(Portafolio_Proyectos!$AQ996="","",Portafolio_Proyectos!$A996),"")</f>
        <v/>
      </c>
      <c r="H2988" s="5" t="str">
        <f>IFERROR(IF(Portafolio_Proyectos!$AQ996="","",Portafolio_Proyectos!$E996),"")</f>
        <v/>
      </c>
    </row>
    <row r="2989" spans="1:8" x14ac:dyDescent="0.35">
      <c r="A2989" s="5" t="str">
        <f>IFERROR(IF(Portafolio_Proyectos!$AR996="","","CAP-"&amp;ROW()-1),"")</f>
        <v/>
      </c>
      <c r="B2989" s="5" t="str">
        <f>IFERROR(IF(Portafolio_Proyectos!$AR996="","",Portafolio_Proyectos!$AR996),"")</f>
        <v/>
      </c>
      <c r="C2989" s="5" t="str">
        <f>IFERROR(IF(Portafolio_Proyectos!$AR996="","","Distintiva"),"")</f>
        <v/>
      </c>
      <c r="D2989" s="5" t="str">
        <f>IFERROR(IF(Portafolio_Proyectos!$AR996="","",Portafolio_Proyectos!$C996),"")</f>
        <v/>
      </c>
      <c r="E2989" s="5" t="str">
        <f>IFERROR(IF(Portafolio_Proyectos!$AR996="","",Portafolio_Proyectos!$B996),"")</f>
        <v/>
      </c>
      <c r="F2989" s="5" t="str">
        <f>IFERROR(IF(Portafolio_Proyectos!$AR996="","",Portafolio_Proyectos!$D996),"")</f>
        <v/>
      </c>
      <c r="G2989" s="5" t="str">
        <f>IFERROR(IF(Portafolio_Proyectos!$AR996="","",Portafolio_Proyectos!$A996),"")</f>
        <v/>
      </c>
      <c r="H2989" s="5" t="str">
        <f>IFERROR(IF(Portafolio_Proyectos!$AR996="","",Portafolio_Proyectos!$E996),"")</f>
        <v/>
      </c>
    </row>
    <row r="2990" spans="1:8" x14ac:dyDescent="0.35">
      <c r="A2990" s="5" t="str">
        <f>IFERROR(IF(Portafolio_Proyectos!$AP997="","","CAP-"&amp;ROW()-1),"")</f>
        <v/>
      </c>
      <c r="B2990" s="5" t="str">
        <f>IFERROR(IF(Portafolio_Proyectos!$AP997="","",Portafolio_Proyectos!$AP997),"")</f>
        <v/>
      </c>
      <c r="C2990" s="5" t="str">
        <f>IFERROR(IF(Portafolio_Proyectos!$AP997="","","Emergente"),"")</f>
        <v/>
      </c>
      <c r="D2990" s="5" t="str">
        <f>IFERROR(IF(Portafolio_Proyectos!$AP997="","",Portafolio_Proyectos!$C997),"")</f>
        <v/>
      </c>
      <c r="E2990" s="5" t="str">
        <f>IFERROR(IF(Portafolio_Proyectos!$AP997="","",Portafolio_Proyectos!$B997),"")</f>
        <v/>
      </c>
      <c r="F2990" s="5" t="str">
        <f>IFERROR(IF(Portafolio_Proyectos!$AP997="","",Portafolio_Proyectos!$D997),"")</f>
        <v/>
      </c>
      <c r="G2990" s="5" t="str">
        <f>IFERROR(IF(Portafolio_Proyectos!$AP997="","",Portafolio_Proyectos!$A997),"")</f>
        <v/>
      </c>
      <c r="H2990" s="5" t="str">
        <f>IFERROR(IF(Portafolio_Proyectos!$AP997="","",Portafolio_Proyectos!$E997),"")</f>
        <v/>
      </c>
    </row>
    <row r="2991" spans="1:8" x14ac:dyDescent="0.35">
      <c r="A2991" s="5" t="str">
        <f>IFERROR(IF(Portafolio_Proyectos!$AQ997="","","CAP-"&amp;ROW()-1),"")</f>
        <v/>
      </c>
      <c r="B2991" s="5" t="str">
        <f>IFERROR(IF(Portafolio_Proyectos!$AQ997="","",Portafolio_Proyectos!$AQ997),"")</f>
        <v/>
      </c>
      <c r="C2991" s="5" t="str">
        <f>IFERROR(IF(Portafolio_Proyectos!$AQ997="","","Consolidada"),"")</f>
        <v/>
      </c>
      <c r="D2991" s="5" t="str">
        <f>IFERROR(IF(Portafolio_Proyectos!$AQ997="","",Portafolio_Proyectos!$C997),"")</f>
        <v/>
      </c>
      <c r="E2991" s="5" t="str">
        <f>IFERROR(IF(Portafolio_Proyectos!$AQ997="","",Portafolio_Proyectos!$B997),"")</f>
        <v/>
      </c>
      <c r="F2991" s="5" t="str">
        <f>IFERROR(IF(Portafolio_Proyectos!$AQ997="","",Portafolio_Proyectos!$D997),"")</f>
        <v/>
      </c>
      <c r="G2991" s="5" t="str">
        <f>IFERROR(IF(Portafolio_Proyectos!$AQ997="","",Portafolio_Proyectos!$A997),"")</f>
        <v/>
      </c>
      <c r="H2991" s="5" t="str">
        <f>IFERROR(IF(Portafolio_Proyectos!$AQ997="","",Portafolio_Proyectos!$E997),"")</f>
        <v/>
      </c>
    </row>
    <row r="2992" spans="1:8" x14ac:dyDescent="0.35">
      <c r="A2992" s="5" t="str">
        <f>IFERROR(IF(Portafolio_Proyectos!$AR997="","","CAP-"&amp;ROW()-1),"")</f>
        <v/>
      </c>
      <c r="B2992" s="5" t="str">
        <f>IFERROR(IF(Portafolio_Proyectos!$AR997="","",Portafolio_Proyectos!$AR997),"")</f>
        <v/>
      </c>
      <c r="C2992" s="5" t="str">
        <f>IFERROR(IF(Portafolio_Proyectos!$AR997="","","Distintiva"),"")</f>
        <v/>
      </c>
      <c r="D2992" s="5" t="str">
        <f>IFERROR(IF(Portafolio_Proyectos!$AR997="","",Portafolio_Proyectos!$C997),"")</f>
        <v/>
      </c>
      <c r="E2992" s="5" t="str">
        <f>IFERROR(IF(Portafolio_Proyectos!$AR997="","",Portafolio_Proyectos!$B997),"")</f>
        <v/>
      </c>
      <c r="F2992" s="5" t="str">
        <f>IFERROR(IF(Portafolio_Proyectos!$AR997="","",Portafolio_Proyectos!$D997),"")</f>
        <v/>
      </c>
      <c r="G2992" s="5" t="str">
        <f>IFERROR(IF(Portafolio_Proyectos!$AR997="","",Portafolio_Proyectos!$A997),"")</f>
        <v/>
      </c>
      <c r="H2992" s="5" t="str">
        <f>IFERROR(IF(Portafolio_Proyectos!$AR997="","",Portafolio_Proyectos!$E997),"")</f>
        <v/>
      </c>
    </row>
    <row r="2993" spans="1:8" x14ac:dyDescent="0.35">
      <c r="A2993" s="5" t="str">
        <f>IFERROR(IF(Portafolio_Proyectos!$AP998="","","CAP-"&amp;ROW()-1),"")</f>
        <v/>
      </c>
      <c r="B2993" s="5" t="str">
        <f>IFERROR(IF(Portafolio_Proyectos!$AP998="","",Portafolio_Proyectos!$AP998),"")</f>
        <v/>
      </c>
      <c r="C2993" s="5" t="str">
        <f>IFERROR(IF(Portafolio_Proyectos!$AP998="","","Emergente"),"")</f>
        <v/>
      </c>
      <c r="D2993" s="5" t="str">
        <f>IFERROR(IF(Portafolio_Proyectos!$AP998="","",Portafolio_Proyectos!$C998),"")</f>
        <v/>
      </c>
      <c r="E2993" s="5" t="str">
        <f>IFERROR(IF(Portafolio_Proyectos!$AP998="","",Portafolio_Proyectos!$B998),"")</f>
        <v/>
      </c>
      <c r="F2993" s="5" t="str">
        <f>IFERROR(IF(Portafolio_Proyectos!$AP998="","",Portafolio_Proyectos!$D998),"")</f>
        <v/>
      </c>
      <c r="G2993" s="5" t="str">
        <f>IFERROR(IF(Portafolio_Proyectos!$AP998="","",Portafolio_Proyectos!$A998),"")</f>
        <v/>
      </c>
      <c r="H2993" s="5" t="str">
        <f>IFERROR(IF(Portafolio_Proyectos!$AP998="","",Portafolio_Proyectos!$E998),"")</f>
        <v/>
      </c>
    </row>
    <row r="2994" spans="1:8" x14ac:dyDescent="0.35">
      <c r="A2994" s="5" t="str">
        <f>IFERROR(IF(Portafolio_Proyectos!$AQ998="","","CAP-"&amp;ROW()-1),"")</f>
        <v/>
      </c>
      <c r="B2994" s="5" t="str">
        <f>IFERROR(IF(Portafolio_Proyectos!$AQ998="","",Portafolio_Proyectos!$AQ998),"")</f>
        <v/>
      </c>
      <c r="C2994" s="5" t="str">
        <f>IFERROR(IF(Portafolio_Proyectos!$AQ998="","","Consolidada"),"")</f>
        <v/>
      </c>
      <c r="D2994" s="5" t="str">
        <f>IFERROR(IF(Portafolio_Proyectos!$AQ998="","",Portafolio_Proyectos!$C998),"")</f>
        <v/>
      </c>
      <c r="E2994" s="5" t="str">
        <f>IFERROR(IF(Portafolio_Proyectos!$AQ998="","",Portafolio_Proyectos!$B998),"")</f>
        <v/>
      </c>
      <c r="F2994" s="5" t="str">
        <f>IFERROR(IF(Portafolio_Proyectos!$AQ998="","",Portafolio_Proyectos!$D998),"")</f>
        <v/>
      </c>
      <c r="G2994" s="5" t="str">
        <f>IFERROR(IF(Portafolio_Proyectos!$AQ998="","",Portafolio_Proyectos!$A998),"")</f>
        <v/>
      </c>
      <c r="H2994" s="5" t="str">
        <f>IFERROR(IF(Portafolio_Proyectos!$AQ998="","",Portafolio_Proyectos!$E998),"")</f>
        <v/>
      </c>
    </row>
    <row r="2995" spans="1:8" x14ac:dyDescent="0.35">
      <c r="A2995" s="5" t="str">
        <f>IFERROR(IF(Portafolio_Proyectos!$AR998="","","CAP-"&amp;ROW()-1),"")</f>
        <v/>
      </c>
      <c r="B2995" s="5" t="str">
        <f>IFERROR(IF(Portafolio_Proyectos!$AR998="","",Portafolio_Proyectos!$AR998),"")</f>
        <v/>
      </c>
      <c r="C2995" s="5" t="str">
        <f>IFERROR(IF(Portafolio_Proyectos!$AR998="","","Distintiva"),"")</f>
        <v/>
      </c>
      <c r="D2995" s="5" t="str">
        <f>IFERROR(IF(Portafolio_Proyectos!$AR998="","",Portafolio_Proyectos!$C998),"")</f>
        <v/>
      </c>
      <c r="E2995" s="5" t="str">
        <f>IFERROR(IF(Portafolio_Proyectos!$AR998="","",Portafolio_Proyectos!$B998),"")</f>
        <v/>
      </c>
      <c r="F2995" s="5" t="str">
        <f>IFERROR(IF(Portafolio_Proyectos!$AR998="","",Portafolio_Proyectos!$D998),"")</f>
        <v/>
      </c>
      <c r="G2995" s="5" t="str">
        <f>IFERROR(IF(Portafolio_Proyectos!$AR998="","",Portafolio_Proyectos!$A998),"")</f>
        <v/>
      </c>
      <c r="H2995" s="5" t="str">
        <f>IFERROR(IF(Portafolio_Proyectos!$AR998="","",Portafolio_Proyectos!$E998),"")</f>
        <v/>
      </c>
    </row>
    <row r="2996" spans="1:8" x14ac:dyDescent="0.35">
      <c r="A2996" s="5" t="str">
        <f>IFERROR(IF(Portafolio_Proyectos!$AP999="","","CAP-"&amp;ROW()-1),"")</f>
        <v/>
      </c>
      <c r="B2996" s="5" t="str">
        <f>IFERROR(IF(Portafolio_Proyectos!$AP999="","",Portafolio_Proyectos!$AP999),"")</f>
        <v/>
      </c>
      <c r="C2996" s="5" t="str">
        <f>IFERROR(IF(Portafolio_Proyectos!$AP999="","","Emergente"),"")</f>
        <v/>
      </c>
      <c r="D2996" s="5" t="str">
        <f>IFERROR(IF(Portafolio_Proyectos!$AP999="","",Portafolio_Proyectos!$C999),"")</f>
        <v/>
      </c>
      <c r="E2996" s="5" t="str">
        <f>IFERROR(IF(Portafolio_Proyectos!$AP999="","",Portafolio_Proyectos!$B999),"")</f>
        <v/>
      </c>
      <c r="F2996" s="5" t="str">
        <f>IFERROR(IF(Portafolio_Proyectos!$AP999="","",Portafolio_Proyectos!$D999),"")</f>
        <v/>
      </c>
      <c r="G2996" s="5" t="str">
        <f>IFERROR(IF(Portafolio_Proyectos!$AP999="","",Portafolio_Proyectos!$A999),"")</f>
        <v/>
      </c>
      <c r="H2996" s="5" t="str">
        <f>IFERROR(IF(Portafolio_Proyectos!$AP999="","",Portafolio_Proyectos!$E999),"")</f>
        <v/>
      </c>
    </row>
    <row r="2997" spans="1:8" x14ac:dyDescent="0.35">
      <c r="A2997" s="5" t="str">
        <f>IFERROR(IF(Portafolio_Proyectos!$AQ999="","","CAP-"&amp;ROW()-1),"")</f>
        <v/>
      </c>
      <c r="B2997" s="5" t="str">
        <f>IFERROR(IF(Portafolio_Proyectos!$AQ999="","",Portafolio_Proyectos!$AQ999),"")</f>
        <v/>
      </c>
      <c r="C2997" s="5" t="str">
        <f>IFERROR(IF(Portafolio_Proyectos!$AQ999="","","Consolidada"),"")</f>
        <v/>
      </c>
      <c r="D2997" s="5" t="str">
        <f>IFERROR(IF(Portafolio_Proyectos!$AQ999="","",Portafolio_Proyectos!$C999),"")</f>
        <v/>
      </c>
      <c r="E2997" s="5" t="str">
        <f>IFERROR(IF(Portafolio_Proyectos!$AQ999="","",Portafolio_Proyectos!$B999),"")</f>
        <v/>
      </c>
      <c r="F2997" s="5" t="str">
        <f>IFERROR(IF(Portafolio_Proyectos!$AQ999="","",Portafolio_Proyectos!$D999),"")</f>
        <v/>
      </c>
      <c r="G2997" s="5" t="str">
        <f>IFERROR(IF(Portafolio_Proyectos!$AQ999="","",Portafolio_Proyectos!$A999),"")</f>
        <v/>
      </c>
      <c r="H2997" s="5" t="str">
        <f>IFERROR(IF(Portafolio_Proyectos!$AQ999="","",Portafolio_Proyectos!$E999),"")</f>
        <v/>
      </c>
    </row>
    <row r="2998" spans="1:8" x14ac:dyDescent="0.35">
      <c r="A2998" s="5" t="str">
        <f>IFERROR(IF(Portafolio_Proyectos!$AR999="","","CAP-"&amp;ROW()-1),"")</f>
        <v/>
      </c>
      <c r="B2998" s="5" t="str">
        <f>IFERROR(IF(Portafolio_Proyectos!$AR999="","",Portafolio_Proyectos!$AR999),"")</f>
        <v/>
      </c>
      <c r="C2998" s="5" t="str">
        <f>IFERROR(IF(Portafolio_Proyectos!$AR999="","","Distintiva"),"")</f>
        <v/>
      </c>
      <c r="D2998" s="5" t="str">
        <f>IFERROR(IF(Portafolio_Proyectos!$AR999="","",Portafolio_Proyectos!$C999),"")</f>
        <v/>
      </c>
      <c r="E2998" s="5" t="str">
        <f>IFERROR(IF(Portafolio_Proyectos!$AR999="","",Portafolio_Proyectos!$B999),"")</f>
        <v/>
      </c>
      <c r="F2998" s="5" t="str">
        <f>IFERROR(IF(Portafolio_Proyectos!$AR999="","",Portafolio_Proyectos!$D999),"")</f>
        <v/>
      </c>
      <c r="G2998" s="5" t="str">
        <f>IFERROR(IF(Portafolio_Proyectos!$AR999="","",Portafolio_Proyectos!$A999),"")</f>
        <v/>
      </c>
      <c r="H2998" s="5" t="str">
        <f>IFERROR(IF(Portafolio_Proyectos!$AR999="","",Portafolio_Proyectos!$E999),"")</f>
        <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F30"/>
  <sheetViews>
    <sheetView workbookViewId="0">
      <pane ySplit="3" topLeftCell="A6" activePane="bottomLeft" state="frozen"/>
      <selection pane="bottomLeft" activeCell="H10" sqref="H10"/>
    </sheetView>
  </sheetViews>
  <sheetFormatPr baseColWidth="10" defaultColWidth="8.6640625" defaultRowHeight="14.5" x14ac:dyDescent="0.35"/>
  <cols>
    <col min="1" max="6" width="20" customWidth="1"/>
  </cols>
  <sheetData>
    <row r="1" spans="1:6" ht="36" customHeight="1" x14ac:dyDescent="0.35">
      <c r="A1" s="52" t="s">
        <v>530</v>
      </c>
      <c r="B1" s="53"/>
      <c r="C1" s="53"/>
      <c r="D1" s="53"/>
      <c r="E1" s="53"/>
      <c r="F1" s="54"/>
    </row>
    <row r="2" spans="1:6" ht="28.05" customHeight="1" x14ac:dyDescent="0.35">
      <c r="A2" s="59" t="s">
        <v>531</v>
      </c>
      <c r="B2" s="60"/>
      <c r="C2" s="60"/>
      <c r="D2" s="60"/>
      <c r="E2" s="60"/>
      <c r="F2" s="60"/>
    </row>
    <row r="4" spans="1:6" ht="22" customHeight="1" x14ac:dyDescent="0.35">
      <c r="A4" s="62" t="s">
        <v>532</v>
      </c>
      <c r="B4" s="63"/>
      <c r="C4" s="63"/>
      <c r="D4" s="63"/>
      <c r="E4" s="63"/>
      <c r="F4" s="64"/>
    </row>
    <row r="5" spans="1:6" ht="25.95" customHeight="1" x14ac:dyDescent="0.35">
      <c r="A5" s="37" t="s">
        <v>533</v>
      </c>
      <c r="B5" s="37" t="s">
        <v>534</v>
      </c>
      <c r="C5" s="37" t="s">
        <v>535</v>
      </c>
      <c r="D5" s="37" t="s">
        <v>536</v>
      </c>
      <c r="E5" s="37" t="s">
        <v>537</v>
      </c>
      <c r="F5" s="37" t="s">
        <v>538</v>
      </c>
    </row>
    <row r="6" spans="1:6" ht="40" customHeight="1" x14ac:dyDescent="0.35">
      <c r="A6" s="38">
        <f>COUNTA(Tabla_Proyectos[Nombre del proyecto])</f>
        <v>132</v>
      </c>
      <c r="B6" s="38">
        <f>SUMPRODUCT((Tabla_Proyectos[Sistema productivo]&lt;&gt;"")/COUNTIF(Tabla_Proyectos[Sistema productivo],Tabla_Proyectos[Sistema productivo]&amp;""))</f>
        <v>26.000000000000021</v>
      </c>
      <c r="C6" s="38">
        <f>COUNTIF(Tabla_Proyectos[Estado del proyecto],"En ejecución")</f>
        <v>4</v>
      </c>
      <c r="D6" s="38">
        <f>COUNTIF(Tabla_Proyectos[Impacto social],"&lt;&gt;")</f>
        <v>8</v>
      </c>
      <c r="E6" s="38">
        <f>COUNTIF(Tabla_Proyectos[Departamentos],"&lt;&gt;")</f>
        <v>28</v>
      </c>
      <c r="F6" s="38">
        <f>COUNTIFS(Tabla_Proyectos[TRL final],"&lt;&gt;",Tabla_Proyectos[TRL final],"&lt;&gt;No definido")</f>
        <v>7</v>
      </c>
    </row>
    <row r="8" spans="1:6" ht="22" customHeight="1" x14ac:dyDescent="0.35">
      <c r="A8" s="62" t="s">
        <v>539</v>
      </c>
      <c r="B8" s="63"/>
      <c r="C8" s="64"/>
      <c r="E8" s="62" t="s">
        <v>540</v>
      </c>
      <c r="F8" s="64"/>
    </row>
    <row r="9" spans="1:6" ht="20" customHeight="1" x14ac:dyDescent="0.35">
      <c r="A9" s="7" t="s">
        <v>1</v>
      </c>
      <c r="B9" s="7" t="s">
        <v>533</v>
      </c>
      <c r="C9" s="7" t="s">
        <v>109</v>
      </c>
      <c r="E9" s="7" t="s">
        <v>541</v>
      </c>
      <c r="F9" s="7" t="s">
        <v>542</v>
      </c>
    </row>
    <row r="10" spans="1:6" ht="18" customHeight="1" x14ac:dyDescent="0.35">
      <c r="A10" s="21" t="s">
        <v>45</v>
      </c>
      <c r="B10" s="22">
        <f>COUNTIF(Tabla_Proyectos[Sistema productivo],"Aguacate Hass")</f>
        <v>17</v>
      </c>
      <c r="C10" s="22">
        <f>COUNTIFS(Tabla_Proyectos[Sistema productivo],"Aguacate Hass",Tabla_Proyectos[Estado del proyecto],"En ejecución")</f>
        <v>2</v>
      </c>
      <c r="E10" s="21" t="s">
        <v>4</v>
      </c>
      <c r="F10" s="39">
        <f>IFERROR(COUNTA(Tabla_Proyectos[Investigador líder])/COUNTA(Tabla_Proyectos[Nombre del proyecto]),0)</f>
        <v>7.575757575757576E-2</v>
      </c>
    </row>
    <row r="11" spans="1:6" ht="18" customHeight="1" x14ac:dyDescent="0.35">
      <c r="A11" s="24" t="s">
        <v>322</v>
      </c>
      <c r="B11" s="25">
        <f>COUNTIF(Tabla_Proyectos[Sistema productivo],"Guayaba")</f>
        <v>18</v>
      </c>
      <c r="C11" s="25">
        <f>COUNTIFS(Tabla_Proyectos[Sistema productivo],"Guayaba",Tabla_Proyectos[Estado del proyecto],"En ejecución")</f>
        <v>0</v>
      </c>
      <c r="E11" s="24" t="s">
        <v>40</v>
      </c>
      <c r="F11" s="40">
        <f>IFERROR(COUNTA(Tabla_Proyectos[Estado del proyecto])/COUNTA(Tabla_Proyectos[Nombre del proyecto]),0)</f>
        <v>6.0606060606060608E-2</v>
      </c>
    </row>
    <row r="12" spans="1:6" ht="18" customHeight="1" x14ac:dyDescent="0.35">
      <c r="A12" s="21" t="s">
        <v>183</v>
      </c>
      <c r="B12" s="22">
        <f>COUNTIF(Tabla_Proyectos[Sistema productivo],"Cacao")</f>
        <v>15</v>
      </c>
      <c r="C12" s="22">
        <f>COUNTIFS(Tabla_Proyectos[Sistema productivo],"Cacao",Tabla_Proyectos[Estado del proyecto],"En ejecución")</f>
        <v>2</v>
      </c>
      <c r="E12" s="21" t="s">
        <v>22</v>
      </c>
      <c r="F12" s="39">
        <f>IFERROR(COUNTA(Tabla_Proyectos[TRL final])/COUNTA(Tabla_Proyectos[Nombre del proyecto]),0)</f>
        <v>6.0606060606060608E-2</v>
      </c>
    </row>
    <row r="13" spans="1:6" ht="18" customHeight="1" x14ac:dyDescent="0.35">
      <c r="A13" s="24" t="s">
        <v>305</v>
      </c>
      <c r="B13" s="25">
        <f>COUNTIF(Tabla_Proyectos[Sistema productivo],"Forestal")</f>
        <v>11</v>
      </c>
      <c r="C13" s="25">
        <f>COUNTIFS(Tabla_Proyectos[Sistema productivo],"Forestal",Tabla_Proyectos[Estado del proyecto],"En ejecución")</f>
        <v>0</v>
      </c>
      <c r="E13" s="24" t="s">
        <v>28</v>
      </c>
      <c r="F13" s="40">
        <f>IFERROR(COUNTA(Tabla_Proyectos[Departamentos])/COUNTA(Tabla_Proyectos[Nombre del proyecto]),0)</f>
        <v>0.21212121212121213</v>
      </c>
    </row>
    <row r="14" spans="1:6" ht="18" customHeight="1" x14ac:dyDescent="0.35">
      <c r="A14" s="21" t="s">
        <v>342</v>
      </c>
      <c r="B14" s="22">
        <f>COUNTIF(Tabla_Proyectos[Sistema productivo],"Lima Acida Tahití")</f>
        <v>11</v>
      </c>
      <c r="C14" s="22">
        <f>COUNTIFS(Tabla_Proyectos[Sistema productivo],"Lima Acida Tahití",Tabla_Proyectos[Estado del proyecto],"En ejecución")</f>
        <v>0</v>
      </c>
      <c r="E14" s="21" t="s">
        <v>31</v>
      </c>
      <c r="F14" s="39">
        <f>IFERROR(COUNTA(Tabla_Proyectos[Beneficiarios directos])/COUNTA(Tabla_Proyectos[Nombre del proyecto]),0)</f>
        <v>7.575757575757576E-2</v>
      </c>
    </row>
    <row r="15" spans="1:6" ht="18" customHeight="1" x14ac:dyDescent="0.35">
      <c r="A15" s="24" t="s">
        <v>365</v>
      </c>
      <c r="B15" s="25">
        <f>COUNTIF(Tabla_Proyectos[Sistema productivo],"Naranjas")</f>
        <v>8</v>
      </c>
      <c r="C15" s="25">
        <f>COUNTIFS(Tabla_Proyectos[Sistema productivo],"Naranjas",Tabla_Proyectos[Estado del proyecto],"En ejecución")</f>
        <v>0</v>
      </c>
      <c r="E15" s="24" t="s">
        <v>26</v>
      </c>
      <c r="F15" s="40">
        <f>IFERROR(COUNTA(Tabla_Proyectos[Impacto social])/COUNTA(Tabla_Proyectos[Nombre del proyecto]),0)</f>
        <v>6.0606060606060608E-2</v>
      </c>
    </row>
    <row r="16" spans="1:6" ht="18" customHeight="1" x14ac:dyDescent="0.35">
      <c r="A16" s="21" t="s">
        <v>404</v>
      </c>
      <c r="B16" s="22">
        <f>COUNTIF(Tabla_Proyectos[Sistema productivo],"Quinua")</f>
        <v>6</v>
      </c>
      <c r="C16" s="22">
        <f>COUNTIFS(Tabla_Proyectos[Sistema productivo],"Quinua",Tabla_Proyectos[Estado del proyecto],"En ejecución")</f>
        <v>0</v>
      </c>
      <c r="E16" s="21" t="s">
        <v>25</v>
      </c>
      <c r="F16" s="39">
        <f>IFERROR(COUNTA(Tabla_Proyectos[Impacto económico])/COUNTA(Tabla_Proyectos[Nombre del proyecto]),0)</f>
        <v>6.0606060606060608E-2</v>
      </c>
    </row>
    <row r="17" spans="1:6" ht="18" customHeight="1" x14ac:dyDescent="0.35">
      <c r="A17" s="24" t="s">
        <v>156</v>
      </c>
      <c r="B17" s="25">
        <f>COUNTIF(Tabla_Proyectos[Sistema productivo],"Otro")</f>
        <v>6</v>
      </c>
      <c r="C17" s="25">
        <f>COUNTIFS(Tabla_Proyectos[Sistema productivo],"Otro",Tabla_Proyectos[Estado del proyecto],"En ejecución")</f>
        <v>0</v>
      </c>
      <c r="E17" s="24" t="s">
        <v>7</v>
      </c>
      <c r="F17" s="40">
        <f>IFERROR(COUNTA(Tabla_Proyectos[Aliados estratégicos])/COUNTA(Tabla_Proyectos[Nombre del proyecto]),0)</f>
        <v>0.14393939393939395</v>
      </c>
    </row>
    <row r="18" spans="1:6" ht="18" customHeight="1" x14ac:dyDescent="0.35">
      <c r="A18" s="21" t="s">
        <v>293</v>
      </c>
      <c r="B18" s="22">
        <f>COUNTIF(Tabla_Proyectos[Sistema productivo],"Chontaduro")</f>
        <v>4</v>
      </c>
      <c r="C18" s="22">
        <f>COUNTIFS(Tabla_Proyectos[Sistema productivo],"Chontaduro",Tabla_Proyectos[Estado del proyecto],"En ejecución")</f>
        <v>0</v>
      </c>
      <c r="E18" s="21" t="s">
        <v>37</v>
      </c>
      <c r="F18" s="39">
        <f>IFERROR(COUNTA(Tabla_Proyectos[Monto del proyecto])/COUNTA(Tabla_Proyectos[Nombre del proyecto]),0)</f>
        <v>5.3030303030303032E-2</v>
      </c>
    </row>
    <row r="19" spans="1:6" ht="18" customHeight="1" x14ac:dyDescent="0.35">
      <c r="A19" s="24" t="s">
        <v>378</v>
      </c>
      <c r="B19" s="25">
        <f>COUNTIF(Tabla_Proyectos[Sistema productivo],"Palma de aceite Africana")</f>
        <v>4</v>
      </c>
      <c r="C19" s="25">
        <f>COUNTIFS(Tabla_Proyectos[Sistema productivo],"Palma de aceite Africana",Tabla_Proyectos[Estado del proyecto],"En ejecución")</f>
        <v>0</v>
      </c>
      <c r="E19" s="24" t="s">
        <v>18</v>
      </c>
      <c r="F19" s="40">
        <f>IFERROR(COUNTA(Tabla_Proyectos[Publicaciones])/COUNTA(Tabla_Proyectos[Nombre del proyecto]),0)</f>
        <v>4.5454545454545456E-2</v>
      </c>
    </row>
    <row r="22" spans="1:6" ht="22" customHeight="1" x14ac:dyDescent="0.35">
      <c r="A22" s="62" t="s">
        <v>543</v>
      </c>
      <c r="B22" s="63"/>
      <c r="C22" s="63"/>
      <c r="D22" s="63"/>
      <c r="E22" s="63"/>
      <c r="F22" s="64"/>
    </row>
    <row r="23" spans="1:6" ht="22" customHeight="1" x14ac:dyDescent="0.35">
      <c r="A23" s="61" t="s">
        <v>544</v>
      </c>
      <c r="B23" s="56"/>
      <c r="C23" s="57" t="s">
        <v>545</v>
      </c>
      <c r="D23" s="58"/>
      <c r="E23" s="58"/>
      <c r="F23" s="56"/>
    </row>
    <row r="24" spans="1:6" ht="22" customHeight="1" x14ac:dyDescent="0.35">
      <c r="A24" s="55" t="s">
        <v>546</v>
      </c>
      <c r="B24" s="56"/>
      <c r="C24" s="65" t="s">
        <v>547</v>
      </c>
      <c r="D24" s="58"/>
      <c r="E24" s="58"/>
      <c r="F24" s="56"/>
    </row>
    <row r="25" spans="1:6" ht="22" customHeight="1" x14ac:dyDescent="0.35">
      <c r="A25" s="61" t="s">
        <v>548</v>
      </c>
      <c r="B25" s="56"/>
      <c r="C25" s="57" t="s">
        <v>549</v>
      </c>
      <c r="D25" s="58"/>
      <c r="E25" s="58"/>
      <c r="F25" s="56"/>
    </row>
    <row r="26" spans="1:6" ht="22" customHeight="1" x14ac:dyDescent="0.35">
      <c r="A26" s="55" t="s">
        <v>550</v>
      </c>
      <c r="B26" s="56"/>
      <c r="C26" s="65" t="s">
        <v>551</v>
      </c>
      <c r="D26" s="58"/>
      <c r="E26" s="58"/>
      <c r="F26" s="56"/>
    </row>
    <row r="27" spans="1:6" ht="22" customHeight="1" x14ac:dyDescent="0.35">
      <c r="A27" s="61" t="s">
        <v>552</v>
      </c>
      <c r="B27" s="56"/>
      <c r="C27" s="57" t="s">
        <v>553</v>
      </c>
      <c r="D27" s="58"/>
      <c r="E27" s="58"/>
      <c r="F27" s="56"/>
    </row>
    <row r="28" spans="1:6" ht="22" customHeight="1" x14ac:dyDescent="0.35">
      <c r="A28" s="55" t="s">
        <v>554</v>
      </c>
      <c r="B28" s="56"/>
      <c r="C28" s="65" t="s">
        <v>555</v>
      </c>
      <c r="D28" s="58"/>
      <c r="E28" s="58"/>
      <c r="F28" s="56"/>
    </row>
    <row r="29" spans="1:6" ht="22" customHeight="1" x14ac:dyDescent="0.35">
      <c r="A29" s="61" t="s">
        <v>556</v>
      </c>
      <c r="B29" s="56"/>
      <c r="C29" s="57" t="s">
        <v>557</v>
      </c>
      <c r="D29" s="58"/>
      <c r="E29" s="58"/>
      <c r="F29" s="56"/>
    </row>
    <row r="30" spans="1:6" ht="22" customHeight="1" x14ac:dyDescent="0.35">
      <c r="A30" s="55" t="s">
        <v>558</v>
      </c>
      <c r="B30" s="56"/>
      <c r="C30" s="65" t="s">
        <v>559</v>
      </c>
      <c r="D30" s="58"/>
      <c r="E30" s="58"/>
      <c r="F30" s="56"/>
    </row>
  </sheetData>
  <mergeCells count="22">
    <mergeCell ref="C30:F30"/>
    <mergeCell ref="A22:F22"/>
    <mergeCell ref="A4:F4"/>
    <mergeCell ref="C24:F24"/>
    <mergeCell ref="A27:B27"/>
    <mergeCell ref="A26:B26"/>
    <mergeCell ref="C26:F26"/>
    <mergeCell ref="C29:F29"/>
    <mergeCell ref="C25:F25"/>
    <mergeCell ref="A23:B23"/>
    <mergeCell ref="A29:B29"/>
    <mergeCell ref="A24:B24"/>
    <mergeCell ref="A30:B30"/>
    <mergeCell ref="C23:F23"/>
    <mergeCell ref="E8:F8"/>
    <mergeCell ref="C28:F28"/>
    <mergeCell ref="A1:F1"/>
    <mergeCell ref="A28:B28"/>
    <mergeCell ref="C27:F27"/>
    <mergeCell ref="A2:F2"/>
    <mergeCell ref="A25:B25"/>
    <mergeCell ref="A8:C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K48"/>
  <sheetViews>
    <sheetView workbookViewId="0">
      <pane ySplit="5" topLeftCell="A6" activePane="bottomLeft" state="frozen"/>
      <selection pane="bottomLeft" sqref="A1:G1"/>
    </sheetView>
  </sheetViews>
  <sheetFormatPr baseColWidth="10" defaultColWidth="8.6640625" defaultRowHeight="14.5" x14ac:dyDescent="0.35"/>
  <cols>
    <col min="1" max="1" width="34" customWidth="1"/>
    <col min="2" max="3" width="12" customWidth="1"/>
    <col min="5" max="5" width="30" customWidth="1"/>
    <col min="6" max="6" width="14" customWidth="1"/>
    <col min="7" max="7" width="22" customWidth="1"/>
    <col min="8" max="13" width="16" customWidth="1"/>
  </cols>
  <sheetData>
    <row r="1" spans="1:11" ht="30.05" customHeight="1" x14ac:dyDescent="0.35">
      <c r="A1" s="66" t="s">
        <v>560</v>
      </c>
      <c r="B1" s="53"/>
      <c r="C1" s="53"/>
      <c r="D1" s="53"/>
      <c r="E1" s="53"/>
      <c r="F1" s="53"/>
      <c r="G1" s="54"/>
    </row>
    <row r="2" spans="1:11" ht="28.05" customHeight="1" x14ac:dyDescent="0.35">
      <c r="A2" s="59" t="s">
        <v>561</v>
      </c>
      <c r="B2" s="60"/>
      <c r="C2" s="60"/>
      <c r="D2" s="60"/>
      <c r="E2" s="60"/>
      <c r="F2" s="60"/>
      <c r="G2" s="60"/>
    </row>
    <row r="4" spans="1:11" ht="22" customHeight="1" x14ac:dyDescent="0.35">
      <c r="A4" s="62" t="s">
        <v>562</v>
      </c>
      <c r="B4" s="63"/>
      <c r="C4" s="64"/>
      <c r="E4" s="62" t="s">
        <v>563</v>
      </c>
      <c r="F4" s="63"/>
      <c r="G4" s="64"/>
    </row>
    <row r="5" spans="1:11" ht="30.05" customHeight="1" x14ac:dyDescent="0.35">
      <c r="A5" s="7" t="s">
        <v>564</v>
      </c>
      <c r="B5" s="7" t="s">
        <v>565</v>
      </c>
      <c r="C5" s="7" t="s">
        <v>566</v>
      </c>
      <c r="E5" s="7" t="s">
        <v>567</v>
      </c>
      <c r="F5" s="7" t="s">
        <v>565</v>
      </c>
      <c r="G5" s="7" t="s">
        <v>568</v>
      </c>
    </row>
    <row r="6" spans="1:11" ht="18" customHeight="1" x14ac:dyDescent="0.35">
      <c r="A6" s="8" t="s">
        <v>569</v>
      </c>
      <c r="B6" s="9">
        <f>COUNTIF(Tabla_Proyectos[Departamentos],"*AMAZONAS*")</f>
        <v>0</v>
      </c>
      <c r="C6" s="10">
        <f>IFERROR(B6/COUNTIF(Tabla_Proyectos[Departamentos],"&lt;&gt;"),0)</f>
        <v>0</v>
      </c>
      <c r="E6" s="8" t="s">
        <v>71</v>
      </c>
      <c r="F6" s="9">
        <f>COUNTIF(Tabla_Proyectos[Tipo de beneficiarios],"Asociación de productores")</f>
        <v>9</v>
      </c>
      <c r="G6" s="16">
        <f>SUMIF(Tabla_Proyectos[Tipo de beneficiarios],"Asociación de productores",Tabla_Proyectos[Beneficiarios directos])</f>
        <v>2329</v>
      </c>
    </row>
    <row r="7" spans="1:11" ht="18" customHeight="1" x14ac:dyDescent="0.35">
      <c r="A7" s="11" t="s">
        <v>570</v>
      </c>
      <c r="B7" s="12">
        <f>COUNTIF(Tabla_Proyectos[Departamentos],"*ANTIOQUIA*")</f>
        <v>2</v>
      </c>
      <c r="C7" s="13">
        <f>IFERROR(B7/COUNTIF(Tabla_Proyectos[Departamentos],"&lt;&gt;"),0)</f>
        <v>7.1428571428571425E-2</v>
      </c>
      <c r="E7" s="11" t="s">
        <v>391</v>
      </c>
      <c r="F7" s="12">
        <f>COUNTIF(Tabla_Proyectos[Tipo de beneficiarios],"Comunidad campesina")</f>
        <v>2</v>
      </c>
      <c r="G7" s="17">
        <f>SUMIF(Tabla_Proyectos[Tipo de beneficiarios],"Comunidad campesina",Tabla_Proyectos[Beneficiarios directos])</f>
        <v>0</v>
      </c>
    </row>
    <row r="8" spans="1:11" ht="18" customHeight="1" x14ac:dyDescent="0.35">
      <c r="A8" s="8" t="s">
        <v>571</v>
      </c>
      <c r="B8" s="9">
        <f>COUNTIF(Tabla_Proyectos[Departamentos],"*ARAUCA*")</f>
        <v>1</v>
      </c>
      <c r="C8" s="10">
        <f>IFERROR(B8/COUNTIF(Tabla_Proyectos[Departamentos],"&lt;&gt;"),0)</f>
        <v>3.5714285714285712E-2</v>
      </c>
      <c r="E8" s="8" t="s">
        <v>413</v>
      </c>
      <c r="F8" s="9">
        <f>COUNTIF(Tabla_Proyectos[Tipo de beneficiarios],"Comunidad Indígena")</f>
        <v>1</v>
      </c>
      <c r="G8" s="16">
        <f>SUMIF(Tabla_Proyectos[Tipo de beneficiarios],"Comunidad Indígena",Tabla_Proyectos[Beneficiarios directos])</f>
        <v>0</v>
      </c>
    </row>
    <row r="9" spans="1:11" ht="18" customHeight="1" x14ac:dyDescent="0.35">
      <c r="A9" s="11" t="s">
        <v>572</v>
      </c>
      <c r="B9" s="12">
        <f>COUNTIF(Tabla_Proyectos[Departamentos],"*ARCHIPIELAGO DE SAN ANDRES*")</f>
        <v>0</v>
      </c>
      <c r="C9" s="13">
        <f>IFERROR(B9/COUNTIF(Tabla_Proyectos[Departamentos],"&lt;&gt;"),0)</f>
        <v>0</v>
      </c>
      <c r="E9" s="11" t="s">
        <v>422</v>
      </c>
      <c r="F9" s="12">
        <f>COUNTIF(Tabla_Proyectos[Tipo de beneficiarios],"Comunidad Afrocolombiana")</f>
        <v>3</v>
      </c>
      <c r="G9" s="17">
        <f>SUMIF(Tabla_Proyectos[Tipo de beneficiarios],"Comunidad Afrocolombiana",Tabla_Proyectos[Beneficiarios directos])</f>
        <v>300</v>
      </c>
    </row>
    <row r="10" spans="1:11" ht="18" customHeight="1" x14ac:dyDescent="0.35">
      <c r="A10" s="8" t="s">
        <v>573</v>
      </c>
      <c r="B10" s="9">
        <f>COUNTIF(Tabla_Proyectos[Departamentos],"*ATLÁNTICO*")</f>
        <v>0</v>
      </c>
      <c r="C10" s="10">
        <f>IFERROR(B10/COUNTIF(Tabla_Proyectos[Departamentos],"&lt;&gt;"),0)</f>
        <v>0</v>
      </c>
      <c r="E10" s="8" t="s">
        <v>574</v>
      </c>
      <c r="F10" s="9">
        <f>COUNTIF(Tabla_Proyectos[Tipo de beneficiarios],"Comunidad científica")</f>
        <v>0</v>
      </c>
      <c r="G10" s="16">
        <f>SUMIF(Tabla_Proyectos[Tipo de beneficiarios],"Comunidad científica",Tabla_Proyectos[Beneficiarios directos])</f>
        <v>0</v>
      </c>
    </row>
    <row r="11" spans="1:11" ht="18" customHeight="1" x14ac:dyDescent="0.35">
      <c r="A11" s="11" t="s">
        <v>575</v>
      </c>
      <c r="B11" s="12">
        <f>COUNTIF(Tabla_Proyectos[Departamentos],"*BOGOTÁ D.C.*")</f>
        <v>0</v>
      </c>
      <c r="C11" s="13">
        <f>IFERROR(B11/COUNTIF(Tabla_Proyectos[Departamentos],"&lt;&gt;"),0)</f>
        <v>0</v>
      </c>
      <c r="E11" s="11" t="s">
        <v>156</v>
      </c>
      <c r="F11" s="12">
        <f>COUNTIF(Tabla_Proyectos[Tipo de beneficiarios],"Otro")</f>
        <v>1</v>
      </c>
      <c r="G11" s="17">
        <f>SUMIF(Tabla_Proyectos[Tipo de beneficiarios],"Otro",Tabla_Proyectos[Beneficiarios directos])</f>
        <v>115</v>
      </c>
    </row>
    <row r="12" spans="1:11" ht="18" customHeight="1" x14ac:dyDescent="0.35">
      <c r="A12" s="8" t="s">
        <v>576</v>
      </c>
      <c r="B12" s="9">
        <f>COUNTIF(Tabla_Proyectos[Departamentos],"*BOLIVAR*")</f>
        <v>0</v>
      </c>
      <c r="C12" s="10">
        <f>IFERROR(B12/COUNTIF(Tabla_Proyectos[Departamentos],"&lt;&gt;"),0)</f>
        <v>0</v>
      </c>
      <c r="E12" s="14" t="s">
        <v>577</v>
      </c>
      <c r="F12" s="14">
        <f>SUM(F6:F11)</f>
        <v>16</v>
      </c>
      <c r="G12" s="18">
        <f>SUM(G6:G11)</f>
        <v>2744</v>
      </c>
    </row>
    <row r="13" spans="1:11" ht="18" customHeight="1" x14ac:dyDescent="0.35">
      <c r="A13" s="11" t="s">
        <v>578</v>
      </c>
      <c r="B13" s="12">
        <f>COUNTIF(Tabla_Proyectos[Departamentos],"*BOYACÁ*")</f>
        <v>0</v>
      </c>
      <c r="C13" s="13">
        <f>IFERROR(B13/COUNTIF(Tabla_Proyectos[Departamentos],"&lt;&gt;"),0)</f>
        <v>0</v>
      </c>
    </row>
    <row r="14" spans="1:11" ht="22" customHeight="1" x14ac:dyDescent="0.35">
      <c r="A14" s="62" t="s">
        <v>579</v>
      </c>
      <c r="B14" s="63"/>
      <c r="C14" s="63"/>
      <c r="D14" s="63"/>
      <c r="E14" s="63"/>
      <c r="F14" s="63"/>
      <c r="G14" s="63"/>
      <c r="H14" s="63"/>
      <c r="I14" s="63"/>
      <c r="J14" s="63"/>
      <c r="K14" s="64"/>
    </row>
    <row r="15" spans="1:11" ht="40" customHeight="1" x14ac:dyDescent="0.35">
      <c r="A15" s="19" t="s">
        <v>564</v>
      </c>
      <c r="B15" s="7" t="s">
        <v>45</v>
      </c>
      <c r="C15" s="20" t="s">
        <v>342</v>
      </c>
      <c r="D15" s="7" t="s">
        <v>183</v>
      </c>
      <c r="E15" s="7" t="s">
        <v>387</v>
      </c>
      <c r="F15" s="7" t="s">
        <v>398</v>
      </c>
      <c r="G15" s="7" t="s">
        <v>293</v>
      </c>
      <c r="H15" s="7" t="s">
        <v>318</v>
      </c>
      <c r="I15" s="7" t="s">
        <v>322</v>
      </c>
      <c r="J15" s="7" t="s">
        <v>365</v>
      </c>
      <c r="K15" s="7" t="s">
        <v>580</v>
      </c>
    </row>
    <row r="16" spans="1:11" ht="18" customHeight="1" x14ac:dyDescent="0.35">
      <c r="A16" s="8" t="s">
        <v>569</v>
      </c>
      <c r="B16" s="9">
        <f>COUNTIFS(Tabla_Proyectos[Departamentos],"*AMAZONAS*",Tabla_Proyectos[Sistema productivo],"Aguacate Hass")</f>
        <v>0</v>
      </c>
      <c r="C16" s="10">
        <f>COUNTIFS(Tabla_Proyectos[Departamentos],"*AMAZONAS*",Tabla_Proyectos[Sistema productivo],"Lima Acida Tahití")</f>
        <v>0</v>
      </c>
      <c r="D16" s="9">
        <f>COUNTIFS(Tabla_Proyectos[Departamentos],"*AMAZONAS*",Tabla_Proyectos[Sistema productivo],"Cacao")</f>
        <v>0</v>
      </c>
      <c r="E16" s="9">
        <f>COUNTIFS(Tabla_Proyectos[Departamentos],"*AMAZONAS*",Tabla_Proyectos[Sistema productivo],"Piña")</f>
        <v>0</v>
      </c>
      <c r="F16" s="9">
        <f>COUNTIFS(Tabla_Proyectos[Departamentos],"*AMAZONAS*",Tabla_Proyectos[Sistema productivo],"Platano")</f>
        <v>0</v>
      </c>
      <c r="G16" s="9">
        <f>COUNTIFS(Tabla_Proyectos[Departamentos],"*AMAZONAS*",Tabla_Proyectos[Sistema productivo],"Chontaduro")</f>
        <v>0</v>
      </c>
      <c r="H16" s="9">
        <f>COUNTIFS(Tabla_Proyectos[Departamentos],"*AMAZONAS*",Tabla_Proyectos[Sistema productivo],"Guanábana")</f>
        <v>0</v>
      </c>
      <c r="I16" s="9">
        <f>COUNTIFS(Tabla_Proyectos[Departamentos],"*AMAZONAS*",Tabla_Proyectos[Sistema productivo],"Guayaba")</f>
        <v>0</v>
      </c>
      <c r="J16" s="9">
        <f>COUNTIFS(Tabla_Proyectos[Departamentos],"*AMAZONAS*",Tabla_Proyectos[Sistema productivo],"Naranjas")</f>
        <v>0</v>
      </c>
      <c r="K16" s="9">
        <f>COUNTIFS(Tabla_Proyectos[Departamentos],"*AMAZONAS*",Tabla_Proyectos[Sistema productivo],"Banano")</f>
        <v>0</v>
      </c>
    </row>
    <row r="17" spans="1:11" ht="18" customHeight="1" x14ac:dyDescent="0.35">
      <c r="A17" s="11" t="s">
        <v>570</v>
      </c>
      <c r="B17" s="12">
        <f>COUNTIFS(Tabla_Proyectos[Departamentos],"*ANTIOQUIA*",Tabla_Proyectos[Sistema productivo],"Aguacate Hass")</f>
        <v>1</v>
      </c>
      <c r="C17" s="13">
        <f>COUNTIFS(Tabla_Proyectos[Departamentos],"*ANTIOQUIA*",Tabla_Proyectos[Sistema productivo],"Lima Acida Tahití")</f>
        <v>0</v>
      </c>
      <c r="D17" s="12">
        <f>COUNTIFS(Tabla_Proyectos[Departamentos],"*ANTIOQUIA*",Tabla_Proyectos[Sistema productivo],"Cacao")</f>
        <v>0</v>
      </c>
      <c r="E17" s="12">
        <f>COUNTIFS(Tabla_Proyectos[Departamentos],"*ANTIOQUIA*",Tabla_Proyectos[Sistema productivo],"Piña")</f>
        <v>0</v>
      </c>
      <c r="F17" s="12">
        <f>COUNTIFS(Tabla_Proyectos[Departamentos],"*ANTIOQUIA*",Tabla_Proyectos[Sistema productivo],"Platano")</f>
        <v>0</v>
      </c>
      <c r="G17" s="12">
        <f>COUNTIFS(Tabla_Proyectos[Departamentos],"*ANTIOQUIA*",Tabla_Proyectos[Sistema productivo],"Chontaduro")</f>
        <v>0</v>
      </c>
      <c r="H17" s="12">
        <f>COUNTIFS(Tabla_Proyectos[Departamentos],"*ANTIOQUIA*",Tabla_Proyectos[Sistema productivo],"Guanábana")</f>
        <v>0</v>
      </c>
      <c r="I17" s="12">
        <f>COUNTIFS(Tabla_Proyectos[Departamentos],"*ANTIOQUIA*",Tabla_Proyectos[Sistema productivo],"Guayaba")</f>
        <v>0</v>
      </c>
      <c r="J17" s="12">
        <f>COUNTIFS(Tabla_Proyectos[Departamentos],"*ANTIOQUIA*",Tabla_Proyectos[Sistema productivo],"Naranjas")</f>
        <v>0</v>
      </c>
      <c r="K17" s="12">
        <f>COUNTIFS(Tabla_Proyectos[Departamentos],"*ANTIOQUIA*",Tabla_Proyectos[Sistema productivo],"Banano")</f>
        <v>0</v>
      </c>
    </row>
    <row r="18" spans="1:11" ht="18" customHeight="1" x14ac:dyDescent="0.35">
      <c r="A18" s="8" t="s">
        <v>571</v>
      </c>
      <c r="B18" s="9">
        <f>COUNTIFS(Tabla_Proyectos[Departamentos],"*ARAUCA*",Tabla_Proyectos[Sistema productivo],"Aguacate Hass")</f>
        <v>0</v>
      </c>
      <c r="C18" s="10">
        <f>COUNTIFS(Tabla_Proyectos[Departamentos],"*ARAUCA*",Tabla_Proyectos[Sistema productivo],"Lima Acida Tahití")</f>
        <v>0</v>
      </c>
      <c r="D18" s="9">
        <f>COUNTIFS(Tabla_Proyectos[Departamentos],"*ARAUCA*",Tabla_Proyectos[Sistema productivo],"Cacao")</f>
        <v>1</v>
      </c>
      <c r="E18" s="9">
        <f>COUNTIFS(Tabla_Proyectos[Departamentos],"*ARAUCA*",Tabla_Proyectos[Sistema productivo],"Piña")</f>
        <v>0</v>
      </c>
      <c r="F18" s="9">
        <f>COUNTIFS(Tabla_Proyectos[Departamentos],"*ARAUCA*",Tabla_Proyectos[Sistema productivo],"Platano")</f>
        <v>0</v>
      </c>
      <c r="G18" s="9">
        <f>COUNTIFS(Tabla_Proyectos[Departamentos],"*ARAUCA*",Tabla_Proyectos[Sistema productivo],"Chontaduro")</f>
        <v>0</v>
      </c>
      <c r="H18" s="9">
        <f>COUNTIFS(Tabla_Proyectos[Departamentos],"*ARAUCA*",Tabla_Proyectos[Sistema productivo],"Guanábana")</f>
        <v>0</v>
      </c>
      <c r="I18" s="9">
        <f>COUNTIFS(Tabla_Proyectos[Departamentos],"*ARAUCA*",Tabla_Proyectos[Sistema productivo],"Guayaba")</f>
        <v>0</v>
      </c>
      <c r="J18" s="9">
        <f>COUNTIFS(Tabla_Proyectos[Departamentos],"*ARAUCA*",Tabla_Proyectos[Sistema productivo],"Naranjas")</f>
        <v>0</v>
      </c>
      <c r="K18" s="9">
        <f>COUNTIFS(Tabla_Proyectos[Departamentos],"*ARAUCA*",Tabla_Proyectos[Sistema productivo],"Banano")</f>
        <v>0</v>
      </c>
    </row>
    <row r="19" spans="1:11" ht="18" customHeight="1" x14ac:dyDescent="0.35">
      <c r="A19" s="11" t="s">
        <v>572</v>
      </c>
      <c r="B19" s="12">
        <f>COUNTIFS(Tabla_Proyectos[Departamentos],"*ARCHIPIELAGO DE SAN ANDRES*",Tabla_Proyectos[Sistema productivo],"Aguacate Hass")</f>
        <v>0</v>
      </c>
      <c r="C19" s="13">
        <f>COUNTIFS(Tabla_Proyectos[Departamentos],"*ARCHIPIELAGO DE SAN ANDRES*",Tabla_Proyectos[Sistema productivo],"Lima Acida Tahití")</f>
        <v>0</v>
      </c>
      <c r="D19" s="12">
        <f>COUNTIFS(Tabla_Proyectos[Departamentos],"*ARCHIPIELAGO DE SAN ANDRES*",Tabla_Proyectos[Sistema productivo],"Cacao")</f>
        <v>0</v>
      </c>
      <c r="E19" s="12">
        <f>COUNTIFS(Tabla_Proyectos[Departamentos],"*ARCHIPIELAGO DE SAN ANDRES*",Tabla_Proyectos[Sistema productivo],"Piña")</f>
        <v>0</v>
      </c>
      <c r="F19" s="12">
        <f>COUNTIFS(Tabla_Proyectos[Departamentos],"*ARCHIPIELAGO DE SAN ANDRES*",Tabla_Proyectos[Sistema productivo],"Platano")</f>
        <v>0</v>
      </c>
      <c r="G19" s="12">
        <f>COUNTIFS(Tabla_Proyectos[Departamentos],"*ARCHIPIELAGO DE SAN ANDRES*",Tabla_Proyectos[Sistema productivo],"Chontaduro")</f>
        <v>0</v>
      </c>
      <c r="H19" s="12">
        <f>COUNTIFS(Tabla_Proyectos[Departamentos],"*ARCHIPIELAGO DE SAN ANDRES*",Tabla_Proyectos[Sistema productivo],"Guanábana")</f>
        <v>0</v>
      </c>
      <c r="I19" s="12">
        <f>COUNTIFS(Tabla_Proyectos[Departamentos],"*ARCHIPIELAGO DE SAN ANDRES*",Tabla_Proyectos[Sistema productivo],"Guayaba")</f>
        <v>0</v>
      </c>
      <c r="J19" s="12">
        <f>COUNTIFS(Tabla_Proyectos[Departamentos],"*ARCHIPIELAGO DE SAN ANDRES*",Tabla_Proyectos[Sistema productivo],"Naranjas")</f>
        <v>0</v>
      </c>
      <c r="K19" s="12">
        <f>COUNTIFS(Tabla_Proyectos[Departamentos],"*ARCHIPIELAGO DE SAN ANDRES*",Tabla_Proyectos[Sistema productivo],"Banano")</f>
        <v>0</v>
      </c>
    </row>
    <row r="20" spans="1:11" ht="18" customHeight="1" x14ac:dyDescent="0.35">
      <c r="A20" s="8" t="s">
        <v>573</v>
      </c>
      <c r="B20" s="9">
        <f>COUNTIFS(Tabla_Proyectos[Departamentos],"*ATLÁNTICO*",Tabla_Proyectos[Sistema productivo],"Aguacate Hass")</f>
        <v>0</v>
      </c>
      <c r="C20" s="10">
        <f>COUNTIFS(Tabla_Proyectos[Departamentos],"*ATLÁNTICO*",Tabla_Proyectos[Sistema productivo],"Lima Acida Tahití")</f>
        <v>0</v>
      </c>
      <c r="D20" s="9">
        <f>COUNTIFS(Tabla_Proyectos[Departamentos],"*ATLÁNTICO*",Tabla_Proyectos[Sistema productivo],"Cacao")</f>
        <v>0</v>
      </c>
      <c r="E20" s="9">
        <f>COUNTIFS(Tabla_Proyectos[Departamentos],"*ATLÁNTICO*",Tabla_Proyectos[Sistema productivo],"Piña")</f>
        <v>0</v>
      </c>
      <c r="F20" s="9">
        <f>COUNTIFS(Tabla_Proyectos[Departamentos],"*ATLÁNTICO*",Tabla_Proyectos[Sistema productivo],"Platano")</f>
        <v>0</v>
      </c>
      <c r="G20" s="9">
        <f>COUNTIFS(Tabla_Proyectos[Departamentos],"*ATLÁNTICO*",Tabla_Proyectos[Sistema productivo],"Chontaduro")</f>
        <v>0</v>
      </c>
      <c r="H20" s="9">
        <f>COUNTIFS(Tabla_Proyectos[Departamentos],"*ATLÁNTICO*",Tabla_Proyectos[Sistema productivo],"Guanábana")</f>
        <v>0</v>
      </c>
      <c r="I20" s="9">
        <f>COUNTIFS(Tabla_Proyectos[Departamentos],"*ATLÁNTICO*",Tabla_Proyectos[Sistema productivo],"Guayaba")</f>
        <v>0</v>
      </c>
      <c r="J20" s="9">
        <f>COUNTIFS(Tabla_Proyectos[Departamentos],"*ATLÁNTICO*",Tabla_Proyectos[Sistema productivo],"Naranjas")</f>
        <v>0</v>
      </c>
      <c r="K20" s="9">
        <f>COUNTIFS(Tabla_Proyectos[Departamentos],"*ATLÁNTICO*",Tabla_Proyectos[Sistema productivo],"Banano")</f>
        <v>0</v>
      </c>
    </row>
    <row r="21" spans="1:11" ht="18" customHeight="1" x14ac:dyDescent="0.35">
      <c r="A21" s="11" t="s">
        <v>575</v>
      </c>
      <c r="B21" s="12">
        <f>COUNTIFS(Tabla_Proyectos[Departamentos],"*BOGOTÁ D.C.*",Tabla_Proyectos[Sistema productivo],"Aguacate Hass")</f>
        <v>0</v>
      </c>
      <c r="C21" s="13">
        <f>COUNTIFS(Tabla_Proyectos[Departamentos],"*BOGOTÁ D.C.*",Tabla_Proyectos[Sistema productivo],"Lima Acida Tahití")</f>
        <v>0</v>
      </c>
      <c r="D21" s="12">
        <f>COUNTIFS(Tabla_Proyectos[Departamentos],"*BOGOTÁ D.C.*",Tabla_Proyectos[Sistema productivo],"Cacao")</f>
        <v>0</v>
      </c>
      <c r="E21" s="12">
        <f>COUNTIFS(Tabla_Proyectos[Departamentos],"*BOGOTÁ D.C.*",Tabla_Proyectos[Sistema productivo],"Piña")</f>
        <v>0</v>
      </c>
      <c r="F21" s="12">
        <f>COUNTIFS(Tabla_Proyectos[Departamentos],"*BOGOTÁ D.C.*",Tabla_Proyectos[Sistema productivo],"Platano")</f>
        <v>0</v>
      </c>
      <c r="G21" s="12">
        <f>COUNTIFS(Tabla_Proyectos[Departamentos],"*BOGOTÁ D.C.*",Tabla_Proyectos[Sistema productivo],"Chontaduro")</f>
        <v>0</v>
      </c>
      <c r="H21" s="12">
        <f>COUNTIFS(Tabla_Proyectos[Departamentos],"*BOGOTÁ D.C.*",Tabla_Proyectos[Sistema productivo],"Guanábana")</f>
        <v>0</v>
      </c>
      <c r="I21" s="12">
        <f>COUNTIFS(Tabla_Proyectos[Departamentos],"*BOGOTÁ D.C.*",Tabla_Proyectos[Sistema productivo],"Guayaba")</f>
        <v>0</v>
      </c>
      <c r="J21" s="12">
        <f>COUNTIFS(Tabla_Proyectos[Departamentos],"*BOGOTÁ D.C.*",Tabla_Proyectos[Sistema productivo],"Naranjas")</f>
        <v>0</v>
      </c>
      <c r="K21" s="12">
        <f>COUNTIFS(Tabla_Proyectos[Departamentos],"*BOGOTÁ D.C.*",Tabla_Proyectos[Sistema productivo],"Banano")</f>
        <v>0</v>
      </c>
    </row>
    <row r="22" spans="1:11" ht="18" customHeight="1" x14ac:dyDescent="0.35">
      <c r="A22" s="8" t="s">
        <v>576</v>
      </c>
      <c r="B22" s="9">
        <f>COUNTIFS(Tabla_Proyectos[Departamentos],"*BOLIVAR*",Tabla_Proyectos[Sistema productivo],"Aguacate Hass")</f>
        <v>0</v>
      </c>
      <c r="C22" s="10">
        <f>COUNTIFS(Tabla_Proyectos[Departamentos],"*BOLIVAR*",Tabla_Proyectos[Sistema productivo],"Lima Acida Tahití")</f>
        <v>0</v>
      </c>
      <c r="D22" s="9">
        <f>COUNTIFS(Tabla_Proyectos[Departamentos],"*BOLIVAR*",Tabla_Proyectos[Sistema productivo],"Cacao")</f>
        <v>0</v>
      </c>
      <c r="E22" s="9">
        <f>COUNTIFS(Tabla_Proyectos[Departamentos],"*BOLIVAR*",Tabla_Proyectos[Sistema productivo],"Piña")</f>
        <v>0</v>
      </c>
      <c r="F22" s="9">
        <f>COUNTIFS(Tabla_Proyectos[Departamentos],"*BOLIVAR*",Tabla_Proyectos[Sistema productivo],"Platano")</f>
        <v>0</v>
      </c>
      <c r="G22" s="9">
        <f>COUNTIFS(Tabla_Proyectos[Departamentos],"*BOLIVAR*",Tabla_Proyectos[Sistema productivo],"Chontaduro")</f>
        <v>0</v>
      </c>
      <c r="H22" s="9">
        <f>COUNTIFS(Tabla_Proyectos[Departamentos],"*BOLIVAR*",Tabla_Proyectos[Sistema productivo],"Guanábana")</f>
        <v>0</v>
      </c>
      <c r="I22" s="9">
        <f>COUNTIFS(Tabla_Proyectos[Departamentos],"*BOLIVAR*",Tabla_Proyectos[Sistema productivo],"Guayaba")</f>
        <v>0</v>
      </c>
      <c r="J22" s="9">
        <f>COUNTIFS(Tabla_Proyectos[Departamentos],"*BOLIVAR*",Tabla_Proyectos[Sistema productivo],"Naranjas")</f>
        <v>0</v>
      </c>
      <c r="K22" s="9">
        <f>COUNTIFS(Tabla_Proyectos[Departamentos],"*BOLIVAR*",Tabla_Proyectos[Sistema productivo],"Banano")</f>
        <v>0</v>
      </c>
    </row>
    <row r="23" spans="1:11" ht="18" customHeight="1" x14ac:dyDescent="0.35">
      <c r="A23" s="11" t="s">
        <v>578</v>
      </c>
      <c r="B23" s="12">
        <f>COUNTIFS(Tabla_Proyectos[Departamentos],"*BOYACÁ*",Tabla_Proyectos[Sistema productivo],"Aguacate Hass")</f>
        <v>0</v>
      </c>
      <c r="C23" s="13">
        <f>COUNTIFS(Tabla_Proyectos[Departamentos],"*BOYACÁ*",Tabla_Proyectos[Sistema productivo],"Lima Acida Tahití")</f>
        <v>0</v>
      </c>
      <c r="D23" s="12">
        <f>COUNTIFS(Tabla_Proyectos[Departamentos],"*BOYACÁ*",Tabla_Proyectos[Sistema productivo],"Cacao")</f>
        <v>0</v>
      </c>
      <c r="E23" s="12">
        <f>COUNTIFS(Tabla_Proyectos[Departamentos],"*BOYACÁ*",Tabla_Proyectos[Sistema productivo],"Piña")</f>
        <v>0</v>
      </c>
      <c r="F23" s="12">
        <f>COUNTIFS(Tabla_Proyectos[Departamentos],"*BOYACÁ*",Tabla_Proyectos[Sistema productivo],"Platano")</f>
        <v>0</v>
      </c>
      <c r="G23" s="12">
        <f>COUNTIFS(Tabla_Proyectos[Departamentos],"*BOYACÁ*",Tabla_Proyectos[Sistema productivo],"Chontaduro")</f>
        <v>0</v>
      </c>
      <c r="H23" s="12">
        <f>COUNTIFS(Tabla_Proyectos[Departamentos],"*BOYACÁ*",Tabla_Proyectos[Sistema productivo],"Guanábana")</f>
        <v>0</v>
      </c>
      <c r="I23" s="12">
        <f>COUNTIFS(Tabla_Proyectos[Departamentos],"*BOYACÁ*",Tabla_Proyectos[Sistema productivo],"Guayaba")</f>
        <v>0</v>
      </c>
      <c r="J23" s="12">
        <f>COUNTIFS(Tabla_Proyectos[Departamentos],"*BOYACÁ*",Tabla_Proyectos[Sistema productivo],"Naranjas")</f>
        <v>0</v>
      </c>
      <c r="K23" s="12">
        <f>COUNTIFS(Tabla_Proyectos[Departamentos],"*BOYACÁ*",Tabla_Proyectos[Sistema productivo],"Banano")</f>
        <v>0</v>
      </c>
    </row>
    <row r="24" spans="1:11" ht="18" customHeight="1" x14ac:dyDescent="0.35">
      <c r="A24" s="8" t="s">
        <v>581</v>
      </c>
      <c r="B24" s="9">
        <f>COUNTIFS(Tabla_Proyectos[Departamentos],"*CALDAS*",Tabla_Proyectos[Sistema productivo],"Aguacate Hass")</f>
        <v>0</v>
      </c>
      <c r="C24" s="10">
        <f>COUNTIFS(Tabla_Proyectos[Departamentos],"*CALDAS*",Tabla_Proyectos[Sistema productivo],"Lima Acida Tahití")</f>
        <v>0</v>
      </c>
      <c r="D24" s="9">
        <f>COUNTIFS(Tabla_Proyectos[Departamentos],"*CALDAS*",Tabla_Proyectos[Sistema productivo],"Cacao")</f>
        <v>2</v>
      </c>
      <c r="E24" s="9">
        <f>COUNTIFS(Tabla_Proyectos[Departamentos],"*CALDAS*",Tabla_Proyectos[Sistema productivo],"Piña")</f>
        <v>0</v>
      </c>
      <c r="F24" s="9">
        <f>COUNTIFS(Tabla_Proyectos[Departamentos],"*CALDAS*",Tabla_Proyectos[Sistema productivo],"Platano")</f>
        <v>1</v>
      </c>
      <c r="G24" s="9">
        <f>COUNTIFS(Tabla_Proyectos[Departamentos],"*CALDAS*",Tabla_Proyectos[Sistema productivo],"Chontaduro")</f>
        <v>0</v>
      </c>
      <c r="H24" s="9">
        <f>COUNTIFS(Tabla_Proyectos[Departamentos],"*CALDAS*",Tabla_Proyectos[Sistema productivo],"Guanábana")</f>
        <v>0</v>
      </c>
      <c r="I24" s="9">
        <f>COUNTIFS(Tabla_Proyectos[Departamentos],"*CALDAS*",Tabla_Proyectos[Sistema productivo],"Guayaba")</f>
        <v>0</v>
      </c>
      <c r="J24" s="9">
        <f>COUNTIFS(Tabla_Proyectos[Departamentos],"*CALDAS*",Tabla_Proyectos[Sistema productivo],"Naranjas")</f>
        <v>0</v>
      </c>
      <c r="K24" s="9">
        <f>COUNTIFS(Tabla_Proyectos[Departamentos],"*CALDAS*",Tabla_Proyectos[Sistema productivo],"Banano")</f>
        <v>0</v>
      </c>
    </row>
    <row r="25" spans="1:11" ht="18" customHeight="1" x14ac:dyDescent="0.35">
      <c r="A25" s="11" t="s">
        <v>582</v>
      </c>
      <c r="B25" s="12">
        <f>COUNTIFS(Tabla_Proyectos[Departamentos],"*CAQUETA*",Tabla_Proyectos[Sistema productivo],"Aguacate Hass")</f>
        <v>0</v>
      </c>
      <c r="C25" s="13">
        <f>COUNTIFS(Tabla_Proyectos[Departamentos],"*CAQUETA*",Tabla_Proyectos[Sistema productivo],"Lima Acida Tahití")</f>
        <v>0</v>
      </c>
      <c r="D25" s="12">
        <f>COUNTIFS(Tabla_Proyectos[Departamentos],"*CAQUETA*",Tabla_Proyectos[Sistema productivo],"Cacao")</f>
        <v>0</v>
      </c>
      <c r="E25" s="12">
        <f>COUNTIFS(Tabla_Proyectos[Departamentos],"*CAQUETA*",Tabla_Proyectos[Sistema productivo],"Piña")</f>
        <v>0</v>
      </c>
      <c r="F25" s="12">
        <f>COUNTIFS(Tabla_Proyectos[Departamentos],"*CAQUETA*",Tabla_Proyectos[Sistema productivo],"Platano")</f>
        <v>0</v>
      </c>
      <c r="G25" s="12">
        <f>COUNTIFS(Tabla_Proyectos[Departamentos],"*CAQUETA*",Tabla_Proyectos[Sistema productivo],"Chontaduro")</f>
        <v>0</v>
      </c>
      <c r="H25" s="12">
        <f>COUNTIFS(Tabla_Proyectos[Departamentos],"*CAQUETA*",Tabla_Proyectos[Sistema productivo],"Guanábana")</f>
        <v>0</v>
      </c>
      <c r="I25" s="12">
        <f>COUNTIFS(Tabla_Proyectos[Departamentos],"*CAQUETA*",Tabla_Proyectos[Sistema productivo],"Guayaba")</f>
        <v>0</v>
      </c>
      <c r="J25" s="12">
        <f>COUNTIFS(Tabla_Proyectos[Departamentos],"*CAQUETA*",Tabla_Proyectos[Sistema productivo],"Naranjas")</f>
        <v>0</v>
      </c>
      <c r="K25" s="12">
        <f>COUNTIFS(Tabla_Proyectos[Departamentos],"*CAQUETA*",Tabla_Proyectos[Sistema productivo],"Banano")</f>
        <v>0</v>
      </c>
    </row>
    <row r="26" spans="1:11" ht="18" customHeight="1" x14ac:dyDescent="0.35">
      <c r="A26" s="8" t="s">
        <v>583</v>
      </c>
      <c r="B26" s="9">
        <f>COUNTIFS(Tabla_Proyectos[Departamentos],"*CASANARE*",Tabla_Proyectos[Sistema productivo],"Aguacate Hass")</f>
        <v>0</v>
      </c>
      <c r="C26" s="10">
        <f>COUNTIFS(Tabla_Proyectos[Departamentos],"*CASANARE*",Tabla_Proyectos[Sistema productivo],"Lima Acida Tahití")</f>
        <v>0</v>
      </c>
      <c r="D26" s="9">
        <f>COUNTIFS(Tabla_Proyectos[Departamentos],"*CASANARE*",Tabla_Proyectos[Sistema productivo],"Cacao")</f>
        <v>0</v>
      </c>
      <c r="E26" s="9">
        <f>COUNTIFS(Tabla_Proyectos[Departamentos],"*CASANARE*",Tabla_Proyectos[Sistema productivo],"Piña")</f>
        <v>0</v>
      </c>
      <c r="F26" s="9">
        <f>COUNTIFS(Tabla_Proyectos[Departamentos],"*CASANARE*",Tabla_Proyectos[Sistema productivo],"Platano")</f>
        <v>0</v>
      </c>
      <c r="G26" s="9">
        <f>COUNTIFS(Tabla_Proyectos[Departamentos],"*CASANARE*",Tabla_Proyectos[Sistema productivo],"Chontaduro")</f>
        <v>0</v>
      </c>
      <c r="H26" s="9">
        <f>COUNTIFS(Tabla_Proyectos[Departamentos],"*CASANARE*",Tabla_Proyectos[Sistema productivo],"Guanábana")</f>
        <v>0</v>
      </c>
      <c r="I26" s="9">
        <f>COUNTIFS(Tabla_Proyectos[Departamentos],"*CASANARE*",Tabla_Proyectos[Sistema productivo],"Guayaba")</f>
        <v>0</v>
      </c>
      <c r="J26" s="9">
        <f>COUNTIFS(Tabla_Proyectos[Departamentos],"*CASANARE*",Tabla_Proyectos[Sistema productivo],"Naranjas")</f>
        <v>0</v>
      </c>
      <c r="K26" s="9">
        <f>COUNTIFS(Tabla_Proyectos[Departamentos],"*CASANARE*",Tabla_Proyectos[Sistema productivo],"Banano")</f>
        <v>0</v>
      </c>
    </row>
    <row r="27" spans="1:11" ht="18" customHeight="1" x14ac:dyDescent="0.35">
      <c r="A27" s="11" t="s">
        <v>584</v>
      </c>
      <c r="B27" s="12">
        <f>COUNTIFS(Tabla_Proyectos[Departamentos],"*CAUCA*",Tabla_Proyectos[Sistema productivo],"Aguacate Hass")</f>
        <v>4</v>
      </c>
      <c r="C27" s="13">
        <f>COUNTIFS(Tabla_Proyectos[Departamentos],"*CAUCA*",Tabla_Proyectos[Sistema productivo],"Lima Acida Tahití")</f>
        <v>0</v>
      </c>
      <c r="D27" s="12">
        <f>COUNTIFS(Tabla_Proyectos[Departamentos],"*CAUCA*",Tabla_Proyectos[Sistema productivo],"Cacao")</f>
        <v>1</v>
      </c>
      <c r="E27" s="12">
        <f>COUNTIFS(Tabla_Proyectos[Departamentos],"*CAUCA*",Tabla_Proyectos[Sistema productivo],"Piña")</f>
        <v>1</v>
      </c>
      <c r="F27" s="12">
        <f>COUNTIFS(Tabla_Proyectos[Departamentos],"*CAUCA*",Tabla_Proyectos[Sistema productivo],"Platano")</f>
        <v>1</v>
      </c>
      <c r="G27" s="12">
        <f>COUNTIFS(Tabla_Proyectos[Departamentos],"*CAUCA*",Tabla_Proyectos[Sistema productivo],"Chontaduro")</f>
        <v>0</v>
      </c>
      <c r="H27" s="12">
        <f>COUNTIFS(Tabla_Proyectos[Departamentos],"*CAUCA*",Tabla_Proyectos[Sistema productivo],"Guanábana")</f>
        <v>0</v>
      </c>
      <c r="I27" s="12">
        <f>COUNTIFS(Tabla_Proyectos[Departamentos],"*CAUCA*",Tabla_Proyectos[Sistema productivo],"Guayaba")</f>
        <v>0</v>
      </c>
      <c r="J27" s="12">
        <f>COUNTIFS(Tabla_Proyectos[Departamentos],"*CAUCA*",Tabla_Proyectos[Sistema productivo],"Naranjas")</f>
        <v>0</v>
      </c>
      <c r="K27" s="12">
        <f>COUNTIFS(Tabla_Proyectos[Departamentos],"*CAUCA*",Tabla_Proyectos[Sistema productivo],"Banano")</f>
        <v>0</v>
      </c>
    </row>
    <row r="28" spans="1:11" ht="18" customHeight="1" x14ac:dyDescent="0.35">
      <c r="A28" s="8" t="s">
        <v>585</v>
      </c>
      <c r="B28" s="9">
        <f>COUNTIFS(Tabla_Proyectos[Departamentos],"*CESAR*",Tabla_Proyectos[Sistema productivo],"Aguacate Hass")</f>
        <v>0</v>
      </c>
      <c r="C28" s="10">
        <f>COUNTIFS(Tabla_Proyectos[Departamentos],"*CESAR*",Tabla_Proyectos[Sistema productivo],"Lima Acida Tahití")</f>
        <v>0</v>
      </c>
      <c r="D28" s="9">
        <f>COUNTIFS(Tabla_Proyectos[Departamentos],"*CESAR*",Tabla_Proyectos[Sistema productivo],"Cacao")</f>
        <v>0</v>
      </c>
      <c r="E28" s="9">
        <f>COUNTIFS(Tabla_Proyectos[Departamentos],"*CESAR*",Tabla_Proyectos[Sistema productivo],"Piña")</f>
        <v>0</v>
      </c>
      <c r="F28" s="9">
        <f>COUNTIFS(Tabla_Proyectos[Departamentos],"*CESAR*",Tabla_Proyectos[Sistema productivo],"Platano")</f>
        <v>0</v>
      </c>
      <c r="G28" s="9">
        <f>COUNTIFS(Tabla_Proyectos[Departamentos],"*CESAR*",Tabla_Proyectos[Sistema productivo],"Chontaduro")</f>
        <v>0</v>
      </c>
      <c r="H28" s="9">
        <f>COUNTIFS(Tabla_Proyectos[Departamentos],"*CESAR*",Tabla_Proyectos[Sistema productivo],"Guanábana")</f>
        <v>0</v>
      </c>
      <c r="I28" s="9">
        <f>COUNTIFS(Tabla_Proyectos[Departamentos],"*CESAR*",Tabla_Proyectos[Sistema productivo],"Guayaba")</f>
        <v>0</v>
      </c>
      <c r="J28" s="9">
        <f>COUNTIFS(Tabla_Proyectos[Departamentos],"*CESAR*",Tabla_Proyectos[Sistema productivo],"Naranjas")</f>
        <v>0</v>
      </c>
      <c r="K28" s="9">
        <f>COUNTIFS(Tabla_Proyectos[Departamentos],"*CESAR*",Tabla_Proyectos[Sistema productivo],"Banano")</f>
        <v>0</v>
      </c>
    </row>
    <row r="29" spans="1:11" ht="18" customHeight="1" x14ac:dyDescent="0.35">
      <c r="A29" s="11" t="s">
        <v>586</v>
      </c>
      <c r="B29" s="12">
        <f>COUNTIFS(Tabla_Proyectos[Departamentos],"*CHOCO*",Tabla_Proyectos[Sistema productivo],"Aguacate Hass")</f>
        <v>0</v>
      </c>
      <c r="C29" s="13">
        <f>COUNTIFS(Tabla_Proyectos[Departamentos],"*CHOCO*",Tabla_Proyectos[Sistema productivo],"Lima Acida Tahití")</f>
        <v>0</v>
      </c>
      <c r="D29" s="12">
        <f>COUNTIFS(Tabla_Proyectos[Departamentos],"*CHOCO*",Tabla_Proyectos[Sistema productivo],"Cacao")</f>
        <v>0</v>
      </c>
      <c r="E29" s="12">
        <f>COUNTIFS(Tabla_Proyectos[Departamentos],"*CHOCO*",Tabla_Proyectos[Sistema productivo],"Piña")</f>
        <v>0</v>
      </c>
      <c r="F29" s="12">
        <f>COUNTIFS(Tabla_Proyectos[Departamentos],"*CHOCO*",Tabla_Proyectos[Sistema productivo],"Platano")</f>
        <v>0</v>
      </c>
      <c r="G29" s="12">
        <f>COUNTIFS(Tabla_Proyectos[Departamentos],"*CHOCO*",Tabla_Proyectos[Sistema productivo],"Chontaduro")</f>
        <v>0</v>
      </c>
      <c r="H29" s="12">
        <f>COUNTIFS(Tabla_Proyectos[Departamentos],"*CHOCO*",Tabla_Proyectos[Sistema productivo],"Guanábana")</f>
        <v>0</v>
      </c>
      <c r="I29" s="12">
        <f>COUNTIFS(Tabla_Proyectos[Departamentos],"*CHOCO*",Tabla_Proyectos[Sistema productivo],"Guayaba")</f>
        <v>0</v>
      </c>
      <c r="J29" s="12">
        <f>COUNTIFS(Tabla_Proyectos[Departamentos],"*CHOCO*",Tabla_Proyectos[Sistema productivo],"Naranjas")</f>
        <v>0</v>
      </c>
      <c r="K29" s="12">
        <f>COUNTIFS(Tabla_Proyectos[Departamentos],"*CHOCO*",Tabla_Proyectos[Sistema productivo],"Banano")</f>
        <v>0</v>
      </c>
    </row>
    <row r="30" spans="1:11" ht="18" customHeight="1" x14ac:dyDescent="0.35">
      <c r="A30" s="8" t="s">
        <v>587</v>
      </c>
      <c r="B30" s="9">
        <f>COUNTIFS(Tabla_Proyectos[Departamentos],"*CORDOBA*",Tabla_Proyectos[Sistema productivo],"Aguacate Hass")</f>
        <v>0</v>
      </c>
      <c r="C30" s="10">
        <f>COUNTIFS(Tabla_Proyectos[Departamentos],"*CORDOBA*",Tabla_Proyectos[Sistema productivo],"Lima Acida Tahití")</f>
        <v>0</v>
      </c>
      <c r="D30" s="9">
        <f>COUNTIFS(Tabla_Proyectos[Departamentos],"*CORDOBA*",Tabla_Proyectos[Sistema productivo],"Cacao")</f>
        <v>0</v>
      </c>
      <c r="E30" s="9">
        <f>COUNTIFS(Tabla_Proyectos[Departamentos],"*CORDOBA*",Tabla_Proyectos[Sistema productivo],"Piña")</f>
        <v>0</v>
      </c>
      <c r="F30" s="9">
        <f>COUNTIFS(Tabla_Proyectos[Departamentos],"*CORDOBA*",Tabla_Proyectos[Sistema productivo],"Platano")</f>
        <v>0</v>
      </c>
      <c r="G30" s="9">
        <f>COUNTIFS(Tabla_Proyectos[Departamentos],"*CORDOBA*",Tabla_Proyectos[Sistema productivo],"Chontaduro")</f>
        <v>0</v>
      </c>
      <c r="H30" s="9">
        <f>COUNTIFS(Tabla_Proyectos[Departamentos],"*CORDOBA*",Tabla_Proyectos[Sistema productivo],"Guanábana")</f>
        <v>0</v>
      </c>
      <c r="I30" s="9">
        <f>COUNTIFS(Tabla_Proyectos[Departamentos],"*CORDOBA*",Tabla_Proyectos[Sistema productivo],"Guayaba")</f>
        <v>0</v>
      </c>
      <c r="J30" s="9">
        <f>COUNTIFS(Tabla_Proyectos[Departamentos],"*CORDOBA*",Tabla_Proyectos[Sistema productivo],"Naranjas")</f>
        <v>0</v>
      </c>
      <c r="K30" s="9">
        <f>COUNTIFS(Tabla_Proyectos[Departamentos],"*CORDOBA*",Tabla_Proyectos[Sistema productivo],"Banano")</f>
        <v>0</v>
      </c>
    </row>
    <row r="31" spans="1:11" ht="18" customHeight="1" x14ac:dyDescent="0.35">
      <c r="A31" s="11" t="s">
        <v>588</v>
      </c>
      <c r="B31" s="12">
        <f>COUNTIFS(Tabla_Proyectos[Departamentos],"*CUNDINAMARCA*",Tabla_Proyectos[Sistema productivo],"Aguacate Hass")</f>
        <v>0</v>
      </c>
      <c r="C31" s="13">
        <f>COUNTIFS(Tabla_Proyectos[Departamentos],"*CUNDINAMARCA*",Tabla_Proyectos[Sistema productivo],"Lima Acida Tahití")</f>
        <v>0</v>
      </c>
      <c r="D31" s="12">
        <f>COUNTIFS(Tabla_Proyectos[Departamentos],"*CUNDINAMARCA*",Tabla_Proyectos[Sistema productivo],"Cacao")</f>
        <v>0</v>
      </c>
      <c r="E31" s="12">
        <f>COUNTIFS(Tabla_Proyectos[Departamentos],"*CUNDINAMARCA*",Tabla_Proyectos[Sistema productivo],"Piña")</f>
        <v>0</v>
      </c>
      <c r="F31" s="12">
        <f>COUNTIFS(Tabla_Proyectos[Departamentos],"*CUNDINAMARCA*",Tabla_Proyectos[Sistema productivo],"Platano")</f>
        <v>0</v>
      </c>
      <c r="G31" s="12">
        <f>COUNTIFS(Tabla_Proyectos[Departamentos],"*CUNDINAMARCA*",Tabla_Proyectos[Sistema productivo],"Chontaduro")</f>
        <v>0</v>
      </c>
      <c r="H31" s="12">
        <f>COUNTIFS(Tabla_Proyectos[Departamentos],"*CUNDINAMARCA*",Tabla_Proyectos[Sistema productivo],"Guanábana")</f>
        <v>0</v>
      </c>
      <c r="I31" s="12">
        <f>COUNTIFS(Tabla_Proyectos[Departamentos],"*CUNDINAMARCA*",Tabla_Proyectos[Sistema productivo],"Guayaba")</f>
        <v>0</v>
      </c>
      <c r="J31" s="12">
        <f>COUNTIFS(Tabla_Proyectos[Departamentos],"*CUNDINAMARCA*",Tabla_Proyectos[Sistema productivo],"Naranjas")</f>
        <v>0</v>
      </c>
      <c r="K31" s="12">
        <f>COUNTIFS(Tabla_Proyectos[Departamentos],"*CUNDINAMARCA*",Tabla_Proyectos[Sistema productivo],"Banano")</f>
        <v>0</v>
      </c>
    </row>
    <row r="32" spans="1:11" ht="18" customHeight="1" x14ac:dyDescent="0.35">
      <c r="A32" s="8" t="s">
        <v>589</v>
      </c>
      <c r="B32" s="9">
        <f>COUNTIFS(Tabla_Proyectos[Departamentos],"*GUAINIA*",Tabla_Proyectos[Sistema productivo],"Aguacate Hass")</f>
        <v>0</v>
      </c>
      <c r="C32" s="10">
        <f>COUNTIFS(Tabla_Proyectos[Departamentos],"*GUAINIA*",Tabla_Proyectos[Sistema productivo],"Lima Acida Tahití")</f>
        <v>0</v>
      </c>
      <c r="D32" s="9">
        <f>COUNTIFS(Tabla_Proyectos[Departamentos],"*GUAINIA*",Tabla_Proyectos[Sistema productivo],"Cacao")</f>
        <v>0</v>
      </c>
      <c r="E32" s="9">
        <f>COUNTIFS(Tabla_Proyectos[Departamentos],"*GUAINIA*",Tabla_Proyectos[Sistema productivo],"Piña")</f>
        <v>0</v>
      </c>
      <c r="F32" s="9">
        <f>COUNTIFS(Tabla_Proyectos[Departamentos],"*GUAINIA*",Tabla_Proyectos[Sistema productivo],"Platano")</f>
        <v>0</v>
      </c>
      <c r="G32" s="9">
        <f>COUNTIFS(Tabla_Proyectos[Departamentos],"*GUAINIA*",Tabla_Proyectos[Sistema productivo],"Chontaduro")</f>
        <v>0</v>
      </c>
      <c r="H32" s="9">
        <f>COUNTIFS(Tabla_Proyectos[Departamentos],"*GUAINIA*",Tabla_Proyectos[Sistema productivo],"Guanábana")</f>
        <v>0</v>
      </c>
      <c r="I32" s="9">
        <f>COUNTIFS(Tabla_Proyectos[Departamentos],"*GUAINIA*",Tabla_Proyectos[Sistema productivo],"Guayaba")</f>
        <v>0</v>
      </c>
      <c r="J32" s="9">
        <f>COUNTIFS(Tabla_Proyectos[Departamentos],"*GUAINIA*",Tabla_Proyectos[Sistema productivo],"Naranjas")</f>
        <v>0</v>
      </c>
      <c r="K32" s="9">
        <f>COUNTIFS(Tabla_Proyectos[Departamentos],"*GUAINIA*",Tabla_Proyectos[Sistema productivo],"Banano")</f>
        <v>0</v>
      </c>
    </row>
    <row r="33" spans="1:11" ht="18" customHeight="1" x14ac:dyDescent="0.35">
      <c r="A33" s="11" t="s">
        <v>590</v>
      </c>
      <c r="B33" s="12">
        <f>COUNTIFS(Tabla_Proyectos[Departamentos],"*GUAVÍARE*",Tabla_Proyectos[Sistema productivo],"Aguacate Hass")</f>
        <v>0</v>
      </c>
      <c r="C33" s="13">
        <f>COUNTIFS(Tabla_Proyectos[Departamentos],"*GUAVÍARE*",Tabla_Proyectos[Sistema productivo],"Lima Acida Tahití")</f>
        <v>0</v>
      </c>
      <c r="D33" s="12">
        <f>COUNTIFS(Tabla_Proyectos[Departamentos],"*GUAVÍARE*",Tabla_Proyectos[Sistema productivo],"Cacao")</f>
        <v>0</v>
      </c>
      <c r="E33" s="12">
        <f>COUNTIFS(Tabla_Proyectos[Departamentos],"*GUAVÍARE*",Tabla_Proyectos[Sistema productivo],"Piña")</f>
        <v>0</v>
      </c>
      <c r="F33" s="12">
        <f>COUNTIFS(Tabla_Proyectos[Departamentos],"*GUAVÍARE*",Tabla_Proyectos[Sistema productivo],"Platano")</f>
        <v>0</v>
      </c>
      <c r="G33" s="12">
        <f>COUNTIFS(Tabla_Proyectos[Departamentos],"*GUAVÍARE*",Tabla_Proyectos[Sistema productivo],"Chontaduro")</f>
        <v>0</v>
      </c>
      <c r="H33" s="12">
        <f>COUNTIFS(Tabla_Proyectos[Departamentos],"*GUAVÍARE*",Tabla_Proyectos[Sistema productivo],"Guanábana")</f>
        <v>0</v>
      </c>
      <c r="I33" s="12">
        <f>COUNTIFS(Tabla_Proyectos[Departamentos],"*GUAVÍARE*",Tabla_Proyectos[Sistema productivo],"Guayaba")</f>
        <v>0</v>
      </c>
      <c r="J33" s="12">
        <f>COUNTIFS(Tabla_Proyectos[Departamentos],"*GUAVÍARE*",Tabla_Proyectos[Sistema productivo],"Naranjas")</f>
        <v>0</v>
      </c>
      <c r="K33" s="12">
        <f>COUNTIFS(Tabla_Proyectos[Departamentos],"*GUAVÍARE*",Tabla_Proyectos[Sistema productivo],"Banano")</f>
        <v>0</v>
      </c>
    </row>
    <row r="34" spans="1:11" ht="18" customHeight="1" x14ac:dyDescent="0.35">
      <c r="A34" s="8" t="s">
        <v>591</v>
      </c>
      <c r="B34" s="9">
        <f>COUNTIFS(Tabla_Proyectos[Departamentos],"*HUILA*",Tabla_Proyectos[Sistema productivo],"Aguacate Hass")</f>
        <v>0</v>
      </c>
      <c r="C34" s="10">
        <f>COUNTIFS(Tabla_Proyectos[Departamentos],"*HUILA*",Tabla_Proyectos[Sistema productivo],"Lima Acida Tahití")</f>
        <v>0</v>
      </c>
      <c r="D34" s="9">
        <f>COUNTIFS(Tabla_Proyectos[Departamentos],"*HUILA*",Tabla_Proyectos[Sistema productivo],"Cacao")</f>
        <v>2</v>
      </c>
      <c r="E34" s="9">
        <f>COUNTIFS(Tabla_Proyectos[Departamentos],"*HUILA*",Tabla_Proyectos[Sistema productivo],"Piña")</f>
        <v>0</v>
      </c>
      <c r="F34" s="9">
        <f>COUNTIFS(Tabla_Proyectos[Departamentos],"*HUILA*",Tabla_Proyectos[Sistema productivo],"Platano")</f>
        <v>0</v>
      </c>
      <c r="G34" s="9">
        <f>COUNTIFS(Tabla_Proyectos[Departamentos],"*HUILA*",Tabla_Proyectos[Sistema productivo],"Chontaduro")</f>
        <v>0</v>
      </c>
      <c r="H34" s="9">
        <f>COUNTIFS(Tabla_Proyectos[Departamentos],"*HUILA*",Tabla_Proyectos[Sistema productivo],"Guanábana")</f>
        <v>0</v>
      </c>
      <c r="I34" s="9">
        <f>COUNTIFS(Tabla_Proyectos[Departamentos],"*HUILA*",Tabla_Proyectos[Sistema productivo],"Guayaba")</f>
        <v>0</v>
      </c>
      <c r="J34" s="9">
        <f>COUNTIFS(Tabla_Proyectos[Departamentos],"*HUILA*",Tabla_Proyectos[Sistema productivo],"Naranjas")</f>
        <v>0</v>
      </c>
      <c r="K34" s="9">
        <f>COUNTIFS(Tabla_Proyectos[Departamentos],"*HUILA*",Tabla_Proyectos[Sistema productivo],"Banano")</f>
        <v>0</v>
      </c>
    </row>
    <row r="35" spans="1:11" ht="18" customHeight="1" x14ac:dyDescent="0.35">
      <c r="A35" s="11" t="s">
        <v>592</v>
      </c>
      <c r="B35" s="12">
        <f>COUNTIFS(Tabla_Proyectos[Departamentos],"*LA GUAJIRA*",Tabla_Proyectos[Sistema productivo],"Aguacate Hass")</f>
        <v>0</v>
      </c>
      <c r="C35" s="13">
        <f>COUNTIFS(Tabla_Proyectos[Departamentos],"*LA GUAJIRA*",Tabla_Proyectos[Sistema productivo],"Lima Acida Tahití")</f>
        <v>0</v>
      </c>
      <c r="D35" s="12">
        <f>COUNTIFS(Tabla_Proyectos[Departamentos],"*LA GUAJIRA*",Tabla_Proyectos[Sistema productivo],"Cacao")</f>
        <v>0</v>
      </c>
      <c r="E35" s="12">
        <f>COUNTIFS(Tabla_Proyectos[Departamentos],"*LA GUAJIRA*",Tabla_Proyectos[Sistema productivo],"Piña")</f>
        <v>0</v>
      </c>
      <c r="F35" s="12">
        <f>COUNTIFS(Tabla_Proyectos[Departamentos],"*LA GUAJIRA*",Tabla_Proyectos[Sistema productivo],"Platano")</f>
        <v>0</v>
      </c>
      <c r="G35" s="12">
        <f>COUNTIFS(Tabla_Proyectos[Departamentos],"*LA GUAJIRA*",Tabla_Proyectos[Sistema productivo],"Chontaduro")</f>
        <v>0</v>
      </c>
      <c r="H35" s="12">
        <f>COUNTIFS(Tabla_Proyectos[Departamentos],"*LA GUAJIRA*",Tabla_Proyectos[Sistema productivo],"Guanábana")</f>
        <v>0</v>
      </c>
      <c r="I35" s="12">
        <f>COUNTIFS(Tabla_Proyectos[Departamentos],"*LA GUAJIRA*",Tabla_Proyectos[Sistema productivo],"Guayaba")</f>
        <v>0</v>
      </c>
      <c r="J35" s="12">
        <f>COUNTIFS(Tabla_Proyectos[Departamentos],"*LA GUAJIRA*",Tabla_Proyectos[Sistema productivo],"Naranjas")</f>
        <v>0</v>
      </c>
      <c r="K35" s="12">
        <f>COUNTIFS(Tabla_Proyectos[Departamentos],"*LA GUAJIRA*",Tabla_Proyectos[Sistema productivo],"Banano")</f>
        <v>0</v>
      </c>
    </row>
    <row r="36" spans="1:11" ht="18" customHeight="1" x14ac:dyDescent="0.35">
      <c r="A36" s="8" t="s">
        <v>593</v>
      </c>
      <c r="B36" s="9">
        <f>COUNTIFS(Tabla_Proyectos[Departamentos],"*MAGDALENA*",Tabla_Proyectos[Sistema productivo],"Aguacate Hass")</f>
        <v>0</v>
      </c>
      <c r="C36" s="10">
        <f>COUNTIFS(Tabla_Proyectos[Departamentos],"*MAGDALENA*",Tabla_Proyectos[Sistema productivo],"Lima Acida Tahití")</f>
        <v>0</v>
      </c>
      <c r="D36" s="9">
        <f>COUNTIFS(Tabla_Proyectos[Departamentos],"*MAGDALENA*",Tabla_Proyectos[Sistema productivo],"Cacao")</f>
        <v>0</v>
      </c>
      <c r="E36" s="9">
        <f>COUNTIFS(Tabla_Proyectos[Departamentos],"*MAGDALENA*",Tabla_Proyectos[Sistema productivo],"Piña")</f>
        <v>0</v>
      </c>
      <c r="F36" s="9">
        <f>COUNTIFS(Tabla_Proyectos[Departamentos],"*MAGDALENA*",Tabla_Proyectos[Sistema productivo],"Platano")</f>
        <v>0</v>
      </c>
      <c r="G36" s="9">
        <f>COUNTIFS(Tabla_Proyectos[Departamentos],"*MAGDALENA*",Tabla_Proyectos[Sistema productivo],"Chontaduro")</f>
        <v>0</v>
      </c>
      <c r="H36" s="9">
        <f>COUNTIFS(Tabla_Proyectos[Departamentos],"*MAGDALENA*",Tabla_Proyectos[Sistema productivo],"Guanábana")</f>
        <v>0</v>
      </c>
      <c r="I36" s="9">
        <f>COUNTIFS(Tabla_Proyectos[Departamentos],"*MAGDALENA*",Tabla_Proyectos[Sistema productivo],"Guayaba")</f>
        <v>0</v>
      </c>
      <c r="J36" s="9">
        <f>COUNTIFS(Tabla_Proyectos[Departamentos],"*MAGDALENA*",Tabla_Proyectos[Sistema productivo],"Naranjas")</f>
        <v>0</v>
      </c>
      <c r="K36" s="9">
        <f>COUNTIFS(Tabla_Proyectos[Departamentos],"*MAGDALENA*",Tabla_Proyectos[Sistema productivo],"Banano")</f>
        <v>0</v>
      </c>
    </row>
    <row r="37" spans="1:11" ht="18" customHeight="1" x14ac:dyDescent="0.35">
      <c r="A37" s="11" t="s">
        <v>594</v>
      </c>
      <c r="B37" s="12">
        <f>COUNTIFS(Tabla_Proyectos[Departamentos],"*META*",Tabla_Proyectos[Sistema productivo],"Aguacate Hass")</f>
        <v>0</v>
      </c>
      <c r="C37" s="13">
        <f>COUNTIFS(Tabla_Proyectos[Departamentos],"*META*",Tabla_Proyectos[Sistema productivo],"Lima Acida Tahití")</f>
        <v>0</v>
      </c>
      <c r="D37" s="12">
        <f>COUNTIFS(Tabla_Proyectos[Departamentos],"*META*",Tabla_Proyectos[Sistema productivo],"Cacao")</f>
        <v>0</v>
      </c>
      <c r="E37" s="12">
        <f>COUNTIFS(Tabla_Proyectos[Departamentos],"*META*",Tabla_Proyectos[Sistema productivo],"Piña")</f>
        <v>0</v>
      </c>
      <c r="F37" s="12">
        <f>COUNTIFS(Tabla_Proyectos[Departamentos],"*META*",Tabla_Proyectos[Sistema productivo],"Platano")</f>
        <v>0</v>
      </c>
      <c r="G37" s="12">
        <f>COUNTIFS(Tabla_Proyectos[Departamentos],"*META*",Tabla_Proyectos[Sistema productivo],"Chontaduro")</f>
        <v>0</v>
      </c>
      <c r="H37" s="12">
        <f>COUNTIFS(Tabla_Proyectos[Departamentos],"*META*",Tabla_Proyectos[Sistema productivo],"Guanábana")</f>
        <v>0</v>
      </c>
      <c r="I37" s="12">
        <f>COUNTIFS(Tabla_Proyectos[Departamentos],"*META*",Tabla_Proyectos[Sistema productivo],"Guayaba")</f>
        <v>0</v>
      </c>
      <c r="J37" s="12">
        <f>COUNTIFS(Tabla_Proyectos[Departamentos],"*META*",Tabla_Proyectos[Sistema productivo],"Naranjas")</f>
        <v>0</v>
      </c>
      <c r="K37" s="12">
        <f>COUNTIFS(Tabla_Proyectos[Departamentos],"*META*",Tabla_Proyectos[Sistema productivo],"Banano")</f>
        <v>0</v>
      </c>
    </row>
    <row r="38" spans="1:11" ht="18" customHeight="1" x14ac:dyDescent="0.35">
      <c r="A38" s="8" t="s">
        <v>595</v>
      </c>
      <c r="B38" s="9">
        <f>COUNTIFS(Tabla_Proyectos[Departamentos],"*NARIÑO*",Tabla_Proyectos[Sistema productivo],"Aguacate Hass")</f>
        <v>0</v>
      </c>
      <c r="C38" s="10">
        <f>COUNTIFS(Tabla_Proyectos[Departamentos],"*NARIÑO*",Tabla_Proyectos[Sistema productivo],"Lima Acida Tahití")</f>
        <v>0</v>
      </c>
      <c r="D38" s="9">
        <f>COUNTIFS(Tabla_Proyectos[Departamentos],"*NARIÑO*",Tabla_Proyectos[Sistema productivo],"Cacao")</f>
        <v>0</v>
      </c>
      <c r="E38" s="9">
        <f>COUNTIFS(Tabla_Proyectos[Departamentos],"*NARIÑO*",Tabla_Proyectos[Sistema productivo],"Piña")</f>
        <v>0</v>
      </c>
      <c r="F38" s="9">
        <f>COUNTIFS(Tabla_Proyectos[Departamentos],"*NARIÑO*",Tabla_Proyectos[Sistema productivo],"Platano")</f>
        <v>0</v>
      </c>
      <c r="G38" s="9">
        <f>COUNTIFS(Tabla_Proyectos[Departamentos],"*NARIÑO*",Tabla_Proyectos[Sistema productivo],"Chontaduro")</f>
        <v>0</v>
      </c>
      <c r="H38" s="9">
        <f>COUNTIFS(Tabla_Proyectos[Departamentos],"*NARIÑO*",Tabla_Proyectos[Sistema productivo],"Guanábana")</f>
        <v>0</v>
      </c>
      <c r="I38" s="9">
        <f>COUNTIFS(Tabla_Proyectos[Departamentos],"*NARIÑO*",Tabla_Proyectos[Sistema productivo],"Guayaba")</f>
        <v>0</v>
      </c>
      <c r="J38" s="9">
        <f>COUNTIFS(Tabla_Proyectos[Departamentos],"*NARIÑO*",Tabla_Proyectos[Sistema productivo],"Naranjas")</f>
        <v>0</v>
      </c>
      <c r="K38" s="9">
        <f>COUNTIFS(Tabla_Proyectos[Departamentos],"*NARIÑO*",Tabla_Proyectos[Sistema productivo],"Banano")</f>
        <v>0</v>
      </c>
    </row>
    <row r="39" spans="1:11" ht="18" customHeight="1" x14ac:dyDescent="0.35">
      <c r="A39" s="11" t="s">
        <v>596</v>
      </c>
      <c r="B39" s="12">
        <f>COUNTIFS(Tabla_Proyectos[Departamentos],"*NORTE DE SANTANDER*",Tabla_Proyectos[Sistema productivo],"Aguacate Hass")</f>
        <v>0</v>
      </c>
      <c r="C39" s="12">
        <f>COUNTIFS(Tabla_Proyectos[Departamentos],"*NORTE DE SANTANDER*",Tabla_Proyectos[Sistema productivo],"Lima Acida Tahití")</f>
        <v>0</v>
      </c>
      <c r="D39" s="12">
        <f>COUNTIFS(Tabla_Proyectos[Departamentos],"*NORTE DE SANTANDER*",Tabla_Proyectos[Sistema productivo],"Cacao")</f>
        <v>0</v>
      </c>
      <c r="E39" s="12">
        <f>COUNTIFS(Tabla_Proyectos[Departamentos],"*NORTE DE SANTANDER*",Tabla_Proyectos[Sistema productivo],"Piña")</f>
        <v>0</v>
      </c>
      <c r="F39" s="12">
        <f>COUNTIFS(Tabla_Proyectos[Departamentos],"*NORTE DE SANTANDER*",Tabla_Proyectos[Sistema productivo],"Platano")</f>
        <v>0</v>
      </c>
      <c r="G39" s="12">
        <f>COUNTIFS(Tabla_Proyectos[Departamentos],"*NORTE DE SANTANDER*",Tabla_Proyectos[Sistema productivo],"Chontaduro")</f>
        <v>0</v>
      </c>
      <c r="H39" s="12">
        <f>COUNTIFS(Tabla_Proyectos[Departamentos],"*NORTE DE SANTANDER*",Tabla_Proyectos[Sistema productivo],"Guanábana")</f>
        <v>0</v>
      </c>
      <c r="I39" s="12">
        <f>COUNTIFS(Tabla_Proyectos[Departamentos],"*NORTE DE SANTANDER*",Tabla_Proyectos[Sistema productivo],"Guayaba")</f>
        <v>0</v>
      </c>
      <c r="J39" s="12">
        <f>COUNTIFS(Tabla_Proyectos[Departamentos],"*NORTE DE SANTANDER*",Tabla_Proyectos[Sistema productivo],"Naranjas")</f>
        <v>0</v>
      </c>
      <c r="K39" s="12">
        <f>COUNTIFS(Tabla_Proyectos[Departamentos],"*NORTE DE SANTANDER*",Tabla_Proyectos[Sistema productivo],"Banano")</f>
        <v>0</v>
      </c>
    </row>
    <row r="40" spans="1:11" ht="18" customHeight="1" x14ac:dyDescent="0.35">
      <c r="A40" s="8" t="s">
        <v>597</v>
      </c>
      <c r="B40" s="9">
        <f>COUNTIFS(Tabla_Proyectos[Departamentos],"*PUTUMAYO*",Tabla_Proyectos[Sistema productivo],"Aguacate Hass")</f>
        <v>0</v>
      </c>
      <c r="C40" s="9">
        <f>COUNTIFS(Tabla_Proyectos[Departamentos],"*PUTUMAYO*",Tabla_Proyectos[Sistema productivo],"Lima Acida Tahití")</f>
        <v>0</v>
      </c>
      <c r="D40" s="9">
        <f>COUNTIFS(Tabla_Proyectos[Departamentos],"*PUTUMAYO*",Tabla_Proyectos[Sistema productivo],"Cacao")</f>
        <v>0</v>
      </c>
      <c r="E40" s="9">
        <f>COUNTIFS(Tabla_Proyectos[Departamentos],"*PUTUMAYO*",Tabla_Proyectos[Sistema productivo],"Piña")</f>
        <v>0</v>
      </c>
      <c r="F40" s="9">
        <f>COUNTIFS(Tabla_Proyectos[Departamentos],"*PUTUMAYO*",Tabla_Proyectos[Sistema productivo],"Platano")</f>
        <v>0</v>
      </c>
      <c r="G40" s="9">
        <f>COUNTIFS(Tabla_Proyectos[Departamentos],"*PUTUMAYO*",Tabla_Proyectos[Sistema productivo],"Chontaduro")</f>
        <v>0</v>
      </c>
      <c r="H40" s="9">
        <f>COUNTIFS(Tabla_Proyectos[Departamentos],"*PUTUMAYO*",Tabla_Proyectos[Sistema productivo],"Guanábana")</f>
        <v>0</v>
      </c>
      <c r="I40" s="9">
        <f>COUNTIFS(Tabla_Proyectos[Departamentos],"*PUTUMAYO*",Tabla_Proyectos[Sistema productivo],"Guayaba")</f>
        <v>0</v>
      </c>
      <c r="J40" s="9">
        <f>COUNTIFS(Tabla_Proyectos[Departamentos],"*PUTUMAYO*",Tabla_Proyectos[Sistema productivo],"Naranjas")</f>
        <v>0</v>
      </c>
      <c r="K40" s="9">
        <f>COUNTIFS(Tabla_Proyectos[Departamentos],"*PUTUMAYO*",Tabla_Proyectos[Sistema productivo],"Banano")</f>
        <v>0</v>
      </c>
    </row>
    <row r="41" spans="1:11" ht="18" customHeight="1" x14ac:dyDescent="0.35">
      <c r="A41" s="11" t="s">
        <v>598</v>
      </c>
      <c r="B41" s="12">
        <f>COUNTIFS(Tabla_Proyectos[Departamentos],"*QUINDIO*",Tabla_Proyectos[Sistema productivo],"Aguacate Hass")</f>
        <v>0</v>
      </c>
      <c r="C41" s="12">
        <f>COUNTIFS(Tabla_Proyectos[Departamentos],"*QUINDIO*",Tabla_Proyectos[Sistema productivo],"Lima Acida Tahití")</f>
        <v>0</v>
      </c>
      <c r="D41" s="12">
        <f>COUNTIFS(Tabla_Proyectos[Departamentos],"*QUINDIO*",Tabla_Proyectos[Sistema productivo],"Cacao")</f>
        <v>0</v>
      </c>
      <c r="E41" s="12">
        <f>COUNTIFS(Tabla_Proyectos[Departamentos],"*QUINDIO*",Tabla_Proyectos[Sistema productivo],"Piña")</f>
        <v>0</v>
      </c>
      <c r="F41" s="12">
        <f>COUNTIFS(Tabla_Proyectos[Departamentos],"*QUINDIO*",Tabla_Proyectos[Sistema productivo],"Platano")</f>
        <v>0</v>
      </c>
      <c r="G41" s="12">
        <f>COUNTIFS(Tabla_Proyectos[Departamentos],"*QUINDIO*",Tabla_Proyectos[Sistema productivo],"Chontaduro")</f>
        <v>0</v>
      </c>
      <c r="H41" s="12">
        <f>COUNTIFS(Tabla_Proyectos[Departamentos],"*QUINDIO*",Tabla_Proyectos[Sistema productivo],"Guanábana")</f>
        <v>0</v>
      </c>
      <c r="I41" s="12">
        <f>COUNTIFS(Tabla_Proyectos[Departamentos],"*QUINDIO*",Tabla_Proyectos[Sistema productivo],"Guayaba")</f>
        <v>0</v>
      </c>
      <c r="J41" s="12">
        <f>COUNTIFS(Tabla_Proyectos[Departamentos],"*QUINDIO*",Tabla_Proyectos[Sistema productivo],"Naranjas")</f>
        <v>0</v>
      </c>
      <c r="K41" s="12">
        <f>COUNTIFS(Tabla_Proyectos[Departamentos],"*QUINDIO*",Tabla_Proyectos[Sistema productivo],"Banano")</f>
        <v>0</v>
      </c>
    </row>
    <row r="42" spans="1:11" ht="18" customHeight="1" x14ac:dyDescent="0.35">
      <c r="A42" s="8" t="s">
        <v>599</v>
      </c>
      <c r="B42" s="9">
        <f>COUNTIFS(Tabla_Proyectos[Departamentos],"*RISARALDA*",Tabla_Proyectos[Sistema productivo],"Aguacate Hass")</f>
        <v>1</v>
      </c>
      <c r="C42" s="9">
        <f>COUNTIFS(Tabla_Proyectos[Departamentos],"*RISARALDA*",Tabla_Proyectos[Sistema productivo],"Lima Acida Tahití")</f>
        <v>0</v>
      </c>
      <c r="D42" s="9">
        <f>COUNTIFS(Tabla_Proyectos[Departamentos],"*RISARALDA*",Tabla_Proyectos[Sistema productivo],"Cacao")</f>
        <v>0</v>
      </c>
      <c r="E42" s="9">
        <f>COUNTIFS(Tabla_Proyectos[Departamentos],"*RISARALDA*",Tabla_Proyectos[Sistema productivo],"Piña")</f>
        <v>0</v>
      </c>
      <c r="F42" s="9">
        <f>COUNTIFS(Tabla_Proyectos[Departamentos],"*RISARALDA*",Tabla_Proyectos[Sistema productivo],"Platano")</f>
        <v>1</v>
      </c>
      <c r="G42" s="9">
        <f>COUNTIFS(Tabla_Proyectos[Departamentos],"*RISARALDA*",Tabla_Proyectos[Sistema productivo],"Chontaduro")</f>
        <v>0</v>
      </c>
      <c r="H42" s="9">
        <f>COUNTIFS(Tabla_Proyectos[Departamentos],"*RISARALDA*",Tabla_Proyectos[Sistema productivo],"Guanábana")</f>
        <v>0</v>
      </c>
      <c r="I42" s="9">
        <f>COUNTIFS(Tabla_Proyectos[Departamentos],"*RISARALDA*",Tabla_Proyectos[Sistema productivo],"Guayaba")</f>
        <v>0</v>
      </c>
      <c r="J42" s="9">
        <f>COUNTIFS(Tabla_Proyectos[Departamentos],"*RISARALDA*",Tabla_Proyectos[Sistema productivo],"Naranjas")</f>
        <v>0</v>
      </c>
      <c r="K42" s="9">
        <f>COUNTIFS(Tabla_Proyectos[Departamentos],"*RISARALDA*",Tabla_Proyectos[Sistema productivo],"Banano")</f>
        <v>0</v>
      </c>
    </row>
    <row r="43" spans="1:11" ht="18" customHeight="1" x14ac:dyDescent="0.35">
      <c r="A43" s="11" t="s">
        <v>600</v>
      </c>
      <c r="B43" s="12">
        <f>COUNTIFS(Tabla_Proyectos[Departamentos],"*SANTANDER*",Tabla_Proyectos[Sistema productivo],"Aguacate Hass")</f>
        <v>0</v>
      </c>
      <c r="C43" s="12">
        <f>COUNTIFS(Tabla_Proyectos[Departamentos],"*SANTANDER*",Tabla_Proyectos[Sistema productivo],"Lima Acida Tahití")</f>
        <v>0</v>
      </c>
      <c r="D43" s="12">
        <f>COUNTIFS(Tabla_Proyectos[Departamentos],"*SANTANDER*",Tabla_Proyectos[Sistema productivo],"Cacao")</f>
        <v>0</v>
      </c>
      <c r="E43" s="12">
        <f>COUNTIFS(Tabla_Proyectos[Departamentos],"*SANTANDER*",Tabla_Proyectos[Sistema productivo],"Piña")</f>
        <v>0</v>
      </c>
      <c r="F43" s="12">
        <f>COUNTIFS(Tabla_Proyectos[Departamentos],"*SANTANDER*",Tabla_Proyectos[Sistema productivo],"Platano")</f>
        <v>0</v>
      </c>
      <c r="G43" s="12">
        <f>COUNTIFS(Tabla_Proyectos[Departamentos],"*SANTANDER*",Tabla_Proyectos[Sistema productivo],"Chontaduro")</f>
        <v>0</v>
      </c>
      <c r="H43" s="12">
        <f>COUNTIFS(Tabla_Proyectos[Departamentos],"*SANTANDER*",Tabla_Proyectos[Sistema productivo],"Guanábana")</f>
        <v>0</v>
      </c>
      <c r="I43" s="12">
        <f>COUNTIFS(Tabla_Proyectos[Departamentos],"*SANTANDER*",Tabla_Proyectos[Sistema productivo],"Guayaba")</f>
        <v>0</v>
      </c>
      <c r="J43" s="12">
        <f>COUNTIFS(Tabla_Proyectos[Departamentos],"*SANTANDER*",Tabla_Proyectos[Sistema productivo],"Naranjas")</f>
        <v>0</v>
      </c>
      <c r="K43" s="12">
        <f>COUNTIFS(Tabla_Proyectos[Departamentos],"*SANTANDER*",Tabla_Proyectos[Sistema productivo],"Banano")</f>
        <v>0</v>
      </c>
    </row>
    <row r="44" spans="1:11" ht="18" customHeight="1" x14ac:dyDescent="0.35">
      <c r="A44" s="8" t="s">
        <v>601</v>
      </c>
      <c r="B44" s="9">
        <f>COUNTIFS(Tabla_Proyectos[Departamentos],"*SUCRE*",Tabla_Proyectos[Sistema productivo],"Aguacate Hass")</f>
        <v>0</v>
      </c>
      <c r="C44" s="9">
        <f>COUNTIFS(Tabla_Proyectos[Departamentos],"*SUCRE*",Tabla_Proyectos[Sistema productivo],"Lima Acida Tahití")</f>
        <v>0</v>
      </c>
      <c r="D44" s="9">
        <f>COUNTIFS(Tabla_Proyectos[Departamentos],"*SUCRE*",Tabla_Proyectos[Sistema productivo],"Cacao")</f>
        <v>0</v>
      </c>
      <c r="E44" s="9">
        <f>COUNTIFS(Tabla_Proyectos[Departamentos],"*SUCRE*",Tabla_Proyectos[Sistema productivo],"Piña")</f>
        <v>0</v>
      </c>
      <c r="F44" s="9">
        <f>COUNTIFS(Tabla_Proyectos[Departamentos],"*SUCRE*",Tabla_Proyectos[Sistema productivo],"Platano")</f>
        <v>0</v>
      </c>
      <c r="G44" s="9">
        <f>COUNTIFS(Tabla_Proyectos[Departamentos],"*SUCRE*",Tabla_Proyectos[Sistema productivo],"Chontaduro")</f>
        <v>0</v>
      </c>
      <c r="H44" s="9">
        <f>COUNTIFS(Tabla_Proyectos[Departamentos],"*SUCRE*",Tabla_Proyectos[Sistema productivo],"Guanábana")</f>
        <v>0</v>
      </c>
      <c r="I44" s="9">
        <f>COUNTIFS(Tabla_Proyectos[Departamentos],"*SUCRE*",Tabla_Proyectos[Sistema productivo],"Guayaba")</f>
        <v>0</v>
      </c>
      <c r="J44" s="9">
        <f>COUNTIFS(Tabla_Proyectos[Departamentos],"*SUCRE*",Tabla_Proyectos[Sistema productivo],"Naranjas")</f>
        <v>0</v>
      </c>
      <c r="K44" s="9">
        <f>COUNTIFS(Tabla_Proyectos[Departamentos],"*SUCRE*",Tabla_Proyectos[Sistema productivo],"Banano")</f>
        <v>0</v>
      </c>
    </row>
    <row r="45" spans="1:11" ht="18" customHeight="1" x14ac:dyDescent="0.35">
      <c r="A45" s="11" t="s">
        <v>602</v>
      </c>
      <c r="B45" s="12">
        <f>COUNTIFS(Tabla_Proyectos[Departamentos],"*TOLIMA*",Tabla_Proyectos[Sistema productivo],"Aguacate Hass")</f>
        <v>4</v>
      </c>
      <c r="C45" s="12">
        <f>COUNTIFS(Tabla_Proyectos[Departamentos],"*TOLIMA*",Tabla_Proyectos[Sistema productivo],"Lima Acida Tahití")</f>
        <v>0</v>
      </c>
      <c r="D45" s="12">
        <f>COUNTIFS(Tabla_Proyectos[Departamentos],"*TOLIMA*",Tabla_Proyectos[Sistema productivo],"Cacao")</f>
        <v>2</v>
      </c>
      <c r="E45" s="12">
        <f>COUNTIFS(Tabla_Proyectos[Departamentos],"*TOLIMA*",Tabla_Proyectos[Sistema productivo],"Piña")</f>
        <v>0</v>
      </c>
      <c r="F45" s="12">
        <f>COUNTIFS(Tabla_Proyectos[Departamentos],"*TOLIMA*",Tabla_Proyectos[Sistema productivo],"Platano")</f>
        <v>0</v>
      </c>
      <c r="G45" s="12">
        <f>COUNTIFS(Tabla_Proyectos[Departamentos],"*TOLIMA*",Tabla_Proyectos[Sistema productivo],"Chontaduro")</f>
        <v>0</v>
      </c>
      <c r="H45" s="12">
        <f>COUNTIFS(Tabla_Proyectos[Departamentos],"*TOLIMA*",Tabla_Proyectos[Sistema productivo],"Guanábana")</f>
        <v>0</v>
      </c>
      <c r="I45" s="12">
        <f>COUNTIFS(Tabla_Proyectos[Departamentos],"*TOLIMA*",Tabla_Proyectos[Sistema productivo],"Guayaba")</f>
        <v>0</v>
      </c>
      <c r="J45" s="12">
        <f>COUNTIFS(Tabla_Proyectos[Departamentos],"*TOLIMA*",Tabla_Proyectos[Sistema productivo],"Naranjas")</f>
        <v>0</v>
      </c>
      <c r="K45" s="12">
        <f>COUNTIFS(Tabla_Proyectos[Departamentos],"*TOLIMA*",Tabla_Proyectos[Sistema productivo],"Banano")</f>
        <v>0</v>
      </c>
    </row>
    <row r="46" spans="1:11" ht="18" customHeight="1" x14ac:dyDescent="0.35">
      <c r="A46" s="8" t="s">
        <v>603</v>
      </c>
      <c r="B46" s="9">
        <f>COUNTIFS(Tabla_Proyectos[Departamentos],"*VALLE DEL CAUCA*",Tabla_Proyectos[Sistema productivo],"Aguacate Hass")</f>
        <v>2</v>
      </c>
      <c r="C46" s="9">
        <f>COUNTIFS(Tabla_Proyectos[Departamentos],"*VALLE DEL CAUCA*",Tabla_Proyectos[Sistema productivo],"Lima Acida Tahití")</f>
        <v>0</v>
      </c>
      <c r="D46" s="9">
        <f>COUNTIFS(Tabla_Proyectos[Departamentos],"*VALLE DEL CAUCA*",Tabla_Proyectos[Sistema productivo],"Cacao")</f>
        <v>1</v>
      </c>
      <c r="E46" s="9">
        <f>COUNTIFS(Tabla_Proyectos[Departamentos],"*VALLE DEL CAUCA*",Tabla_Proyectos[Sistema productivo],"Piña")</f>
        <v>0</v>
      </c>
      <c r="F46" s="9">
        <f>COUNTIFS(Tabla_Proyectos[Departamentos],"*VALLE DEL CAUCA*",Tabla_Proyectos[Sistema productivo],"Platano")</f>
        <v>1</v>
      </c>
      <c r="G46" s="9">
        <f>COUNTIFS(Tabla_Proyectos[Departamentos],"*VALLE DEL CAUCA*",Tabla_Proyectos[Sistema productivo],"Chontaduro")</f>
        <v>0</v>
      </c>
      <c r="H46" s="9">
        <f>COUNTIFS(Tabla_Proyectos[Departamentos],"*VALLE DEL CAUCA*",Tabla_Proyectos[Sistema productivo],"Guanábana")</f>
        <v>0</v>
      </c>
      <c r="I46" s="9">
        <f>COUNTIFS(Tabla_Proyectos[Departamentos],"*VALLE DEL CAUCA*",Tabla_Proyectos[Sistema productivo],"Guayaba")</f>
        <v>0</v>
      </c>
      <c r="J46" s="9">
        <f>COUNTIFS(Tabla_Proyectos[Departamentos],"*VALLE DEL CAUCA*",Tabla_Proyectos[Sistema productivo],"Naranjas")</f>
        <v>0</v>
      </c>
      <c r="K46" s="9">
        <f>COUNTIFS(Tabla_Proyectos[Departamentos],"*VALLE DEL CAUCA*",Tabla_Proyectos[Sistema productivo],"Banano")</f>
        <v>0</v>
      </c>
    </row>
    <row r="47" spans="1:11" ht="18" customHeight="1" x14ac:dyDescent="0.35">
      <c r="A47" s="11" t="s">
        <v>604</v>
      </c>
      <c r="B47" s="12">
        <f>COUNTIFS(Tabla_Proyectos[Departamentos],"*VAUPÉS*",Tabla_Proyectos[Sistema productivo],"Aguacate Hass")</f>
        <v>0</v>
      </c>
      <c r="C47" s="12">
        <f>COUNTIFS(Tabla_Proyectos[Departamentos],"*VAUPÉS*",Tabla_Proyectos[Sistema productivo],"Lima Acida Tahití")</f>
        <v>0</v>
      </c>
      <c r="D47" s="12">
        <f>COUNTIFS(Tabla_Proyectos[Departamentos],"*VAUPÉS*",Tabla_Proyectos[Sistema productivo],"Cacao")</f>
        <v>0</v>
      </c>
      <c r="E47" s="12">
        <f>COUNTIFS(Tabla_Proyectos[Departamentos],"*VAUPÉS*",Tabla_Proyectos[Sistema productivo],"Piña")</f>
        <v>0</v>
      </c>
      <c r="F47" s="12">
        <f>COUNTIFS(Tabla_Proyectos[Departamentos],"*VAUPÉS*",Tabla_Proyectos[Sistema productivo],"Platano")</f>
        <v>0</v>
      </c>
      <c r="G47" s="12">
        <f>COUNTIFS(Tabla_Proyectos[Departamentos],"*VAUPÉS*",Tabla_Proyectos[Sistema productivo],"Chontaduro")</f>
        <v>0</v>
      </c>
      <c r="H47" s="12">
        <f>COUNTIFS(Tabla_Proyectos[Departamentos],"*VAUPÉS*",Tabla_Proyectos[Sistema productivo],"Guanábana")</f>
        <v>0</v>
      </c>
      <c r="I47" s="12">
        <f>COUNTIFS(Tabla_Proyectos[Departamentos],"*VAUPÉS*",Tabla_Proyectos[Sistema productivo],"Guayaba")</f>
        <v>0</v>
      </c>
      <c r="J47" s="12">
        <f>COUNTIFS(Tabla_Proyectos[Departamentos],"*VAUPÉS*",Tabla_Proyectos[Sistema productivo],"Naranjas")</f>
        <v>0</v>
      </c>
      <c r="K47" s="12">
        <f>COUNTIFS(Tabla_Proyectos[Departamentos],"*VAUPÉS*",Tabla_Proyectos[Sistema productivo],"Banano")</f>
        <v>0</v>
      </c>
    </row>
    <row r="48" spans="1:11" ht="18" customHeight="1" x14ac:dyDescent="0.35">
      <c r="A48" s="8" t="s">
        <v>605</v>
      </c>
      <c r="B48" s="9">
        <f>COUNTIFS(Tabla_Proyectos[Departamentos],"*VICHADA*",Tabla_Proyectos[Sistema productivo],"Aguacate Hass")</f>
        <v>0</v>
      </c>
      <c r="C48" s="9">
        <f>COUNTIFS(Tabla_Proyectos[Departamentos],"*VICHADA*",Tabla_Proyectos[Sistema productivo],"Lima Acida Tahití")</f>
        <v>0</v>
      </c>
      <c r="D48" s="9">
        <f>COUNTIFS(Tabla_Proyectos[Departamentos],"*VICHADA*",Tabla_Proyectos[Sistema productivo],"Cacao")</f>
        <v>0</v>
      </c>
      <c r="E48" s="9">
        <f>COUNTIFS(Tabla_Proyectos[Departamentos],"*VICHADA*",Tabla_Proyectos[Sistema productivo],"Piña")</f>
        <v>0</v>
      </c>
      <c r="F48" s="9">
        <f>COUNTIFS(Tabla_Proyectos[Departamentos],"*VICHADA*",Tabla_Proyectos[Sistema productivo],"Platano")</f>
        <v>0</v>
      </c>
      <c r="G48" s="9">
        <f>COUNTIFS(Tabla_Proyectos[Departamentos],"*VICHADA*",Tabla_Proyectos[Sistema productivo],"Chontaduro")</f>
        <v>0</v>
      </c>
      <c r="H48" s="9">
        <f>COUNTIFS(Tabla_Proyectos[Departamentos],"*VICHADA*",Tabla_Proyectos[Sistema productivo],"Guanábana")</f>
        <v>0</v>
      </c>
      <c r="I48" s="9">
        <f>COUNTIFS(Tabla_Proyectos[Departamentos],"*VICHADA*",Tabla_Proyectos[Sistema productivo],"Guayaba")</f>
        <v>0</v>
      </c>
      <c r="J48" s="9">
        <f>COUNTIFS(Tabla_Proyectos[Departamentos],"*VICHADA*",Tabla_Proyectos[Sistema productivo],"Naranjas")</f>
        <v>0</v>
      </c>
      <c r="K48" s="9">
        <f>COUNTIFS(Tabla_Proyectos[Departamentos],"*VICHADA*",Tabla_Proyectos[Sistema productivo],"Banano")</f>
        <v>0</v>
      </c>
    </row>
  </sheetData>
  <mergeCells count="5">
    <mergeCell ref="A1:G1"/>
    <mergeCell ref="A2:G2"/>
    <mergeCell ref="E4:G4"/>
    <mergeCell ref="A14:K14"/>
    <mergeCell ref="A4:C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F52"/>
  <sheetViews>
    <sheetView workbookViewId="0">
      <pane ySplit="5" topLeftCell="A9" activePane="bottomLeft" state="frozen"/>
      <selection pane="bottomLeft" sqref="A1:F1"/>
    </sheetView>
  </sheetViews>
  <sheetFormatPr baseColWidth="10" defaultColWidth="8.6640625" defaultRowHeight="14.5" x14ac:dyDescent="0.35"/>
  <cols>
    <col min="1" max="1" width="36" customWidth="1"/>
    <col min="2" max="2" width="20" customWidth="1"/>
    <col min="3" max="3" width="25" customWidth="1"/>
    <col min="5" max="5" width="42" customWidth="1"/>
    <col min="6" max="6" width="20" customWidth="1"/>
  </cols>
  <sheetData>
    <row r="1" spans="1:6" ht="30.05" customHeight="1" x14ac:dyDescent="0.35">
      <c r="A1" s="66" t="s">
        <v>606</v>
      </c>
      <c r="B1" s="53"/>
      <c r="C1" s="53"/>
      <c r="D1" s="53"/>
      <c r="E1" s="53"/>
      <c r="F1" s="54"/>
    </row>
    <row r="2" spans="1:6" ht="28.05" customHeight="1" x14ac:dyDescent="0.35">
      <c r="A2" s="59" t="s">
        <v>607</v>
      </c>
      <c r="B2" s="60"/>
      <c r="C2" s="60"/>
      <c r="D2" s="60"/>
      <c r="E2" s="60"/>
      <c r="F2" s="60"/>
    </row>
    <row r="4" spans="1:6" ht="22" customHeight="1" x14ac:dyDescent="0.35">
      <c r="A4" s="62" t="s">
        <v>608</v>
      </c>
      <c r="B4" s="63"/>
      <c r="C4" s="64"/>
      <c r="E4" s="62" t="s">
        <v>609</v>
      </c>
      <c r="F4" s="64"/>
    </row>
    <row r="5" spans="1:6" ht="30.05" customHeight="1" x14ac:dyDescent="0.35">
      <c r="A5" s="7" t="s">
        <v>610</v>
      </c>
      <c r="B5" s="7" t="s">
        <v>611</v>
      </c>
      <c r="C5" s="7" t="s">
        <v>612</v>
      </c>
      <c r="E5" s="7" t="s">
        <v>2</v>
      </c>
      <c r="F5" s="7" t="s">
        <v>536</v>
      </c>
    </row>
    <row r="6" spans="1:6" ht="22" customHeight="1" x14ac:dyDescent="0.35">
      <c r="A6" s="21" t="s">
        <v>24</v>
      </c>
      <c r="B6" s="22">
        <f>COUNTA(Tabla_Proyectos[Impacto técnico])</f>
        <v>8</v>
      </c>
      <c r="C6" s="23">
        <f>IFERROR(B6/COUNTA(Tabla_Proyectos[Nombre del proyecto]),0)</f>
        <v>6.0606060606060608E-2</v>
      </c>
      <c r="E6" s="21" t="s">
        <v>161</v>
      </c>
      <c r="F6" s="22">
        <f>COUNTIFS(Tabla_Proyectos[Área temática],"Manejo sanitario y fitosanitario",Tabla_Proyectos[Impacto social],"&lt;&gt;")</f>
        <v>0</v>
      </c>
    </row>
    <row r="7" spans="1:6" ht="22" customHeight="1" x14ac:dyDescent="0.35">
      <c r="A7" s="24" t="s">
        <v>25</v>
      </c>
      <c r="B7" s="25">
        <f>COUNTA(Tabla_Proyectos[Impacto económico])</f>
        <v>8</v>
      </c>
      <c r="C7" s="26">
        <f>IFERROR(B7/COUNTA(Tabla_Proyectos[Nombre del proyecto]),0)</f>
        <v>6.0606060606060608E-2</v>
      </c>
      <c r="E7" s="24" t="s">
        <v>295</v>
      </c>
      <c r="F7" s="25">
        <f>COUNTIFS(Tabla_Proyectos[Área temática],"Transf. de tecnologia, asist. técnica e innovación",Tabla_Proyectos[Impacto social],"&lt;&gt;")</f>
        <v>0</v>
      </c>
    </row>
    <row r="8" spans="1:6" ht="22" customHeight="1" x14ac:dyDescent="0.35">
      <c r="A8" s="21" t="s">
        <v>26</v>
      </c>
      <c r="B8" s="22">
        <f>COUNTA(Tabla_Proyectos[Impacto social])</f>
        <v>8</v>
      </c>
      <c r="C8" s="23">
        <f>IFERROR(B8/COUNTA(Tabla_Proyectos[Nombre del proyecto]),0)</f>
        <v>6.0606060606060608E-2</v>
      </c>
      <c r="E8" s="21" t="s">
        <v>83</v>
      </c>
      <c r="F8" s="22">
        <f>COUNTIFS(Tabla_Proyectos[Área temática],"Material de siembra y mejoramiento genético",Tabla_Proyectos[Impacto social],"&lt;&gt;")</f>
        <v>0</v>
      </c>
    </row>
    <row r="9" spans="1:6" ht="22" customHeight="1" x14ac:dyDescent="0.35">
      <c r="A9" s="24" t="s">
        <v>27</v>
      </c>
      <c r="B9" s="25">
        <f>COUNTA(Tabla_Proyectos[Impacto ambiental])</f>
        <v>8</v>
      </c>
      <c r="C9" s="26">
        <f>IFERROR(B9/COUNTA(Tabla_Proyectos[Nombre del proyecto]),0)</f>
        <v>6.0606060606060608E-2</v>
      </c>
      <c r="E9" s="24" t="s">
        <v>164</v>
      </c>
      <c r="F9" s="25">
        <f>COUNTIFS(Tabla_Proyectos[Área temática],"Manejo ambiental y sostenibilidad",Tabla_Proyectos[Impacto social],"&lt;&gt;")</f>
        <v>0</v>
      </c>
    </row>
    <row r="10" spans="1:6" ht="22" customHeight="1" x14ac:dyDescent="0.35">
      <c r="E10" s="21" t="s">
        <v>46</v>
      </c>
      <c r="F10" s="22">
        <f>COUNTIFS(Tabla_Proyectos[Área temática],"Fisiología vegetal y nutrición",Tabla_Proyectos[Impacto social],"&lt;&gt;")</f>
        <v>4</v>
      </c>
    </row>
    <row r="11" spans="1:6" ht="22" customHeight="1" x14ac:dyDescent="0.35">
      <c r="A11" s="62" t="s">
        <v>613</v>
      </c>
      <c r="B11" s="63"/>
      <c r="C11" s="64"/>
      <c r="E11" s="24" t="s">
        <v>193</v>
      </c>
      <c r="F11" s="25">
        <f>COUNTIFS(Tabla_Proyectos[Área temática],"Manejo cosecha, poscosecha y transformación",Tabla_Proyectos[Impacto social],"&lt;&gt;")</f>
        <v>4</v>
      </c>
    </row>
    <row r="12" spans="1:6" ht="22" customHeight="1" x14ac:dyDescent="0.35">
      <c r="A12" s="7" t="s">
        <v>1</v>
      </c>
      <c r="B12" s="7" t="s">
        <v>31</v>
      </c>
      <c r="C12" s="7" t="s">
        <v>32</v>
      </c>
      <c r="E12" s="21" t="s">
        <v>332</v>
      </c>
      <c r="F12" s="22">
        <f>COUNTIFS(Tabla_Proyectos[Área temática],"Manejo de suelos y aguas",Tabla_Proyectos[Impacto social],"&lt;&gt;")</f>
        <v>0</v>
      </c>
    </row>
    <row r="13" spans="1:6" ht="22" customHeight="1" x14ac:dyDescent="0.35">
      <c r="A13" s="21" t="s">
        <v>45</v>
      </c>
      <c r="B13" s="27">
        <f>SUMIF(Tabla_Proyectos[Sistema productivo],"Aguacate Hass",Tabla_Proyectos[Beneficiarios directos])</f>
        <v>2444</v>
      </c>
      <c r="C13" s="27">
        <f>SUMIF(Tabla_Proyectos[Sistema productivo],"Aguacate Hass",Tabla_Proyectos[Beneficiarios indirectos])</f>
        <v>0</v>
      </c>
      <c r="E13" s="24" t="s">
        <v>189</v>
      </c>
      <c r="F13" s="25">
        <f>COUNTIFS(Tabla_Proyectos[Área temática],"Manejo de sistemas productivos",Tabla_Proyectos[Impacto social],"&lt;&gt;")</f>
        <v>0</v>
      </c>
    </row>
    <row r="14" spans="1:6" ht="22" customHeight="1" x14ac:dyDescent="0.35">
      <c r="A14" s="24" t="s">
        <v>342</v>
      </c>
      <c r="B14" s="28">
        <f>SUMIF(Tabla_Proyectos[Sistema productivo],"Lima Acida Tahití",Tabla_Proyectos[Beneficiarios directos])</f>
        <v>0</v>
      </c>
      <c r="C14" s="28">
        <f>SUMIF(Tabla_Proyectos[Sistema productivo],"Lima Acida Tahití",Tabla_Proyectos[Beneficiarios indirectos])</f>
        <v>0</v>
      </c>
      <c r="E14" s="21" t="s">
        <v>614</v>
      </c>
      <c r="F14" s="22">
        <f>COUNTIFS(Tabla_Proyectos[Área temática],"Calidad e inocuidad de insumos y productos",Tabla_Proyectos[Impacto social],"&lt;&gt;")</f>
        <v>0</v>
      </c>
    </row>
    <row r="15" spans="1:6" ht="18" customHeight="1" x14ac:dyDescent="0.35">
      <c r="A15" s="21" t="s">
        <v>183</v>
      </c>
      <c r="B15" s="27">
        <f>SUMIF(Tabla_Proyectos[Sistema productivo],"Cacao",Tabla_Proyectos[Beneficiarios directos])</f>
        <v>0</v>
      </c>
      <c r="C15" s="27">
        <f>SUMIF(Tabla_Proyectos[Sistema productivo],"Cacao",Tabla_Proyectos[Beneficiarios indirectos])</f>
        <v>0</v>
      </c>
    </row>
    <row r="16" spans="1:6" ht="18" customHeight="1" x14ac:dyDescent="0.35">
      <c r="A16" s="24" t="s">
        <v>387</v>
      </c>
      <c r="B16" s="28">
        <f>SUMIF(Tabla_Proyectos[Sistema productivo],"Piña",Tabla_Proyectos[Beneficiarios directos])</f>
        <v>0</v>
      </c>
      <c r="C16" s="28">
        <f>SUMIF(Tabla_Proyectos[Sistema productivo],"Piña",Tabla_Proyectos[Beneficiarios indirectos])</f>
        <v>0</v>
      </c>
    </row>
    <row r="17" spans="1:3" ht="18" customHeight="1" x14ac:dyDescent="0.35">
      <c r="A17" s="21" t="s">
        <v>398</v>
      </c>
      <c r="B17" s="27">
        <f>SUMIF(Tabla_Proyectos[Sistema productivo],"Platano",Tabla_Proyectos[Beneficiarios directos])</f>
        <v>0</v>
      </c>
      <c r="C17" s="27">
        <f>SUMIF(Tabla_Proyectos[Sistema productivo],"Platano",Tabla_Proyectos[Beneficiarios indirectos])</f>
        <v>0</v>
      </c>
    </row>
    <row r="18" spans="1:3" ht="18" customHeight="1" x14ac:dyDescent="0.35">
      <c r="A18" s="24" t="s">
        <v>293</v>
      </c>
      <c r="B18" s="28">
        <f>SUMIF(Tabla_Proyectos[Sistema productivo],"Chontaduro",Tabla_Proyectos[Beneficiarios directos])</f>
        <v>0</v>
      </c>
      <c r="C18" s="28">
        <f>SUMIF(Tabla_Proyectos[Sistema productivo],"Chontaduro",Tabla_Proyectos[Beneficiarios indirectos])</f>
        <v>0</v>
      </c>
    </row>
    <row r="19" spans="1:3" ht="18" customHeight="1" x14ac:dyDescent="0.35">
      <c r="A19" s="21" t="s">
        <v>318</v>
      </c>
      <c r="B19" s="27">
        <f>SUMIF(Tabla_Proyectos[Sistema productivo],"Guanábana",Tabla_Proyectos[Beneficiarios directos])</f>
        <v>0</v>
      </c>
      <c r="C19" s="27">
        <f>SUMIF(Tabla_Proyectos[Sistema productivo],"Guanábana",Tabla_Proyectos[Beneficiarios indirectos])</f>
        <v>0</v>
      </c>
    </row>
    <row r="20" spans="1:3" ht="18" customHeight="1" x14ac:dyDescent="0.35">
      <c r="A20" s="24" t="s">
        <v>322</v>
      </c>
      <c r="B20" s="28">
        <f>SUMIF(Tabla_Proyectos[Sistema productivo],"Guayaba",Tabla_Proyectos[Beneficiarios directos])</f>
        <v>0</v>
      </c>
      <c r="C20" s="28">
        <f>SUMIF(Tabla_Proyectos[Sistema productivo],"Guayaba",Tabla_Proyectos[Beneficiarios indirectos])</f>
        <v>0</v>
      </c>
    </row>
    <row r="21" spans="1:3" ht="18" customHeight="1" x14ac:dyDescent="0.35">
      <c r="A21" s="21" t="s">
        <v>365</v>
      </c>
      <c r="B21" s="27">
        <f>SUMIF(Tabla_Proyectos[Sistema productivo],"Naranjas",Tabla_Proyectos[Beneficiarios directos])</f>
        <v>0</v>
      </c>
      <c r="C21" s="27">
        <f>SUMIF(Tabla_Proyectos[Sistema productivo],"Naranjas",Tabla_Proyectos[Beneficiarios indirectos])</f>
        <v>0</v>
      </c>
    </row>
    <row r="22" spans="1:3" ht="18" customHeight="1" x14ac:dyDescent="0.35">
      <c r="A22" s="24" t="s">
        <v>580</v>
      </c>
      <c r="B22" s="28">
        <f>SUMIF(Tabla_Proyectos[Sistema productivo],"Banano",Tabla_Proyectos[Beneficiarios directos])</f>
        <v>0</v>
      </c>
      <c r="C22" s="28">
        <f>SUMIF(Tabla_Proyectos[Sistema productivo],"Banano",Tabla_Proyectos[Beneficiarios indirectos])</f>
        <v>0</v>
      </c>
    </row>
    <row r="23" spans="1:3" ht="18" customHeight="1" x14ac:dyDescent="0.35">
      <c r="A23" s="21" t="s">
        <v>615</v>
      </c>
      <c r="B23" s="27">
        <f>SUMIF(Tabla_Proyectos[Sistema productivo],"Maiz",Tabla_Proyectos[Beneficiarios directos])</f>
        <v>0</v>
      </c>
      <c r="C23" s="27">
        <f>SUMIF(Tabla_Proyectos[Sistema productivo],"Maiz",Tabla_Proyectos[Beneficiarios indirectos])</f>
        <v>0</v>
      </c>
    </row>
    <row r="24" spans="1:3" ht="18" customHeight="1" x14ac:dyDescent="0.35">
      <c r="A24" s="24" t="s">
        <v>616</v>
      </c>
      <c r="B24" s="28">
        <f>SUMIF(Tabla_Proyectos[Sistema productivo],"Frijol",Tabla_Proyectos[Beneficiarios directos])</f>
        <v>0</v>
      </c>
      <c r="C24" s="28">
        <f>SUMIF(Tabla_Proyectos[Sistema productivo],"Frijol",Tabla_Proyectos[Beneficiarios indirectos])</f>
        <v>0</v>
      </c>
    </row>
    <row r="25" spans="1:3" ht="18" customHeight="1" x14ac:dyDescent="0.35">
      <c r="A25" s="21" t="s">
        <v>617</v>
      </c>
      <c r="B25" s="27">
        <f>SUMIF(Tabla_Proyectos[Sistema productivo],"Cebolla",Tabla_Proyectos[Beneficiarios directos])</f>
        <v>0</v>
      </c>
      <c r="C25" s="27">
        <f>SUMIF(Tabla_Proyectos[Sistema productivo],"Cebolla",Tabla_Proyectos[Beneficiarios indirectos])</f>
        <v>0</v>
      </c>
    </row>
    <row r="26" spans="1:3" ht="18" customHeight="1" x14ac:dyDescent="0.35">
      <c r="A26" s="24" t="s">
        <v>417</v>
      </c>
      <c r="B26" s="28">
        <f>SUMIF(Tabla_Proyectos[Sistema productivo],"Yuca",Tabla_Proyectos[Beneficiarios directos])</f>
        <v>300</v>
      </c>
      <c r="C26" s="28">
        <f>SUMIF(Tabla_Proyectos[Sistema productivo],"Yuca",Tabla_Proyectos[Beneficiarios indirectos])</f>
        <v>0</v>
      </c>
    </row>
    <row r="27" spans="1:3" ht="18" customHeight="1" x14ac:dyDescent="0.35">
      <c r="A27" s="21" t="s">
        <v>618</v>
      </c>
      <c r="B27" s="27">
        <f>SUMIF(Tabla_Proyectos[Sistema productivo],"Ganaderia ",Tabla_Proyectos[Beneficiarios directos])</f>
        <v>0</v>
      </c>
      <c r="C27" s="27">
        <f>SUMIF(Tabla_Proyectos[Sistema productivo],"Ganaderia ",Tabla_Proyectos[Beneficiarios indirectos])</f>
        <v>0</v>
      </c>
    </row>
    <row r="28" spans="1:3" ht="18" customHeight="1" x14ac:dyDescent="0.35">
      <c r="A28" s="24" t="s">
        <v>619</v>
      </c>
      <c r="B28" s="28">
        <f>SUMIF(Tabla_Proyectos[Sistema productivo],"Apicola",Tabla_Proyectos[Beneficiarios directos])</f>
        <v>0</v>
      </c>
      <c r="C28" s="28">
        <f>SUMIF(Tabla_Proyectos[Sistema productivo],"Apicola",Tabla_Proyectos[Beneficiarios indirectos])</f>
        <v>0</v>
      </c>
    </row>
    <row r="29" spans="1:3" ht="18" customHeight="1" x14ac:dyDescent="0.35">
      <c r="A29" s="21" t="s">
        <v>356</v>
      </c>
      <c r="B29" s="27">
        <f>SUMIF(Tabla_Proyectos[Sistema productivo],"Maracuya",Tabla_Proyectos[Beneficiarios directos])</f>
        <v>0</v>
      </c>
      <c r="C29" s="27">
        <f>SUMIF(Tabla_Proyectos[Sistema productivo],"Maracuya",Tabla_Proyectos[Beneficiarios indirectos])</f>
        <v>0</v>
      </c>
    </row>
    <row r="30" spans="1:3" ht="18" customHeight="1" x14ac:dyDescent="0.35">
      <c r="A30" s="24" t="s">
        <v>179</v>
      </c>
      <c r="B30" s="28">
        <f>SUMIF(Tabla_Proyectos[Sistema productivo],"Ají",Tabla_Proyectos[Beneficiarios directos])</f>
        <v>0</v>
      </c>
      <c r="C30" s="28">
        <f>SUMIF(Tabla_Proyectos[Sistema productivo],"Ají",Tabla_Proyectos[Beneficiarios indirectos])</f>
        <v>0</v>
      </c>
    </row>
    <row r="31" spans="1:3" ht="18" customHeight="1" x14ac:dyDescent="0.35">
      <c r="A31" s="21" t="s">
        <v>305</v>
      </c>
      <c r="B31" s="27">
        <f>SUMIF(Tabla_Proyectos[Sistema productivo],"Forestal",Tabla_Proyectos[Beneficiarios directos])</f>
        <v>0</v>
      </c>
      <c r="C31" s="27">
        <f>SUMIF(Tabla_Proyectos[Sistema productivo],"Forestal",Tabla_Proyectos[Beneficiarios indirectos])</f>
        <v>0</v>
      </c>
    </row>
    <row r="32" spans="1:3" ht="18" customHeight="1" x14ac:dyDescent="0.35">
      <c r="A32" s="24" t="s">
        <v>404</v>
      </c>
      <c r="B32" s="28">
        <f>SUMIF(Tabla_Proyectos[Sistema productivo],"Quinua",Tabla_Proyectos[Beneficiarios directos])</f>
        <v>0</v>
      </c>
      <c r="C32" s="28">
        <f>SUMIF(Tabla_Proyectos[Sistema productivo],"Quinua",Tabla_Proyectos[Beneficiarios indirectos])</f>
        <v>0</v>
      </c>
    </row>
    <row r="33" spans="1:3" ht="18" customHeight="1" x14ac:dyDescent="0.35">
      <c r="A33" s="21" t="s">
        <v>620</v>
      </c>
      <c r="B33" s="27">
        <f>SUMIF(Tabla_Proyectos[Sistema productivo],"Caña panelera",Tabla_Proyectos[Beneficiarios directos])</f>
        <v>0</v>
      </c>
      <c r="C33" s="27">
        <f>SUMIF(Tabla_Proyectos[Sistema productivo],"Caña panelera",Tabla_Proyectos[Beneficiarios indirectos])</f>
        <v>0</v>
      </c>
    </row>
    <row r="34" spans="1:3" ht="18" customHeight="1" x14ac:dyDescent="0.35">
      <c r="A34" s="24" t="s">
        <v>302</v>
      </c>
      <c r="B34" s="28">
        <f>SUMIF(Tabla_Proyectos[Sistema productivo],"Fique",Tabla_Proyectos[Beneficiarios directos])</f>
        <v>0</v>
      </c>
      <c r="C34" s="28">
        <f>SUMIF(Tabla_Proyectos[Sistema productivo],"Fique",Tabla_Proyectos[Beneficiarios indirectos])</f>
        <v>0</v>
      </c>
    </row>
    <row r="35" spans="1:3" ht="18" customHeight="1" x14ac:dyDescent="0.35">
      <c r="A35" s="21" t="s">
        <v>351</v>
      </c>
      <c r="B35" s="27">
        <f>SUMIF(Tabla_Proyectos[Sistema productivo],"Limón Pajarito",Tabla_Proyectos[Beneficiarios directos])</f>
        <v>0</v>
      </c>
      <c r="C35" s="27">
        <f>SUMIF(Tabla_Proyectos[Sistema productivo],"Limón Pajarito",Tabla_Proyectos[Beneficiarios indirectos])</f>
        <v>0</v>
      </c>
    </row>
    <row r="36" spans="1:3" ht="18" customHeight="1" x14ac:dyDescent="0.35">
      <c r="A36" s="24" t="s">
        <v>363</v>
      </c>
      <c r="B36" s="28">
        <f>SUMIF(Tabla_Proyectos[Sistema productivo],"Mora",Tabla_Proyectos[Beneficiarios directos])</f>
        <v>0</v>
      </c>
      <c r="C36" s="28">
        <f>SUMIF(Tabla_Proyectos[Sistema productivo],"Mora",Tabla_Proyectos[Beneficiarios indirectos])</f>
        <v>0</v>
      </c>
    </row>
    <row r="37" spans="1:3" ht="18" customHeight="1" x14ac:dyDescent="0.35">
      <c r="A37" s="21" t="s">
        <v>361</v>
      </c>
      <c r="B37" s="27">
        <f>SUMIF(Tabla_Proyectos[Sistema productivo],"Melón",Tabla_Proyectos[Beneficiarios directos])</f>
        <v>0</v>
      </c>
      <c r="C37" s="27">
        <f>SUMIF(Tabla_Proyectos[Sistema productivo],"Melón",Tabla_Proyectos[Beneficiarios indirectos])</f>
        <v>0</v>
      </c>
    </row>
    <row r="38" spans="1:3" ht="18" customHeight="1" x14ac:dyDescent="0.35">
      <c r="A38" s="24" t="s">
        <v>383</v>
      </c>
      <c r="B38" s="28">
        <f>SUMIF(Tabla_Proyectos[Sistema productivo],"Palma de aceite Americana",Tabla_Proyectos[Beneficiarios directos])</f>
        <v>0</v>
      </c>
      <c r="C38" s="28">
        <f>SUMIF(Tabla_Proyectos[Sistema productivo],"Palma de aceite Americana",Tabla_Proyectos[Beneficiarios indirectos])</f>
        <v>0</v>
      </c>
    </row>
    <row r="39" spans="1:3" ht="18" customHeight="1" x14ac:dyDescent="0.35">
      <c r="A39" s="21" t="s">
        <v>378</v>
      </c>
      <c r="B39" s="27">
        <f>SUMIF(Tabla_Proyectos[Sistema productivo],"Palma de aceite Africana",Tabla_Proyectos[Beneficiarios directos])</f>
        <v>0</v>
      </c>
      <c r="C39" s="27">
        <f>SUMIF(Tabla_Proyectos[Sistema productivo],"Palma de aceite Africana",Tabla_Proyectos[Beneficiarios indirectos])</f>
        <v>0</v>
      </c>
    </row>
    <row r="40" spans="1:3" ht="18" customHeight="1" x14ac:dyDescent="0.35">
      <c r="A40" s="24" t="s">
        <v>181</v>
      </c>
      <c r="B40" s="28">
        <f>SUMIF(Tabla_Proyectos[Sistema productivo],"Bancos de Germoplasma",Tabla_Proyectos[Beneficiarios directos])</f>
        <v>0</v>
      </c>
      <c r="C40" s="28">
        <f>SUMIF(Tabla_Proyectos[Sistema productivo],"Bancos de Germoplasma",Tabla_Proyectos[Beneficiarios indirectos])</f>
        <v>0</v>
      </c>
    </row>
    <row r="41" spans="1:3" ht="18" customHeight="1" x14ac:dyDescent="0.35">
      <c r="A41" s="21" t="s">
        <v>80</v>
      </c>
      <c r="B41" s="27">
        <f>SUMIF(Tabla_Proyectos[Sistema productivo],"Agraz",Tabla_Proyectos[Beneficiarios directos])</f>
        <v>0</v>
      </c>
      <c r="C41" s="27">
        <f>SUMIF(Tabla_Proyectos[Sistema productivo],"Agraz",Tabla_Proyectos[Beneficiarios indirectos])</f>
        <v>0</v>
      </c>
    </row>
    <row r="42" spans="1:3" ht="18" customHeight="1" x14ac:dyDescent="0.35">
      <c r="A42" s="24" t="s">
        <v>395</v>
      </c>
      <c r="B42" s="28">
        <f>SUMIF(Tabla_Proyectos[Sistema productivo],"Pitaya Amarilla",Tabla_Proyectos[Beneficiarios directos])</f>
        <v>0</v>
      </c>
      <c r="C42" s="28">
        <f>SUMIF(Tabla_Proyectos[Sistema productivo],"Pitaya Amarilla",Tabla_Proyectos[Beneficiarios indirectos])</f>
        <v>0</v>
      </c>
    </row>
    <row r="43" spans="1:3" ht="18" customHeight="1" x14ac:dyDescent="0.35">
      <c r="A43" s="21" t="s">
        <v>385</v>
      </c>
      <c r="B43" s="27">
        <f>SUMIF(Tabla_Proyectos[Sistema productivo],"Palmaceas",Tabla_Proyectos[Beneficiarios directos])</f>
        <v>0</v>
      </c>
      <c r="C43" s="27">
        <f>SUMIF(Tabla_Proyectos[Sistema productivo],"Palmaceas",Tabla_Proyectos[Beneficiarios indirectos])</f>
        <v>0</v>
      </c>
    </row>
    <row r="44" spans="1:3" ht="18" customHeight="1" x14ac:dyDescent="0.35">
      <c r="A44" s="24" t="s">
        <v>299</v>
      </c>
      <c r="B44" s="28">
        <f>SUMIF(Tabla_Proyectos[Sistema productivo],"Coco",Tabla_Proyectos[Beneficiarios directos])</f>
        <v>0</v>
      </c>
      <c r="C44" s="28">
        <f>SUMIF(Tabla_Proyectos[Sistema productivo],"Coco",Tabla_Proyectos[Beneficiarios indirectos])</f>
        <v>0</v>
      </c>
    </row>
    <row r="45" spans="1:3" ht="18" customHeight="1" x14ac:dyDescent="0.35">
      <c r="A45" s="21" t="s">
        <v>156</v>
      </c>
      <c r="B45" s="27">
        <f>SUMIF(Tabla_Proyectos[Sistema productivo],"Otro",Tabla_Proyectos[Beneficiarios directos])</f>
        <v>0</v>
      </c>
      <c r="C45" s="27">
        <f>SUMIF(Tabla_Proyectos[Sistema productivo],"Otro",Tabla_Proyectos[Beneficiarios indirectos])</f>
        <v>0</v>
      </c>
    </row>
    <row r="46" spans="1:3" ht="18" customHeight="1" x14ac:dyDescent="0.35">
      <c r="A46" s="29" t="s">
        <v>577</v>
      </c>
      <c r="B46" s="30">
        <f>SUM(B13:B45)</f>
        <v>2744</v>
      </c>
      <c r="C46" s="30">
        <f>SUM(C13:C45)</f>
        <v>0</v>
      </c>
    </row>
    <row r="48" spans="1:3" ht="22" customHeight="1" x14ac:dyDescent="0.35">
      <c r="A48" s="62" t="s">
        <v>621</v>
      </c>
      <c r="B48" s="63"/>
      <c r="C48" s="64"/>
    </row>
    <row r="49" spans="1:3" ht="20" customHeight="1" x14ac:dyDescent="0.35">
      <c r="A49" s="7" t="s">
        <v>622</v>
      </c>
      <c r="B49" s="7" t="s">
        <v>623</v>
      </c>
      <c r="C49" s="7" t="s">
        <v>624</v>
      </c>
    </row>
    <row r="50" spans="1:3" ht="18" customHeight="1" x14ac:dyDescent="0.35">
      <c r="A50" s="21" t="s">
        <v>625</v>
      </c>
      <c r="B50" s="27">
        <f>COUNTA(Tabla_Proyectos[Monto del proyecto])</f>
        <v>7</v>
      </c>
      <c r="C50" s="21" t="s">
        <v>626</v>
      </c>
    </row>
    <row r="51" spans="1:3" ht="18" customHeight="1" x14ac:dyDescent="0.35">
      <c r="A51" s="24" t="s">
        <v>627</v>
      </c>
      <c r="B51" s="28">
        <f>IFERROR(SUM(Tabla_Proyectos[Monto del proyecto]),0)</f>
        <v>30093566725</v>
      </c>
      <c r="C51" s="24" t="s">
        <v>628</v>
      </c>
    </row>
    <row r="52" spans="1:3" ht="18" customHeight="1" x14ac:dyDescent="0.35">
      <c r="A52" s="21" t="s">
        <v>629</v>
      </c>
      <c r="B52" s="27">
        <f>IFERROR(B51/B50,0)</f>
        <v>4299080960.7142859</v>
      </c>
      <c r="C52" s="21" t="s">
        <v>630</v>
      </c>
    </row>
  </sheetData>
  <mergeCells count="6">
    <mergeCell ref="A48:C48"/>
    <mergeCell ref="A2:F2"/>
    <mergeCell ref="E4:F4"/>
    <mergeCell ref="A11:C11"/>
    <mergeCell ref="A1:F1"/>
    <mergeCell ref="A4:C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8C00"/>
  </sheetPr>
  <dimension ref="A1:N89"/>
  <sheetViews>
    <sheetView workbookViewId="0">
      <pane ySplit="5" topLeftCell="A6" activePane="bottomLeft" state="frozen"/>
      <selection pane="bottomLeft" sqref="A1:K1"/>
    </sheetView>
  </sheetViews>
  <sheetFormatPr baseColWidth="10" defaultColWidth="8.6640625" defaultRowHeight="14.5" x14ac:dyDescent="0.35"/>
  <cols>
    <col min="1" max="1" width="14" customWidth="1"/>
    <col min="2" max="2" width="24" customWidth="1"/>
    <col min="3" max="3" width="36" customWidth="1"/>
    <col min="5" max="5" width="32" customWidth="1"/>
    <col min="6" max="15" width="10" customWidth="1"/>
  </cols>
  <sheetData>
    <row r="1" spans="1:14" ht="30.05" customHeight="1" x14ac:dyDescent="0.35">
      <c r="A1" s="66" t="s">
        <v>631</v>
      </c>
      <c r="B1" s="53"/>
      <c r="C1" s="53"/>
      <c r="D1" s="53"/>
      <c r="E1" s="53"/>
      <c r="F1" s="53"/>
      <c r="G1" s="53"/>
      <c r="H1" s="53"/>
      <c r="I1" s="53"/>
      <c r="J1" s="53"/>
      <c r="K1" s="54"/>
    </row>
    <row r="2" spans="1:14" ht="28.05" customHeight="1" x14ac:dyDescent="0.35">
      <c r="A2" s="59" t="s">
        <v>632</v>
      </c>
      <c r="B2" s="60"/>
      <c r="C2" s="60"/>
      <c r="D2" s="60"/>
      <c r="E2" s="60"/>
      <c r="F2" s="60"/>
      <c r="G2" s="60"/>
      <c r="H2" s="60"/>
      <c r="I2" s="60"/>
      <c r="J2" s="60"/>
      <c r="K2" s="60"/>
    </row>
    <row r="4" spans="1:14" ht="22" customHeight="1" x14ac:dyDescent="0.35">
      <c r="A4" s="62" t="s">
        <v>633</v>
      </c>
      <c r="B4" s="63"/>
      <c r="C4" s="64"/>
      <c r="E4" s="62" t="s">
        <v>634</v>
      </c>
      <c r="F4" s="63"/>
      <c r="G4" s="63"/>
      <c r="H4" s="63"/>
      <c r="I4" s="63"/>
      <c r="J4" s="63"/>
      <c r="K4" s="64"/>
    </row>
    <row r="5" spans="1:14" ht="20" customHeight="1" x14ac:dyDescent="0.35">
      <c r="A5" s="7" t="s">
        <v>635</v>
      </c>
      <c r="B5" s="7" t="s">
        <v>437</v>
      </c>
      <c r="C5" s="7" t="s">
        <v>636</v>
      </c>
      <c r="E5" s="7" t="s">
        <v>1</v>
      </c>
      <c r="F5" s="7" t="s">
        <v>637</v>
      </c>
      <c r="G5" s="7" t="s">
        <v>638</v>
      </c>
      <c r="H5" s="7" t="s">
        <v>639</v>
      </c>
      <c r="I5" s="7" t="s">
        <v>640</v>
      </c>
      <c r="J5" s="7" t="s">
        <v>641</v>
      </c>
      <c r="K5" s="7" t="s">
        <v>642</v>
      </c>
      <c r="L5" s="7" t="s">
        <v>643</v>
      </c>
      <c r="M5" s="7" t="s">
        <v>644</v>
      </c>
      <c r="N5" s="7" t="s">
        <v>645</v>
      </c>
    </row>
    <row r="6" spans="1:14" ht="18" customHeight="1" x14ac:dyDescent="0.35">
      <c r="A6" s="29" t="s">
        <v>637</v>
      </c>
      <c r="B6" s="21" t="s">
        <v>646</v>
      </c>
      <c r="C6" s="21" t="s">
        <v>647</v>
      </c>
      <c r="E6" s="21" t="s">
        <v>45</v>
      </c>
      <c r="F6" s="22">
        <f>COUNTIFS(Tabla_Proyectos[Sistema productivo],"Aguacate Hass",Tabla_Proyectos[TRL final],"1")</f>
        <v>0</v>
      </c>
      <c r="G6" s="22">
        <f>COUNTIFS(Tabla_Proyectos[Sistema productivo],"Aguacate Hass",Tabla_Proyectos[TRL final],"2")</f>
        <v>0</v>
      </c>
      <c r="H6" s="22">
        <f>COUNTIFS(Tabla_Proyectos[Sistema productivo],"Aguacate Hass",Tabla_Proyectos[TRL final],"3")</f>
        <v>0</v>
      </c>
      <c r="I6" s="22">
        <f>COUNTIFS(Tabla_Proyectos[Sistema productivo],"Aguacate Hass",Tabla_Proyectos[TRL final],"4")</f>
        <v>0</v>
      </c>
      <c r="J6" s="22">
        <f>COUNTIFS(Tabla_Proyectos[Sistema productivo],"Aguacate Hass",Tabla_Proyectos[TRL final],"5")</f>
        <v>1</v>
      </c>
      <c r="K6" s="22">
        <f>COUNTIFS(Tabla_Proyectos[Sistema productivo],"Aguacate Hass",Tabla_Proyectos[TRL final],"6")</f>
        <v>0</v>
      </c>
      <c r="L6" s="22">
        <f>COUNTIFS(Tabla_Proyectos[Sistema productivo],"Aguacate Hass",Tabla_Proyectos[TRL final],"7")</f>
        <v>1</v>
      </c>
      <c r="M6" s="22">
        <f>COUNTIFS(Tabla_Proyectos[Sistema productivo],"Aguacate Hass",Tabla_Proyectos[TRL final],"8")</f>
        <v>1</v>
      </c>
      <c r="N6" s="22">
        <f>COUNTIFS(Tabla_Proyectos[Sistema productivo],"Aguacate Hass",Tabla_Proyectos[TRL final],"9")</f>
        <v>0</v>
      </c>
    </row>
    <row r="7" spans="1:14" ht="18" customHeight="1" x14ac:dyDescent="0.35">
      <c r="A7" s="31" t="s">
        <v>638</v>
      </c>
      <c r="B7" s="24" t="s">
        <v>648</v>
      </c>
      <c r="C7" s="24" t="s">
        <v>649</v>
      </c>
      <c r="E7" s="24" t="s">
        <v>342</v>
      </c>
      <c r="F7" s="25">
        <f>COUNTIFS(Tabla_Proyectos[Sistema productivo],"Lima Acida Tahití",Tabla_Proyectos[TRL final],"1")</f>
        <v>0</v>
      </c>
      <c r="G7" s="25">
        <f>COUNTIFS(Tabla_Proyectos[Sistema productivo],"Lima Acida Tahití",Tabla_Proyectos[TRL final],"2")</f>
        <v>0</v>
      </c>
      <c r="H7" s="25">
        <f>COUNTIFS(Tabla_Proyectos[Sistema productivo],"Lima Acida Tahití",Tabla_Proyectos[TRL final],"3")</f>
        <v>0</v>
      </c>
      <c r="I7" s="25">
        <f>COUNTIFS(Tabla_Proyectos[Sistema productivo],"Lima Acida Tahití",Tabla_Proyectos[TRL final],"4")</f>
        <v>0</v>
      </c>
      <c r="J7" s="25">
        <f>COUNTIFS(Tabla_Proyectos[Sistema productivo],"Lima Acida Tahití",Tabla_Proyectos[TRL final],"5")</f>
        <v>0</v>
      </c>
      <c r="K7" s="25">
        <f>COUNTIFS(Tabla_Proyectos[Sistema productivo],"Lima Acida Tahití",Tabla_Proyectos[TRL final],"6")</f>
        <v>0</v>
      </c>
      <c r="L7" s="25">
        <f>COUNTIFS(Tabla_Proyectos[Sistema productivo],"Lima Acida Tahití",Tabla_Proyectos[TRL final],"7")</f>
        <v>0</v>
      </c>
      <c r="M7" s="25">
        <f>COUNTIFS(Tabla_Proyectos[Sistema productivo],"Lima Acida Tahití",Tabla_Proyectos[TRL final],"8")</f>
        <v>0</v>
      </c>
      <c r="N7" s="25">
        <f>COUNTIFS(Tabla_Proyectos[Sistema productivo],"Lima Acida Tahití",Tabla_Proyectos[TRL final],"9")</f>
        <v>0</v>
      </c>
    </row>
    <row r="8" spans="1:14" ht="18" customHeight="1" x14ac:dyDescent="0.35">
      <c r="A8" s="29" t="s">
        <v>639</v>
      </c>
      <c r="B8" s="21" t="s">
        <v>650</v>
      </c>
      <c r="C8" s="21" t="s">
        <v>651</v>
      </c>
      <c r="E8" s="21" t="s">
        <v>183</v>
      </c>
      <c r="F8" s="22">
        <f>COUNTIFS(Tabla_Proyectos[Sistema productivo],"Cacao",Tabla_Proyectos[TRL final],"1")</f>
        <v>0</v>
      </c>
      <c r="G8" s="22">
        <f>COUNTIFS(Tabla_Proyectos[Sistema productivo],"Cacao",Tabla_Proyectos[TRL final],"2")</f>
        <v>0</v>
      </c>
      <c r="H8" s="22">
        <f>COUNTIFS(Tabla_Proyectos[Sistema productivo],"Cacao",Tabla_Proyectos[TRL final],"3")</f>
        <v>0</v>
      </c>
      <c r="I8" s="22">
        <f>COUNTIFS(Tabla_Proyectos[Sistema productivo],"Cacao",Tabla_Proyectos[TRL final],"4")</f>
        <v>0</v>
      </c>
      <c r="J8" s="22">
        <f>COUNTIFS(Tabla_Proyectos[Sistema productivo],"Cacao",Tabla_Proyectos[TRL final],"5")</f>
        <v>1</v>
      </c>
      <c r="K8" s="22">
        <f>COUNTIFS(Tabla_Proyectos[Sistema productivo],"Cacao",Tabla_Proyectos[TRL final],"6")</f>
        <v>2</v>
      </c>
      <c r="L8" s="22">
        <f>COUNTIFS(Tabla_Proyectos[Sistema productivo],"Cacao",Tabla_Proyectos[TRL final],"7")</f>
        <v>1</v>
      </c>
      <c r="M8" s="22">
        <f>COUNTIFS(Tabla_Proyectos[Sistema productivo],"Cacao",Tabla_Proyectos[TRL final],"8")</f>
        <v>0</v>
      </c>
      <c r="N8" s="22">
        <f>COUNTIFS(Tabla_Proyectos[Sistema productivo],"Cacao",Tabla_Proyectos[TRL final],"9")</f>
        <v>0</v>
      </c>
    </row>
    <row r="9" spans="1:14" ht="18" customHeight="1" x14ac:dyDescent="0.35">
      <c r="A9" s="31" t="s">
        <v>640</v>
      </c>
      <c r="B9" s="24" t="s">
        <v>652</v>
      </c>
      <c r="C9" s="24" t="s">
        <v>653</v>
      </c>
      <c r="E9" s="24" t="s">
        <v>387</v>
      </c>
      <c r="F9" s="25">
        <f>COUNTIFS(Tabla_Proyectos[Sistema productivo],"Piña",Tabla_Proyectos[TRL final],"1")</f>
        <v>0</v>
      </c>
      <c r="G9" s="25">
        <f>COUNTIFS(Tabla_Proyectos[Sistema productivo],"Piña",Tabla_Proyectos[TRL final],"2")</f>
        <v>0</v>
      </c>
      <c r="H9" s="25">
        <f>COUNTIFS(Tabla_Proyectos[Sistema productivo],"Piña",Tabla_Proyectos[TRL final],"3")</f>
        <v>0</v>
      </c>
      <c r="I9" s="25">
        <f>COUNTIFS(Tabla_Proyectos[Sistema productivo],"Piña",Tabla_Proyectos[TRL final],"4")</f>
        <v>0</v>
      </c>
      <c r="J9" s="25">
        <f>COUNTIFS(Tabla_Proyectos[Sistema productivo],"Piña",Tabla_Proyectos[TRL final],"5")</f>
        <v>0</v>
      </c>
      <c r="K9" s="25">
        <f>COUNTIFS(Tabla_Proyectos[Sistema productivo],"Piña",Tabla_Proyectos[TRL final],"6")</f>
        <v>0</v>
      </c>
      <c r="L9" s="25">
        <f>COUNTIFS(Tabla_Proyectos[Sistema productivo],"Piña",Tabla_Proyectos[TRL final],"7")</f>
        <v>0</v>
      </c>
      <c r="M9" s="25">
        <f>COUNTIFS(Tabla_Proyectos[Sistema productivo],"Piña",Tabla_Proyectos[TRL final],"8")</f>
        <v>0</v>
      </c>
      <c r="N9" s="25">
        <f>COUNTIFS(Tabla_Proyectos[Sistema productivo],"Piña",Tabla_Proyectos[TRL final],"9")</f>
        <v>0</v>
      </c>
    </row>
    <row r="10" spans="1:14" ht="18" customHeight="1" x14ac:dyDescent="0.35">
      <c r="A10" s="29" t="s">
        <v>641</v>
      </c>
      <c r="B10" s="21" t="s">
        <v>654</v>
      </c>
      <c r="C10" s="21" t="s">
        <v>655</v>
      </c>
      <c r="E10" s="21" t="s">
        <v>398</v>
      </c>
      <c r="F10" s="22">
        <f>COUNTIFS(Tabla_Proyectos[Sistema productivo],"Platano",Tabla_Proyectos[TRL final],"1")</f>
        <v>0</v>
      </c>
      <c r="G10" s="22">
        <f>COUNTIFS(Tabla_Proyectos[Sistema productivo],"Platano",Tabla_Proyectos[TRL final],"2")</f>
        <v>0</v>
      </c>
      <c r="H10" s="22">
        <f>COUNTIFS(Tabla_Proyectos[Sistema productivo],"Platano",Tabla_Proyectos[TRL final],"3")</f>
        <v>0</v>
      </c>
      <c r="I10" s="22">
        <f>COUNTIFS(Tabla_Proyectos[Sistema productivo],"Platano",Tabla_Proyectos[TRL final],"4")</f>
        <v>0</v>
      </c>
      <c r="J10" s="22">
        <f>COUNTIFS(Tabla_Proyectos[Sistema productivo],"Platano",Tabla_Proyectos[TRL final],"5")</f>
        <v>0</v>
      </c>
      <c r="K10" s="22">
        <f>COUNTIFS(Tabla_Proyectos[Sistema productivo],"Platano",Tabla_Proyectos[TRL final],"6")</f>
        <v>0</v>
      </c>
      <c r="L10" s="22">
        <f>COUNTIFS(Tabla_Proyectos[Sistema productivo],"Platano",Tabla_Proyectos[TRL final],"7")</f>
        <v>0</v>
      </c>
      <c r="M10" s="22">
        <f>COUNTIFS(Tabla_Proyectos[Sistema productivo],"Platano",Tabla_Proyectos[TRL final],"8")</f>
        <v>0</v>
      </c>
      <c r="N10" s="22">
        <f>COUNTIFS(Tabla_Proyectos[Sistema productivo],"Platano",Tabla_Proyectos[TRL final],"9")</f>
        <v>0</v>
      </c>
    </row>
    <row r="11" spans="1:14" ht="18" customHeight="1" x14ac:dyDescent="0.35">
      <c r="A11" s="31" t="s">
        <v>642</v>
      </c>
      <c r="B11" s="24" t="s">
        <v>656</v>
      </c>
      <c r="C11" s="24" t="s">
        <v>657</v>
      </c>
      <c r="E11" s="24" t="s">
        <v>293</v>
      </c>
      <c r="F11" s="25">
        <f>COUNTIFS(Tabla_Proyectos[Sistema productivo],"Chontaduro",Tabla_Proyectos[TRL final],"1")</f>
        <v>0</v>
      </c>
      <c r="G11" s="25">
        <f>COUNTIFS(Tabla_Proyectos[Sistema productivo],"Chontaduro",Tabla_Proyectos[TRL final],"2")</f>
        <v>0</v>
      </c>
      <c r="H11" s="25">
        <f>COUNTIFS(Tabla_Proyectos[Sistema productivo],"Chontaduro",Tabla_Proyectos[TRL final],"3")</f>
        <v>0</v>
      </c>
      <c r="I11" s="25">
        <f>COUNTIFS(Tabla_Proyectos[Sistema productivo],"Chontaduro",Tabla_Proyectos[TRL final],"4")</f>
        <v>0</v>
      </c>
      <c r="J11" s="25">
        <f>COUNTIFS(Tabla_Proyectos[Sistema productivo],"Chontaduro",Tabla_Proyectos[TRL final],"5")</f>
        <v>0</v>
      </c>
      <c r="K11" s="25">
        <f>COUNTIFS(Tabla_Proyectos[Sistema productivo],"Chontaduro",Tabla_Proyectos[TRL final],"6")</f>
        <v>0</v>
      </c>
      <c r="L11" s="25">
        <f>COUNTIFS(Tabla_Proyectos[Sistema productivo],"Chontaduro",Tabla_Proyectos[TRL final],"7")</f>
        <v>0</v>
      </c>
      <c r="M11" s="25">
        <f>COUNTIFS(Tabla_Proyectos[Sistema productivo],"Chontaduro",Tabla_Proyectos[TRL final],"8")</f>
        <v>0</v>
      </c>
      <c r="N11" s="25">
        <f>COUNTIFS(Tabla_Proyectos[Sistema productivo],"Chontaduro",Tabla_Proyectos[TRL final],"9")</f>
        <v>0</v>
      </c>
    </row>
    <row r="12" spans="1:14" ht="18" customHeight="1" x14ac:dyDescent="0.35">
      <c r="A12" s="29" t="s">
        <v>643</v>
      </c>
      <c r="B12" s="21" t="s">
        <v>658</v>
      </c>
      <c r="C12" s="21" t="s">
        <v>659</v>
      </c>
      <c r="E12" s="21" t="s">
        <v>318</v>
      </c>
      <c r="F12" s="22">
        <f>COUNTIFS(Tabla_Proyectos[Sistema productivo],"Guanábana",Tabla_Proyectos[TRL final],"1")</f>
        <v>0</v>
      </c>
      <c r="G12" s="22">
        <f>COUNTIFS(Tabla_Proyectos[Sistema productivo],"Guanábana",Tabla_Proyectos[TRL final],"2")</f>
        <v>0</v>
      </c>
      <c r="H12" s="22">
        <f>COUNTIFS(Tabla_Proyectos[Sistema productivo],"Guanábana",Tabla_Proyectos[TRL final],"3")</f>
        <v>0</v>
      </c>
      <c r="I12" s="22">
        <f>COUNTIFS(Tabla_Proyectos[Sistema productivo],"Guanábana",Tabla_Proyectos[TRL final],"4")</f>
        <v>0</v>
      </c>
      <c r="J12" s="22">
        <f>COUNTIFS(Tabla_Proyectos[Sistema productivo],"Guanábana",Tabla_Proyectos[TRL final],"5")</f>
        <v>0</v>
      </c>
      <c r="K12" s="22">
        <f>COUNTIFS(Tabla_Proyectos[Sistema productivo],"Guanábana",Tabla_Proyectos[TRL final],"6")</f>
        <v>0</v>
      </c>
      <c r="L12" s="22">
        <f>COUNTIFS(Tabla_Proyectos[Sistema productivo],"Guanábana",Tabla_Proyectos[TRL final],"7")</f>
        <v>0</v>
      </c>
      <c r="M12" s="22">
        <f>COUNTIFS(Tabla_Proyectos[Sistema productivo],"Guanábana",Tabla_Proyectos[TRL final],"8")</f>
        <v>0</v>
      </c>
      <c r="N12" s="22">
        <f>COUNTIFS(Tabla_Proyectos[Sistema productivo],"Guanábana",Tabla_Proyectos[TRL final],"9")</f>
        <v>0</v>
      </c>
    </row>
    <row r="13" spans="1:14" ht="18" customHeight="1" x14ac:dyDescent="0.35">
      <c r="A13" s="31" t="s">
        <v>644</v>
      </c>
      <c r="B13" s="24" t="s">
        <v>660</v>
      </c>
      <c r="C13" s="24" t="s">
        <v>661</v>
      </c>
      <c r="E13" s="24" t="s">
        <v>322</v>
      </c>
      <c r="F13" s="25">
        <f>COUNTIFS(Tabla_Proyectos[Sistema productivo],"Guayaba",Tabla_Proyectos[TRL final],"1")</f>
        <v>0</v>
      </c>
      <c r="G13" s="25">
        <f>COUNTIFS(Tabla_Proyectos[Sistema productivo],"Guayaba",Tabla_Proyectos[TRL final],"2")</f>
        <v>0</v>
      </c>
      <c r="H13" s="25">
        <f>COUNTIFS(Tabla_Proyectos[Sistema productivo],"Guayaba",Tabla_Proyectos[TRL final],"3")</f>
        <v>0</v>
      </c>
      <c r="I13" s="25">
        <f>COUNTIFS(Tabla_Proyectos[Sistema productivo],"Guayaba",Tabla_Proyectos[TRL final],"4")</f>
        <v>0</v>
      </c>
      <c r="J13" s="25">
        <f>COUNTIFS(Tabla_Proyectos[Sistema productivo],"Guayaba",Tabla_Proyectos[TRL final],"5")</f>
        <v>0</v>
      </c>
      <c r="K13" s="25">
        <f>COUNTIFS(Tabla_Proyectos[Sistema productivo],"Guayaba",Tabla_Proyectos[TRL final],"6")</f>
        <v>0</v>
      </c>
      <c r="L13" s="25">
        <f>COUNTIFS(Tabla_Proyectos[Sistema productivo],"Guayaba",Tabla_Proyectos[TRL final],"7")</f>
        <v>0</v>
      </c>
      <c r="M13" s="25">
        <f>COUNTIFS(Tabla_Proyectos[Sistema productivo],"Guayaba",Tabla_Proyectos[TRL final],"8")</f>
        <v>0</v>
      </c>
      <c r="N13" s="25">
        <f>COUNTIFS(Tabla_Proyectos[Sistema productivo],"Guayaba",Tabla_Proyectos[TRL final],"9")</f>
        <v>0</v>
      </c>
    </row>
    <row r="14" spans="1:14" ht="18" customHeight="1" x14ac:dyDescent="0.35">
      <c r="A14" s="29" t="s">
        <v>645</v>
      </c>
      <c r="B14" s="21" t="s">
        <v>662</v>
      </c>
      <c r="C14" s="21" t="s">
        <v>663</v>
      </c>
      <c r="E14" s="21" t="s">
        <v>365</v>
      </c>
      <c r="F14" s="22">
        <f>COUNTIFS(Tabla_Proyectos[Sistema productivo],"Naranjas",Tabla_Proyectos[TRL final],"1")</f>
        <v>0</v>
      </c>
      <c r="G14" s="22">
        <f>COUNTIFS(Tabla_Proyectos[Sistema productivo],"Naranjas",Tabla_Proyectos[TRL final],"2")</f>
        <v>0</v>
      </c>
      <c r="H14" s="22">
        <f>COUNTIFS(Tabla_Proyectos[Sistema productivo],"Naranjas",Tabla_Proyectos[TRL final],"3")</f>
        <v>0</v>
      </c>
      <c r="I14" s="22">
        <f>COUNTIFS(Tabla_Proyectos[Sistema productivo],"Naranjas",Tabla_Proyectos[TRL final],"4")</f>
        <v>0</v>
      </c>
      <c r="J14" s="22">
        <f>COUNTIFS(Tabla_Proyectos[Sistema productivo],"Naranjas",Tabla_Proyectos[TRL final],"5")</f>
        <v>0</v>
      </c>
      <c r="K14" s="22">
        <f>COUNTIFS(Tabla_Proyectos[Sistema productivo],"Naranjas",Tabla_Proyectos[TRL final],"6")</f>
        <v>0</v>
      </c>
      <c r="L14" s="22">
        <f>COUNTIFS(Tabla_Proyectos[Sistema productivo],"Naranjas",Tabla_Proyectos[TRL final],"7")</f>
        <v>0</v>
      </c>
      <c r="M14" s="22">
        <f>COUNTIFS(Tabla_Proyectos[Sistema productivo],"Naranjas",Tabla_Proyectos[TRL final],"8")</f>
        <v>0</v>
      </c>
      <c r="N14" s="22">
        <f>COUNTIFS(Tabla_Proyectos[Sistema productivo],"Naranjas",Tabla_Proyectos[TRL final],"9")</f>
        <v>0</v>
      </c>
    </row>
    <row r="15" spans="1:14" ht="18" customHeight="1" x14ac:dyDescent="0.35">
      <c r="E15" s="24" t="s">
        <v>580</v>
      </c>
      <c r="F15" s="25">
        <f>COUNTIFS(Tabla_Proyectos[Sistema productivo],"Banano",Tabla_Proyectos[TRL final],"1")</f>
        <v>0</v>
      </c>
      <c r="G15" s="25">
        <f>COUNTIFS(Tabla_Proyectos[Sistema productivo],"Banano",Tabla_Proyectos[TRL final],"2")</f>
        <v>0</v>
      </c>
      <c r="H15" s="25">
        <f>COUNTIFS(Tabla_Proyectos[Sistema productivo],"Banano",Tabla_Proyectos[TRL final],"3")</f>
        <v>0</v>
      </c>
      <c r="I15" s="25">
        <f>COUNTIFS(Tabla_Proyectos[Sistema productivo],"Banano",Tabla_Proyectos[TRL final],"4")</f>
        <v>0</v>
      </c>
      <c r="J15" s="25">
        <f>COUNTIFS(Tabla_Proyectos[Sistema productivo],"Banano",Tabla_Proyectos[TRL final],"5")</f>
        <v>0</v>
      </c>
      <c r="K15" s="25">
        <f>COUNTIFS(Tabla_Proyectos[Sistema productivo],"Banano",Tabla_Proyectos[TRL final],"6")</f>
        <v>0</v>
      </c>
      <c r="L15" s="25">
        <f>COUNTIFS(Tabla_Proyectos[Sistema productivo],"Banano",Tabla_Proyectos[TRL final],"7")</f>
        <v>0</v>
      </c>
      <c r="M15" s="25">
        <f>COUNTIFS(Tabla_Proyectos[Sistema productivo],"Banano",Tabla_Proyectos[TRL final],"8")</f>
        <v>0</v>
      </c>
      <c r="N15" s="25">
        <f>COUNTIFS(Tabla_Proyectos[Sistema productivo],"Banano",Tabla_Proyectos[TRL final],"9")</f>
        <v>0</v>
      </c>
    </row>
    <row r="16" spans="1:14" ht="18" customHeight="1" x14ac:dyDescent="0.35">
      <c r="E16" s="21" t="s">
        <v>615</v>
      </c>
      <c r="F16" s="22">
        <f>COUNTIFS(Tabla_Proyectos[Sistema productivo],"Maiz",Tabla_Proyectos[TRL final],"1")</f>
        <v>0</v>
      </c>
      <c r="G16" s="22">
        <f>COUNTIFS(Tabla_Proyectos[Sistema productivo],"Maiz",Tabla_Proyectos[TRL final],"2")</f>
        <v>0</v>
      </c>
      <c r="H16" s="22">
        <f>COUNTIFS(Tabla_Proyectos[Sistema productivo],"Maiz",Tabla_Proyectos[TRL final],"3")</f>
        <v>0</v>
      </c>
      <c r="I16" s="22">
        <f>COUNTIFS(Tabla_Proyectos[Sistema productivo],"Maiz",Tabla_Proyectos[TRL final],"4")</f>
        <v>0</v>
      </c>
      <c r="J16" s="22">
        <f>COUNTIFS(Tabla_Proyectos[Sistema productivo],"Maiz",Tabla_Proyectos[TRL final],"5")</f>
        <v>0</v>
      </c>
      <c r="K16" s="22">
        <f>COUNTIFS(Tabla_Proyectos[Sistema productivo],"Maiz",Tabla_Proyectos[TRL final],"6")</f>
        <v>0</v>
      </c>
      <c r="L16" s="22">
        <f>COUNTIFS(Tabla_Proyectos[Sistema productivo],"Maiz",Tabla_Proyectos[TRL final],"7")</f>
        <v>0</v>
      </c>
      <c r="M16" s="22">
        <f>COUNTIFS(Tabla_Proyectos[Sistema productivo],"Maiz",Tabla_Proyectos[TRL final],"8")</f>
        <v>0</v>
      </c>
      <c r="N16" s="22">
        <f>COUNTIFS(Tabla_Proyectos[Sistema productivo],"Maiz",Tabla_Proyectos[TRL final],"9")</f>
        <v>0</v>
      </c>
    </row>
    <row r="17" spans="5:14" ht="18" customHeight="1" x14ac:dyDescent="0.35">
      <c r="E17" s="24" t="s">
        <v>616</v>
      </c>
      <c r="F17" s="25">
        <f>COUNTIFS(Tabla_Proyectos[Sistema productivo],"Frijol",Tabla_Proyectos[TRL final],"1")</f>
        <v>0</v>
      </c>
      <c r="G17" s="25">
        <f>COUNTIFS(Tabla_Proyectos[Sistema productivo],"Frijol",Tabla_Proyectos[TRL final],"2")</f>
        <v>0</v>
      </c>
      <c r="H17" s="25">
        <f>COUNTIFS(Tabla_Proyectos[Sistema productivo],"Frijol",Tabla_Proyectos[TRL final],"3")</f>
        <v>0</v>
      </c>
      <c r="I17" s="25">
        <f>COUNTIFS(Tabla_Proyectos[Sistema productivo],"Frijol",Tabla_Proyectos[TRL final],"4")</f>
        <v>0</v>
      </c>
      <c r="J17" s="25">
        <f>COUNTIFS(Tabla_Proyectos[Sistema productivo],"Frijol",Tabla_Proyectos[TRL final],"5")</f>
        <v>0</v>
      </c>
      <c r="K17" s="25">
        <f>COUNTIFS(Tabla_Proyectos[Sistema productivo],"Frijol",Tabla_Proyectos[TRL final],"6")</f>
        <v>0</v>
      </c>
      <c r="L17" s="25">
        <f>COUNTIFS(Tabla_Proyectos[Sistema productivo],"Frijol",Tabla_Proyectos[TRL final],"7")</f>
        <v>0</v>
      </c>
      <c r="M17" s="25">
        <f>COUNTIFS(Tabla_Proyectos[Sistema productivo],"Frijol",Tabla_Proyectos[TRL final],"8")</f>
        <v>0</v>
      </c>
      <c r="N17" s="25">
        <f>COUNTIFS(Tabla_Proyectos[Sistema productivo],"Frijol",Tabla_Proyectos[TRL final],"9")</f>
        <v>0</v>
      </c>
    </row>
    <row r="18" spans="5:14" ht="18" customHeight="1" x14ac:dyDescent="0.35">
      <c r="E18" s="21" t="s">
        <v>617</v>
      </c>
      <c r="F18" s="22">
        <f>COUNTIFS(Tabla_Proyectos[Sistema productivo],"Cebolla",Tabla_Proyectos[TRL final],"1")</f>
        <v>0</v>
      </c>
      <c r="G18" s="22">
        <f>COUNTIFS(Tabla_Proyectos[Sistema productivo],"Cebolla",Tabla_Proyectos[TRL final],"2")</f>
        <v>0</v>
      </c>
      <c r="H18" s="22">
        <f>COUNTIFS(Tabla_Proyectos[Sistema productivo],"Cebolla",Tabla_Proyectos[TRL final],"3")</f>
        <v>0</v>
      </c>
      <c r="I18" s="22">
        <f>COUNTIFS(Tabla_Proyectos[Sistema productivo],"Cebolla",Tabla_Proyectos[TRL final],"4")</f>
        <v>0</v>
      </c>
      <c r="J18" s="22">
        <f>COUNTIFS(Tabla_Proyectos[Sistema productivo],"Cebolla",Tabla_Proyectos[TRL final],"5")</f>
        <v>0</v>
      </c>
      <c r="K18" s="22">
        <f>COUNTIFS(Tabla_Proyectos[Sistema productivo],"Cebolla",Tabla_Proyectos[TRL final],"6")</f>
        <v>0</v>
      </c>
      <c r="L18" s="22">
        <f>COUNTIFS(Tabla_Proyectos[Sistema productivo],"Cebolla",Tabla_Proyectos[TRL final],"7")</f>
        <v>0</v>
      </c>
      <c r="M18" s="22">
        <f>COUNTIFS(Tabla_Proyectos[Sistema productivo],"Cebolla",Tabla_Proyectos[TRL final],"8")</f>
        <v>0</v>
      </c>
      <c r="N18" s="22">
        <f>COUNTIFS(Tabla_Proyectos[Sistema productivo],"Cebolla",Tabla_Proyectos[TRL final],"9")</f>
        <v>0</v>
      </c>
    </row>
    <row r="19" spans="5:14" ht="18" customHeight="1" x14ac:dyDescent="0.35">
      <c r="E19" s="24" t="s">
        <v>417</v>
      </c>
      <c r="F19" s="25">
        <f>COUNTIFS(Tabla_Proyectos[Sistema productivo],"Yuca",Tabla_Proyectos[TRL final],"1")</f>
        <v>0</v>
      </c>
      <c r="G19" s="25">
        <f>COUNTIFS(Tabla_Proyectos[Sistema productivo],"Yuca",Tabla_Proyectos[TRL final],"2")</f>
        <v>0</v>
      </c>
      <c r="H19" s="25">
        <f>COUNTIFS(Tabla_Proyectos[Sistema productivo],"Yuca",Tabla_Proyectos[TRL final],"3")</f>
        <v>0</v>
      </c>
      <c r="I19" s="25">
        <f>COUNTIFS(Tabla_Proyectos[Sistema productivo],"Yuca",Tabla_Proyectos[TRL final],"4")</f>
        <v>0</v>
      </c>
      <c r="J19" s="25">
        <f>COUNTIFS(Tabla_Proyectos[Sistema productivo],"Yuca",Tabla_Proyectos[TRL final],"5")</f>
        <v>0</v>
      </c>
      <c r="K19" s="25">
        <f>COUNTIFS(Tabla_Proyectos[Sistema productivo],"Yuca",Tabla_Proyectos[TRL final],"6")</f>
        <v>0</v>
      </c>
      <c r="L19" s="25">
        <f>COUNTIFS(Tabla_Proyectos[Sistema productivo],"Yuca",Tabla_Proyectos[TRL final],"7")</f>
        <v>0</v>
      </c>
      <c r="M19" s="25">
        <f>COUNTIFS(Tabla_Proyectos[Sistema productivo],"Yuca",Tabla_Proyectos[TRL final],"8")</f>
        <v>0</v>
      </c>
      <c r="N19" s="25">
        <f>COUNTIFS(Tabla_Proyectos[Sistema productivo],"Yuca",Tabla_Proyectos[TRL final],"9")</f>
        <v>0</v>
      </c>
    </row>
    <row r="20" spans="5:14" ht="18" customHeight="1" x14ac:dyDescent="0.35">
      <c r="E20" s="21" t="s">
        <v>618</v>
      </c>
      <c r="F20" s="22">
        <f>COUNTIFS(Tabla_Proyectos[Sistema productivo],"Ganaderia ",Tabla_Proyectos[TRL final],"1")</f>
        <v>0</v>
      </c>
      <c r="G20" s="22">
        <f>COUNTIFS(Tabla_Proyectos[Sistema productivo],"Ganaderia ",Tabla_Proyectos[TRL final],"2")</f>
        <v>0</v>
      </c>
      <c r="H20" s="22">
        <f>COUNTIFS(Tabla_Proyectos[Sistema productivo],"Ganaderia ",Tabla_Proyectos[TRL final],"3")</f>
        <v>0</v>
      </c>
      <c r="I20" s="22">
        <f>COUNTIFS(Tabla_Proyectos[Sistema productivo],"Ganaderia ",Tabla_Proyectos[TRL final],"4")</f>
        <v>0</v>
      </c>
      <c r="J20" s="22">
        <f>COUNTIFS(Tabla_Proyectos[Sistema productivo],"Ganaderia ",Tabla_Proyectos[TRL final],"5")</f>
        <v>0</v>
      </c>
      <c r="K20" s="22">
        <f>COUNTIFS(Tabla_Proyectos[Sistema productivo],"Ganaderia ",Tabla_Proyectos[TRL final],"6")</f>
        <v>0</v>
      </c>
      <c r="L20" s="22">
        <f>COUNTIFS(Tabla_Proyectos[Sistema productivo],"Ganaderia ",Tabla_Proyectos[TRL final],"7")</f>
        <v>0</v>
      </c>
      <c r="M20" s="22">
        <f>COUNTIFS(Tabla_Proyectos[Sistema productivo],"Ganaderia ",Tabla_Proyectos[TRL final],"8")</f>
        <v>0</v>
      </c>
      <c r="N20" s="22">
        <f>COUNTIFS(Tabla_Proyectos[Sistema productivo],"Ganaderia ",Tabla_Proyectos[TRL final],"9")</f>
        <v>0</v>
      </c>
    </row>
    <row r="21" spans="5:14" ht="18" customHeight="1" x14ac:dyDescent="0.35">
      <c r="E21" s="24" t="s">
        <v>619</v>
      </c>
      <c r="F21" s="25">
        <f>COUNTIFS(Tabla_Proyectos[Sistema productivo],"Apicola",Tabla_Proyectos[TRL final],"1")</f>
        <v>0</v>
      </c>
      <c r="G21" s="25">
        <f>COUNTIFS(Tabla_Proyectos[Sistema productivo],"Apicola",Tabla_Proyectos[TRL final],"2")</f>
        <v>0</v>
      </c>
      <c r="H21" s="25">
        <f>COUNTIFS(Tabla_Proyectos[Sistema productivo],"Apicola",Tabla_Proyectos[TRL final],"3")</f>
        <v>0</v>
      </c>
      <c r="I21" s="25">
        <f>COUNTIFS(Tabla_Proyectos[Sistema productivo],"Apicola",Tabla_Proyectos[TRL final],"4")</f>
        <v>0</v>
      </c>
      <c r="J21" s="25">
        <f>COUNTIFS(Tabla_Proyectos[Sistema productivo],"Apicola",Tabla_Proyectos[TRL final],"5")</f>
        <v>0</v>
      </c>
      <c r="K21" s="25">
        <f>COUNTIFS(Tabla_Proyectos[Sistema productivo],"Apicola",Tabla_Proyectos[TRL final],"6")</f>
        <v>0</v>
      </c>
      <c r="L21" s="25">
        <f>COUNTIFS(Tabla_Proyectos[Sistema productivo],"Apicola",Tabla_Proyectos[TRL final],"7")</f>
        <v>0</v>
      </c>
      <c r="M21" s="25">
        <f>COUNTIFS(Tabla_Proyectos[Sistema productivo],"Apicola",Tabla_Proyectos[TRL final],"8")</f>
        <v>0</v>
      </c>
      <c r="N21" s="25">
        <f>COUNTIFS(Tabla_Proyectos[Sistema productivo],"Apicola",Tabla_Proyectos[TRL final],"9")</f>
        <v>0</v>
      </c>
    </row>
    <row r="22" spans="5:14" ht="18" customHeight="1" x14ac:dyDescent="0.35">
      <c r="E22" s="21" t="s">
        <v>356</v>
      </c>
      <c r="F22" s="22">
        <f>COUNTIFS(Tabla_Proyectos[Sistema productivo],"Maracuya",Tabla_Proyectos[TRL final],"1")</f>
        <v>0</v>
      </c>
      <c r="G22" s="22">
        <f>COUNTIFS(Tabla_Proyectos[Sistema productivo],"Maracuya",Tabla_Proyectos[TRL final],"2")</f>
        <v>0</v>
      </c>
      <c r="H22" s="22">
        <f>COUNTIFS(Tabla_Proyectos[Sistema productivo],"Maracuya",Tabla_Proyectos[TRL final],"3")</f>
        <v>0</v>
      </c>
      <c r="I22" s="22">
        <f>COUNTIFS(Tabla_Proyectos[Sistema productivo],"Maracuya",Tabla_Proyectos[TRL final],"4")</f>
        <v>0</v>
      </c>
      <c r="J22" s="22">
        <f>COUNTIFS(Tabla_Proyectos[Sistema productivo],"Maracuya",Tabla_Proyectos[TRL final],"5")</f>
        <v>0</v>
      </c>
      <c r="K22" s="22">
        <f>COUNTIFS(Tabla_Proyectos[Sistema productivo],"Maracuya",Tabla_Proyectos[TRL final],"6")</f>
        <v>0</v>
      </c>
      <c r="L22" s="22">
        <f>COUNTIFS(Tabla_Proyectos[Sistema productivo],"Maracuya",Tabla_Proyectos[TRL final],"7")</f>
        <v>0</v>
      </c>
      <c r="M22" s="22">
        <f>COUNTIFS(Tabla_Proyectos[Sistema productivo],"Maracuya",Tabla_Proyectos[TRL final],"8")</f>
        <v>0</v>
      </c>
      <c r="N22" s="22">
        <f>COUNTIFS(Tabla_Proyectos[Sistema productivo],"Maracuya",Tabla_Proyectos[TRL final],"9")</f>
        <v>0</v>
      </c>
    </row>
    <row r="23" spans="5:14" ht="18" customHeight="1" x14ac:dyDescent="0.35">
      <c r="E23" s="24" t="s">
        <v>179</v>
      </c>
      <c r="F23" s="25">
        <f>COUNTIFS(Tabla_Proyectos[Sistema productivo],"Ají",Tabla_Proyectos[TRL final],"1")</f>
        <v>0</v>
      </c>
      <c r="G23" s="25">
        <f>COUNTIFS(Tabla_Proyectos[Sistema productivo],"Ají",Tabla_Proyectos[TRL final],"2")</f>
        <v>0</v>
      </c>
      <c r="H23" s="25">
        <f>COUNTIFS(Tabla_Proyectos[Sistema productivo],"Ají",Tabla_Proyectos[TRL final],"3")</f>
        <v>0</v>
      </c>
      <c r="I23" s="25">
        <f>COUNTIFS(Tabla_Proyectos[Sistema productivo],"Ají",Tabla_Proyectos[TRL final],"4")</f>
        <v>0</v>
      </c>
      <c r="J23" s="25">
        <f>COUNTIFS(Tabla_Proyectos[Sistema productivo],"Ají",Tabla_Proyectos[TRL final],"5")</f>
        <v>0</v>
      </c>
      <c r="K23" s="25">
        <f>COUNTIFS(Tabla_Proyectos[Sistema productivo],"Ají",Tabla_Proyectos[TRL final],"6")</f>
        <v>0</v>
      </c>
      <c r="L23" s="25">
        <f>COUNTIFS(Tabla_Proyectos[Sistema productivo],"Ají",Tabla_Proyectos[TRL final],"7")</f>
        <v>0</v>
      </c>
      <c r="M23" s="25">
        <f>COUNTIFS(Tabla_Proyectos[Sistema productivo],"Ají",Tabla_Proyectos[TRL final],"8")</f>
        <v>0</v>
      </c>
      <c r="N23" s="25">
        <f>COUNTIFS(Tabla_Proyectos[Sistema productivo],"Ají",Tabla_Proyectos[TRL final],"9")</f>
        <v>0</v>
      </c>
    </row>
    <row r="24" spans="5:14" ht="18" customHeight="1" x14ac:dyDescent="0.35">
      <c r="E24" s="21" t="s">
        <v>305</v>
      </c>
      <c r="F24" s="22">
        <f>COUNTIFS(Tabla_Proyectos[Sistema productivo],"Forestal",Tabla_Proyectos[TRL final],"1")</f>
        <v>0</v>
      </c>
      <c r="G24" s="22">
        <f>COUNTIFS(Tabla_Proyectos[Sistema productivo],"Forestal",Tabla_Proyectos[TRL final],"2")</f>
        <v>0</v>
      </c>
      <c r="H24" s="22">
        <f>COUNTIFS(Tabla_Proyectos[Sistema productivo],"Forestal",Tabla_Proyectos[TRL final],"3")</f>
        <v>0</v>
      </c>
      <c r="I24" s="22">
        <f>COUNTIFS(Tabla_Proyectos[Sistema productivo],"Forestal",Tabla_Proyectos[TRL final],"4")</f>
        <v>0</v>
      </c>
      <c r="J24" s="22">
        <f>COUNTIFS(Tabla_Proyectos[Sistema productivo],"Forestal",Tabla_Proyectos[TRL final],"5")</f>
        <v>0</v>
      </c>
      <c r="K24" s="22">
        <f>COUNTIFS(Tabla_Proyectos[Sistema productivo],"Forestal",Tabla_Proyectos[TRL final],"6")</f>
        <v>0</v>
      </c>
      <c r="L24" s="22">
        <f>COUNTIFS(Tabla_Proyectos[Sistema productivo],"Forestal",Tabla_Proyectos[TRL final],"7")</f>
        <v>0</v>
      </c>
      <c r="M24" s="22">
        <f>COUNTIFS(Tabla_Proyectos[Sistema productivo],"Forestal",Tabla_Proyectos[TRL final],"8")</f>
        <v>0</v>
      </c>
      <c r="N24" s="22">
        <f>COUNTIFS(Tabla_Proyectos[Sistema productivo],"Forestal",Tabla_Proyectos[TRL final],"9")</f>
        <v>0</v>
      </c>
    </row>
    <row r="25" spans="5:14" ht="18" customHeight="1" x14ac:dyDescent="0.35">
      <c r="E25" s="24" t="s">
        <v>404</v>
      </c>
      <c r="F25" s="25">
        <f>COUNTIFS(Tabla_Proyectos[Sistema productivo],"Quinua",Tabla_Proyectos[TRL final],"1")</f>
        <v>0</v>
      </c>
      <c r="G25" s="25">
        <f>COUNTIFS(Tabla_Proyectos[Sistema productivo],"Quinua",Tabla_Proyectos[TRL final],"2")</f>
        <v>0</v>
      </c>
      <c r="H25" s="25">
        <f>COUNTIFS(Tabla_Proyectos[Sistema productivo],"Quinua",Tabla_Proyectos[TRL final],"3")</f>
        <v>0</v>
      </c>
      <c r="I25" s="25">
        <f>COUNTIFS(Tabla_Proyectos[Sistema productivo],"Quinua",Tabla_Proyectos[TRL final],"4")</f>
        <v>0</v>
      </c>
      <c r="J25" s="25">
        <f>COUNTIFS(Tabla_Proyectos[Sistema productivo],"Quinua",Tabla_Proyectos[TRL final],"5")</f>
        <v>0</v>
      </c>
      <c r="K25" s="25">
        <f>COUNTIFS(Tabla_Proyectos[Sistema productivo],"Quinua",Tabla_Proyectos[TRL final],"6")</f>
        <v>0</v>
      </c>
      <c r="L25" s="25">
        <f>COUNTIFS(Tabla_Proyectos[Sistema productivo],"Quinua",Tabla_Proyectos[TRL final],"7")</f>
        <v>0</v>
      </c>
      <c r="M25" s="25">
        <f>COUNTIFS(Tabla_Proyectos[Sistema productivo],"Quinua",Tabla_Proyectos[TRL final],"8")</f>
        <v>0</v>
      </c>
      <c r="N25" s="25">
        <f>COUNTIFS(Tabla_Proyectos[Sistema productivo],"Quinua",Tabla_Proyectos[TRL final],"9")</f>
        <v>0</v>
      </c>
    </row>
    <row r="26" spans="5:14" ht="18" customHeight="1" x14ac:dyDescent="0.35">
      <c r="E26" s="21" t="s">
        <v>620</v>
      </c>
      <c r="F26" s="22">
        <f>COUNTIFS(Tabla_Proyectos[Sistema productivo],"Caña panelera",Tabla_Proyectos[TRL final],"1")</f>
        <v>0</v>
      </c>
      <c r="G26" s="22">
        <f>COUNTIFS(Tabla_Proyectos[Sistema productivo],"Caña panelera",Tabla_Proyectos[TRL final],"2")</f>
        <v>0</v>
      </c>
      <c r="H26" s="22">
        <f>COUNTIFS(Tabla_Proyectos[Sistema productivo],"Caña panelera",Tabla_Proyectos[TRL final],"3")</f>
        <v>0</v>
      </c>
      <c r="I26" s="22">
        <f>COUNTIFS(Tabla_Proyectos[Sistema productivo],"Caña panelera",Tabla_Proyectos[TRL final],"4")</f>
        <v>0</v>
      </c>
      <c r="J26" s="22">
        <f>COUNTIFS(Tabla_Proyectos[Sistema productivo],"Caña panelera",Tabla_Proyectos[TRL final],"5")</f>
        <v>0</v>
      </c>
      <c r="K26" s="22">
        <f>COUNTIFS(Tabla_Proyectos[Sistema productivo],"Caña panelera",Tabla_Proyectos[TRL final],"6")</f>
        <v>0</v>
      </c>
      <c r="L26" s="22">
        <f>COUNTIFS(Tabla_Proyectos[Sistema productivo],"Caña panelera",Tabla_Proyectos[TRL final],"7")</f>
        <v>0</v>
      </c>
      <c r="M26" s="22">
        <f>COUNTIFS(Tabla_Proyectos[Sistema productivo],"Caña panelera",Tabla_Proyectos[TRL final],"8")</f>
        <v>0</v>
      </c>
      <c r="N26" s="22">
        <f>COUNTIFS(Tabla_Proyectos[Sistema productivo],"Caña panelera",Tabla_Proyectos[TRL final],"9")</f>
        <v>0</v>
      </c>
    </row>
    <row r="27" spans="5:14" ht="18" customHeight="1" x14ac:dyDescent="0.35">
      <c r="E27" s="24" t="s">
        <v>302</v>
      </c>
      <c r="F27" s="25">
        <f>COUNTIFS(Tabla_Proyectos[Sistema productivo],"Fique",Tabla_Proyectos[TRL final],"1")</f>
        <v>0</v>
      </c>
      <c r="G27" s="25">
        <f>COUNTIFS(Tabla_Proyectos[Sistema productivo],"Fique",Tabla_Proyectos[TRL final],"2")</f>
        <v>0</v>
      </c>
      <c r="H27" s="25">
        <f>COUNTIFS(Tabla_Proyectos[Sistema productivo],"Fique",Tabla_Proyectos[TRL final],"3")</f>
        <v>0</v>
      </c>
      <c r="I27" s="25">
        <f>COUNTIFS(Tabla_Proyectos[Sistema productivo],"Fique",Tabla_Proyectos[TRL final],"4")</f>
        <v>0</v>
      </c>
      <c r="J27" s="25">
        <f>COUNTIFS(Tabla_Proyectos[Sistema productivo],"Fique",Tabla_Proyectos[TRL final],"5")</f>
        <v>0</v>
      </c>
      <c r="K27" s="25">
        <f>COUNTIFS(Tabla_Proyectos[Sistema productivo],"Fique",Tabla_Proyectos[TRL final],"6")</f>
        <v>0</v>
      </c>
      <c r="L27" s="25">
        <f>COUNTIFS(Tabla_Proyectos[Sistema productivo],"Fique",Tabla_Proyectos[TRL final],"7")</f>
        <v>0</v>
      </c>
      <c r="M27" s="25">
        <f>COUNTIFS(Tabla_Proyectos[Sistema productivo],"Fique",Tabla_Proyectos[TRL final],"8")</f>
        <v>0</v>
      </c>
      <c r="N27" s="25">
        <f>COUNTIFS(Tabla_Proyectos[Sistema productivo],"Fique",Tabla_Proyectos[TRL final],"9")</f>
        <v>0</v>
      </c>
    </row>
    <row r="28" spans="5:14" ht="18" customHeight="1" x14ac:dyDescent="0.35">
      <c r="E28" s="21" t="s">
        <v>351</v>
      </c>
      <c r="F28" s="22">
        <f>COUNTIFS(Tabla_Proyectos[Sistema productivo],"Limón Pajarito",Tabla_Proyectos[TRL final],"1")</f>
        <v>0</v>
      </c>
      <c r="G28" s="22">
        <f>COUNTIFS(Tabla_Proyectos[Sistema productivo],"Limón Pajarito",Tabla_Proyectos[TRL final],"2")</f>
        <v>0</v>
      </c>
      <c r="H28" s="22">
        <f>COUNTIFS(Tabla_Proyectos[Sistema productivo],"Limón Pajarito",Tabla_Proyectos[TRL final],"3")</f>
        <v>0</v>
      </c>
      <c r="I28" s="22">
        <f>COUNTIFS(Tabla_Proyectos[Sistema productivo],"Limón Pajarito",Tabla_Proyectos[TRL final],"4")</f>
        <v>0</v>
      </c>
      <c r="J28" s="22">
        <f>COUNTIFS(Tabla_Proyectos[Sistema productivo],"Limón Pajarito",Tabla_Proyectos[TRL final],"5")</f>
        <v>0</v>
      </c>
      <c r="K28" s="22">
        <f>COUNTIFS(Tabla_Proyectos[Sistema productivo],"Limón Pajarito",Tabla_Proyectos[TRL final],"6")</f>
        <v>0</v>
      </c>
      <c r="L28" s="22">
        <f>COUNTIFS(Tabla_Proyectos[Sistema productivo],"Limón Pajarito",Tabla_Proyectos[TRL final],"7")</f>
        <v>0</v>
      </c>
      <c r="M28" s="22">
        <f>COUNTIFS(Tabla_Proyectos[Sistema productivo],"Limón Pajarito",Tabla_Proyectos[TRL final],"8")</f>
        <v>0</v>
      </c>
      <c r="N28" s="22">
        <f>COUNTIFS(Tabla_Proyectos[Sistema productivo],"Limón Pajarito",Tabla_Proyectos[TRL final],"9")</f>
        <v>0</v>
      </c>
    </row>
    <row r="29" spans="5:14" ht="18" customHeight="1" x14ac:dyDescent="0.35">
      <c r="E29" s="24" t="s">
        <v>363</v>
      </c>
      <c r="F29" s="25">
        <f>COUNTIFS(Tabla_Proyectos[Sistema productivo],"Mora",Tabla_Proyectos[TRL final],"1")</f>
        <v>0</v>
      </c>
      <c r="G29" s="25">
        <f>COUNTIFS(Tabla_Proyectos[Sistema productivo],"Mora",Tabla_Proyectos[TRL final],"2")</f>
        <v>0</v>
      </c>
      <c r="H29" s="25">
        <f>COUNTIFS(Tabla_Proyectos[Sistema productivo],"Mora",Tabla_Proyectos[TRL final],"3")</f>
        <v>0</v>
      </c>
      <c r="I29" s="25">
        <f>COUNTIFS(Tabla_Proyectos[Sistema productivo],"Mora",Tabla_Proyectos[TRL final],"4")</f>
        <v>0</v>
      </c>
      <c r="J29" s="25">
        <f>COUNTIFS(Tabla_Proyectos[Sistema productivo],"Mora",Tabla_Proyectos[TRL final],"5")</f>
        <v>0</v>
      </c>
      <c r="K29" s="25">
        <f>COUNTIFS(Tabla_Proyectos[Sistema productivo],"Mora",Tabla_Proyectos[TRL final],"6")</f>
        <v>0</v>
      </c>
      <c r="L29" s="25">
        <f>COUNTIFS(Tabla_Proyectos[Sistema productivo],"Mora",Tabla_Proyectos[TRL final],"7")</f>
        <v>0</v>
      </c>
      <c r="M29" s="25">
        <f>COUNTIFS(Tabla_Proyectos[Sistema productivo],"Mora",Tabla_Proyectos[TRL final],"8")</f>
        <v>0</v>
      </c>
      <c r="N29" s="25">
        <f>COUNTIFS(Tabla_Proyectos[Sistema productivo],"Mora",Tabla_Proyectos[TRL final],"9")</f>
        <v>0</v>
      </c>
    </row>
    <row r="30" spans="5:14" ht="18" customHeight="1" x14ac:dyDescent="0.35">
      <c r="E30" s="21" t="s">
        <v>361</v>
      </c>
      <c r="F30" s="22">
        <f>COUNTIFS(Tabla_Proyectos[Sistema productivo],"Melón",Tabla_Proyectos[TRL final],"1")</f>
        <v>0</v>
      </c>
      <c r="G30" s="22">
        <f>COUNTIFS(Tabla_Proyectos[Sistema productivo],"Melón",Tabla_Proyectos[TRL final],"2")</f>
        <v>0</v>
      </c>
      <c r="H30" s="22">
        <f>COUNTIFS(Tabla_Proyectos[Sistema productivo],"Melón",Tabla_Proyectos[TRL final],"3")</f>
        <v>0</v>
      </c>
      <c r="I30" s="22">
        <f>COUNTIFS(Tabla_Proyectos[Sistema productivo],"Melón",Tabla_Proyectos[TRL final],"4")</f>
        <v>0</v>
      </c>
      <c r="J30" s="22">
        <f>COUNTIFS(Tabla_Proyectos[Sistema productivo],"Melón",Tabla_Proyectos[TRL final],"5")</f>
        <v>0</v>
      </c>
      <c r="K30" s="22">
        <f>COUNTIFS(Tabla_Proyectos[Sistema productivo],"Melón",Tabla_Proyectos[TRL final],"6")</f>
        <v>0</v>
      </c>
      <c r="L30" s="22">
        <f>COUNTIFS(Tabla_Proyectos[Sistema productivo],"Melón",Tabla_Proyectos[TRL final],"7")</f>
        <v>0</v>
      </c>
      <c r="M30" s="22">
        <f>COUNTIFS(Tabla_Proyectos[Sistema productivo],"Melón",Tabla_Proyectos[TRL final],"8")</f>
        <v>0</v>
      </c>
      <c r="N30" s="22">
        <f>COUNTIFS(Tabla_Proyectos[Sistema productivo],"Melón",Tabla_Proyectos[TRL final],"9")</f>
        <v>0</v>
      </c>
    </row>
    <row r="31" spans="5:14" ht="18" customHeight="1" x14ac:dyDescent="0.35">
      <c r="E31" s="24" t="s">
        <v>383</v>
      </c>
      <c r="F31" s="25">
        <f>COUNTIFS(Tabla_Proyectos[Sistema productivo],"Palma de aceite Americana",Tabla_Proyectos[TRL final],"1")</f>
        <v>0</v>
      </c>
      <c r="G31" s="25">
        <f>COUNTIFS(Tabla_Proyectos[Sistema productivo],"Palma de aceite Americana",Tabla_Proyectos[TRL final],"2")</f>
        <v>0</v>
      </c>
      <c r="H31" s="25">
        <f>COUNTIFS(Tabla_Proyectos[Sistema productivo],"Palma de aceite Americana",Tabla_Proyectos[TRL final],"3")</f>
        <v>0</v>
      </c>
      <c r="I31" s="25">
        <f>COUNTIFS(Tabla_Proyectos[Sistema productivo],"Palma de aceite Americana",Tabla_Proyectos[TRL final],"4")</f>
        <v>0</v>
      </c>
      <c r="J31" s="25">
        <f>COUNTIFS(Tabla_Proyectos[Sistema productivo],"Palma de aceite Americana",Tabla_Proyectos[TRL final],"5")</f>
        <v>0</v>
      </c>
      <c r="K31" s="25">
        <f>COUNTIFS(Tabla_Proyectos[Sistema productivo],"Palma de aceite Americana",Tabla_Proyectos[TRL final],"6")</f>
        <v>0</v>
      </c>
      <c r="L31" s="25">
        <f>COUNTIFS(Tabla_Proyectos[Sistema productivo],"Palma de aceite Americana",Tabla_Proyectos[TRL final],"7")</f>
        <v>0</v>
      </c>
      <c r="M31" s="25">
        <f>COUNTIFS(Tabla_Proyectos[Sistema productivo],"Palma de aceite Americana",Tabla_Proyectos[TRL final],"8")</f>
        <v>0</v>
      </c>
      <c r="N31" s="25">
        <f>COUNTIFS(Tabla_Proyectos[Sistema productivo],"Palma de aceite Americana",Tabla_Proyectos[TRL final],"9")</f>
        <v>0</v>
      </c>
    </row>
    <row r="32" spans="5:14" ht="18" customHeight="1" x14ac:dyDescent="0.35">
      <c r="E32" s="21" t="s">
        <v>378</v>
      </c>
      <c r="F32" s="22">
        <f>COUNTIFS(Tabla_Proyectos[Sistema productivo],"Palma de aceite Africana",Tabla_Proyectos[TRL final],"1")</f>
        <v>0</v>
      </c>
      <c r="G32" s="22">
        <f>COUNTIFS(Tabla_Proyectos[Sistema productivo],"Palma de aceite Africana",Tabla_Proyectos[TRL final],"2")</f>
        <v>0</v>
      </c>
      <c r="H32" s="22">
        <f>COUNTIFS(Tabla_Proyectos[Sistema productivo],"Palma de aceite Africana",Tabla_Proyectos[TRL final],"3")</f>
        <v>0</v>
      </c>
      <c r="I32" s="22">
        <f>COUNTIFS(Tabla_Proyectos[Sistema productivo],"Palma de aceite Africana",Tabla_Proyectos[TRL final],"4")</f>
        <v>0</v>
      </c>
      <c r="J32" s="22">
        <f>COUNTIFS(Tabla_Proyectos[Sistema productivo],"Palma de aceite Africana",Tabla_Proyectos[TRL final],"5")</f>
        <v>0</v>
      </c>
      <c r="K32" s="22">
        <f>COUNTIFS(Tabla_Proyectos[Sistema productivo],"Palma de aceite Africana",Tabla_Proyectos[TRL final],"6")</f>
        <v>0</v>
      </c>
      <c r="L32" s="22">
        <f>COUNTIFS(Tabla_Proyectos[Sistema productivo],"Palma de aceite Africana",Tabla_Proyectos[TRL final],"7")</f>
        <v>0</v>
      </c>
      <c r="M32" s="22">
        <f>COUNTIFS(Tabla_Proyectos[Sistema productivo],"Palma de aceite Africana",Tabla_Proyectos[TRL final],"8")</f>
        <v>0</v>
      </c>
      <c r="N32" s="22">
        <f>COUNTIFS(Tabla_Proyectos[Sistema productivo],"Palma de aceite Africana",Tabla_Proyectos[TRL final],"9")</f>
        <v>0</v>
      </c>
    </row>
    <row r="33" spans="1:14" ht="18" customHeight="1" x14ac:dyDescent="0.35">
      <c r="E33" s="24" t="s">
        <v>181</v>
      </c>
      <c r="F33" s="25">
        <f>COUNTIFS(Tabla_Proyectos[Sistema productivo],"Bancos de Germoplasma",Tabla_Proyectos[TRL final],"1")</f>
        <v>0</v>
      </c>
      <c r="G33" s="25">
        <f>COUNTIFS(Tabla_Proyectos[Sistema productivo],"Bancos de Germoplasma",Tabla_Proyectos[TRL final],"2")</f>
        <v>0</v>
      </c>
      <c r="H33" s="25">
        <f>COUNTIFS(Tabla_Proyectos[Sistema productivo],"Bancos de Germoplasma",Tabla_Proyectos[TRL final],"3")</f>
        <v>0</v>
      </c>
      <c r="I33" s="25">
        <f>COUNTIFS(Tabla_Proyectos[Sistema productivo],"Bancos de Germoplasma",Tabla_Proyectos[TRL final],"4")</f>
        <v>0</v>
      </c>
      <c r="J33" s="25">
        <f>COUNTIFS(Tabla_Proyectos[Sistema productivo],"Bancos de Germoplasma",Tabla_Proyectos[TRL final],"5")</f>
        <v>0</v>
      </c>
      <c r="K33" s="25">
        <f>COUNTIFS(Tabla_Proyectos[Sistema productivo],"Bancos de Germoplasma",Tabla_Proyectos[TRL final],"6")</f>
        <v>0</v>
      </c>
      <c r="L33" s="25">
        <f>COUNTIFS(Tabla_Proyectos[Sistema productivo],"Bancos de Germoplasma",Tabla_Proyectos[TRL final],"7")</f>
        <v>0</v>
      </c>
      <c r="M33" s="25">
        <f>COUNTIFS(Tabla_Proyectos[Sistema productivo],"Bancos de Germoplasma",Tabla_Proyectos[TRL final],"8")</f>
        <v>0</v>
      </c>
      <c r="N33" s="25">
        <f>COUNTIFS(Tabla_Proyectos[Sistema productivo],"Bancos de Germoplasma",Tabla_Proyectos[TRL final],"9")</f>
        <v>0</v>
      </c>
    </row>
    <row r="34" spans="1:14" ht="18" customHeight="1" x14ac:dyDescent="0.35">
      <c r="E34" s="21" t="s">
        <v>80</v>
      </c>
      <c r="F34" s="22">
        <f>COUNTIFS(Tabla_Proyectos[Sistema productivo],"Agraz",Tabla_Proyectos[TRL final],"1")</f>
        <v>0</v>
      </c>
      <c r="G34" s="22">
        <f>COUNTIFS(Tabla_Proyectos[Sistema productivo],"Agraz",Tabla_Proyectos[TRL final],"2")</f>
        <v>0</v>
      </c>
      <c r="H34" s="22">
        <f>COUNTIFS(Tabla_Proyectos[Sistema productivo],"Agraz",Tabla_Proyectos[TRL final],"3")</f>
        <v>0</v>
      </c>
      <c r="I34" s="22">
        <f>COUNTIFS(Tabla_Proyectos[Sistema productivo],"Agraz",Tabla_Proyectos[TRL final],"4")</f>
        <v>0</v>
      </c>
      <c r="J34" s="22">
        <f>COUNTIFS(Tabla_Proyectos[Sistema productivo],"Agraz",Tabla_Proyectos[TRL final],"5")</f>
        <v>0</v>
      </c>
      <c r="K34" s="22">
        <f>COUNTIFS(Tabla_Proyectos[Sistema productivo],"Agraz",Tabla_Proyectos[TRL final],"6")</f>
        <v>0</v>
      </c>
      <c r="L34" s="22">
        <f>COUNTIFS(Tabla_Proyectos[Sistema productivo],"Agraz",Tabla_Proyectos[TRL final],"7")</f>
        <v>0</v>
      </c>
      <c r="M34" s="22">
        <f>COUNTIFS(Tabla_Proyectos[Sistema productivo],"Agraz",Tabla_Proyectos[TRL final],"8")</f>
        <v>0</v>
      </c>
      <c r="N34" s="22">
        <f>COUNTIFS(Tabla_Proyectos[Sistema productivo],"Agraz",Tabla_Proyectos[TRL final],"9")</f>
        <v>0</v>
      </c>
    </row>
    <row r="35" spans="1:14" ht="18" customHeight="1" x14ac:dyDescent="0.35">
      <c r="E35" s="24" t="s">
        <v>395</v>
      </c>
      <c r="F35" s="25">
        <f>COUNTIFS(Tabla_Proyectos[Sistema productivo],"Pitaya Amarilla",Tabla_Proyectos[TRL final],"1")</f>
        <v>0</v>
      </c>
      <c r="G35" s="25">
        <f>COUNTIFS(Tabla_Proyectos[Sistema productivo],"Pitaya Amarilla",Tabla_Proyectos[TRL final],"2")</f>
        <v>0</v>
      </c>
      <c r="H35" s="25">
        <f>COUNTIFS(Tabla_Proyectos[Sistema productivo],"Pitaya Amarilla",Tabla_Proyectos[TRL final],"3")</f>
        <v>0</v>
      </c>
      <c r="I35" s="25">
        <f>COUNTIFS(Tabla_Proyectos[Sistema productivo],"Pitaya Amarilla",Tabla_Proyectos[TRL final],"4")</f>
        <v>0</v>
      </c>
      <c r="J35" s="25">
        <f>COUNTIFS(Tabla_Proyectos[Sistema productivo],"Pitaya Amarilla",Tabla_Proyectos[TRL final],"5")</f>
        <v>0</v>
      </c>
      <c r="K35" s="25">
        <f>COUNTIFS(Tabla_Proyectos[Sistema productivo],"Pitaya Amarilla",Tabla_Proyectos[TRL final],"6")</f>
        <v>0</v>
      </c>
      <c r="L35" s="25">
        <f>COUNTIFS(Tabla_Proyectos[Sistema productivo],"Pitaya Amarilla",Tabla_Proyectos[TRL final],"7")</f>
        <v>0</v>
      </c>
      <c r="M35" s="25">
        <f>COUNTIFS(Tabla_Proyectos[Sistema productivo],"Pitaya Amarilla",Tabla_Proyectos[TRL final],"8")</f>
        <v>0</v>
      </c>
      <c r="N35" s="25">
        <f>COUNTIFS(Tabla_Proyectos[Sistema productivo],"Pitaya Amarilla",Tabla_Proyectos[TRL final],"9")</f>
        <v>0</v>
      </c>
    </row>
    <row r="36" spans="1:14" ht="18" customHeight="1" x14ac:dyDescent="0.35">
      <c r="E36" s="21" t="s">
        <v>385</v>
      </c>
      <c r="F36" s="22">
        <f>COUNTIFS(Tabla_Proyectos[Sistema productivo],"Palmaceas",Tabla_Proyectos[TRL final],"1")</f>
        <v>0</v>
      </c>
      <c r="G36" s="22">
        <f>COUNTIFS(Tabla_Proyectos[Sistema productivo],"Palmaceas",Tabla_Proyectos[TRL final],"2")</f>
        <v>0</v>
      </c>
      <c r="H36" s="22">
        <f>COUNTIFS(Tabla_Proyectos[Sistema productivo],"Palmaceas",Tabla_Proyectos[TRL final],"3")</f>
        <v>0</v>
      </c>
      <c r="I36" s="22">
        <f>COUNTIFS(Tabla_Proyectos[Sistema productivo],"Palmaceas",Tabla_Proyectos[TRL final],"4")</f>
        <v>0</v>
      </c>
      <c r="J36" s="22">
        <f>COUNTIFS(Tabla_Proyectos[Sistema productivo],"Palmaceas",Tabla_Proyectos[TRL final],"5")</f>
        <v>0</v>
      </c>
      <c r="K36" s="22">
        <f>COUNTIFS(Tabla_Proyectos[Sistema productivo],"Palmaceas",Tabla_Proyectos[TRL final],"6")</f>
        <v>0</v>
      </c>
      <c r="L36" s="22">
        <f>COUNTIFS(Tabla_Proyectos[Sistema productivo],"Palmaceas",Tabla_Proyectos[TRL final],"7")</f>
        <v>0</v>
      </c>
      <c r="M36" s="22">
        <f>COUNTIFS(Tabla_Proyectos[Sistema productivo],"Palmaceas",Tabla_Proyectos[TRL final],"8")</f>
        <v>0</v>
      </c>
      <c r="N36" s="22">
        <f>COUNTIFS(Tabla_Proyectos[Sistema productivo],"Palmaceas",Tabla_Proyectos[TRL final],"9")</f>
        <v>0</v>
      </c>
    </row>
    <row r="37" spans="1:14" ht="18" customHeight="1" x14ac:dyDescent="0.35">
      <c r="E37" s="24" t="s">
        <v>299</v>
      </c>
      <c r="F37" s="25">
        <f>COUNTIFS(Tabla_Proyectos[Sistema productivo],"Coco",Tabla_Proyectos[TRL final],"1")</f>
        <v>0</v>
      </c>
      <c r="G37" s="25">
        <f>COUNTIFS(Tabla_Proyectos[Sistema productivo],"Coco",Tabla_Proyectos[TRL final],"2")</f>
        <v>0</v>
      </c>
      <c r="H37" s="25">
        <f>COUNTIFS(Tabla_Proyectos[Sistema productivo],"Coco",Tabla_Proyectos[TRL final],"3")</f>
        <v>0</v>
      </c>
      <c r="I37" s="25">
        <f>COUNTIFS(Tabla_Proyectos[Sistema productivo],"Coco",Tabla_Proyectos[TRL final],"4")</f>
        <v>0</v>
      </c>
      <c r="J37" s="25">
        <f>COUNTIFS(Tabla_Proyectos[Sistema productivo],"Coco",Tabla_Proyectos[TRL final],"5")</f>
        <v>0</v>
      </c>
      <c r="K37" s="25">
        <f>COUNTIFS(Tabla_Proyectos[Sistema productivo],"Coco",Tabla_Proyectos[TRL final],"6")</f>
        <v>0</v>
      </c>
      <c r="L37" s="25">
        <f>COUNTIFS(Tabla_Proyectos[Sistema productivo],"Coco",Tabla_Proyectos[TRL final],"7")</f>
        <v>0</v>
      </c>
      <c r="M37" s="25">
        <f>COUNTIFS(Tabla_Proyectos[Sistema productivo],"Coco",Tabla_Proyectos[TRL final],"8")</f>
        <v>0</v>
      </c>
      <c r="N37" s="25">
        <f>COUNTIFS(Tabla_Proyectos[Sistema productivo],"Coco",Tabla_Proyectos[TRL final],"9")</f>
        <v>0</v>
      </c>
    </row>
    <row r="38" spans="1:14" ht="18" customHeight="1" x14ac:dyDescent="0.35">
      <c r="E38" s="21" t="s">
        <v>156</v>
      </c>
      <c r="F38" s="22">
        <f>COUNTIFS(Tabla_Proyectos[Sistema productivo],"Otro",Tabla_Proyectos[TRL final],"1")</f>
        <v>0</v>
      </c>
      <c r="G38" s="22">
        <f>COUNTIFS(Tabla_Proyectos[Sistema productivo],"Otro",Tabla_Proyectos[TRL final],"2")</f>
        <v>0</v>
      </c>
      <c r="H38" s="22">
        <f>COUNTIFS(Tabla_Proyectos[Sistema productivo],"Otro",Tabla_Proyectos[TRL final],"3")</f>
        <v>0</v>
      </c>
      <c r="I38" s="22">
        <f>COUNTIFS(Tabla_Proyectos[Sistema productivo],"Otro",Tabla_Proyectos[TRL final],"4")</f>
        <v>0</v>
      </c>
      <c r="J38" s="22">
        <f>COUNTIFS(Tabla_Proyectos[Sistema productivo],"Otro",Tabla_Proyectos[TRL final],"5")</f>
        <v>0</v>
      </c>
      <c r="K38" s="22">
        <f>COUNTIFS(Tabla_Proyectos[Sistema productivo],"Otro",Tabla_Proyectos[TRL final],"6")</f>
        <v>0</v>
      </c>
      <c r="L38" s="22">
        <f>COUNTIFS(Tabla_Proyectos[Sistema productivo],"Otro",Tabla_Proyectos[TRL final],"7")</f>
        <v>0</v>
      </c>
      <c r="M38" s="22">
        <f>COUNTIFS(Tabla_Proyectos[Sistema productivo],"Otro",Tabla_Proyectos[TRL final],"8")</f>
        <v>0</v>
      </c>
      <c r="N38" s="22">
        <f>COUNTIFS(Tabla_Proyectos[Sistema productivo],"Otro",Tabla_Proyectos[TRL final],"9")</f>
        <v>0</v>
      </c>
    </row>
    <row r="41" spans="1:14" ht="22" customHeight="1" x14ac:dyDescent="0.35">
      <c r="A41" s="62" t="s">
        <v>664</v>
      </c>
      <c r="B41" s="63"/>
      <c r="C41" s="63"/>
      <c r="D41" s="64"/>
    </row>
    <row r="42" spans="1:14" ht="30.05" customHeight="1" x14ac:dyDescent="0.35">
      <c r="A42" s="7" t="s">
        <v>1</v>
      </c>
      <c r="B42" s="7" t="s">
        <v>665</v>
      </c>
      <c r="C42" s="7" t="s">
        <v>666</v>
      </c>
      <c r="D42" s="7" t="s">
        <v>667</v>
      </c>
    </row>
    <row r="43" spans="1:14" ht="18" customHeight="1" x14ac:dyDescent="0.35">
      <c r="A43" s="21" t="s">
        <v>45</v>
      </c>
      <c r="B43" s="32">
        <f>IFERROR(AVERAGEIFS(Tabla_Proyectos[TRL inicial],Tabla_Proyectos[Sistema productivo],"Aguacate Hass",Tabla_Proyectos[TRL inicial],"&lt;&gt;",Tabla_Proyectos[TRL inicial],"&lt;&gt;No definido"),"Sin datos")</f>
        <v>11531.5</v>
      </c>
      <c r="C43" s="32">
        <f>IFERROR(AVERAGEIFS(Tabla_Proyectos[TRL final],Tabla_Proyectos[Sistema productivo],"Aguacate Hass",Tabla_Proyectos[TRL final],"&lt;&gt;",Tabla_Proyectos[TRL final],"&lt;&gt;No definido"),"Sin datos")</f>
        <v>6.666666666666667</v>
      </c>
      <c r="D43" s="32">
        <f t="shared" ref="D43:D75" si="0">IFERROR(C43-B43,"Sin datos")</f>
        <v>-11524.833333333334</v>
      </c>
    </row>
    <row r="44" spans="1:14" ht="18" customHeight="1" x14ac:dyDescent="0.35">
      <c r="A44" s="24" t="s">
        <v>342</v>
      </c>
      <c r="B44" s="33" t="str">
        <f>IFERROR(AVERAGEIFS(Tabla_Proyectos[TRL inicial],Tabla_Proyectos[Sistema productivo],"Lima Acida Tahití",Tabla_Proyectos[TRL inicial],"&lt;&gt;",Tabla_Proyectos[TRL inicial],"&lt;&gt;No definido"),"Sin datos")</f>
        <v>Sin datos</v>
      </c>
      <c r="C44" s="33" t="str">
        <f>IFERROR(AVERAGEIFS(Tabla_Proyectos[TRL final],Tabla_Proyectos[Sistema productivo],"Lima Acida Tahití",Tabla_Proyectos[TRL final],"&lt;&gt;",Tabla_Proyectos[TRL final],"&lt;&gt;No definido"),"Sin datos")</f>
        <v>Sin datos</v>
      </c>
      <c r="D44" s="33" t="str">
        <f t="shared" si="0"/>
        <v>Sin datos</v>
      </c>
    </row>
    <row r="45" spans="1:14" ht="18" customHeight="1" x14ac:dyDescent="0.35">
      <c r="A45" s="21" t="s">
        <v>183</v>
      </c>
      <c r="B45" s="32">
        <f>IFERROR(AVERAGEIFS(Tabla_Proyectos[TRL inicial],Tabla_Proyectos[Sistema productivo],"Cacao",Tabla_Proyectos[TRL inicial],"&lt;&gt;",Tabla_Proyectos[TRL inicial],"&lt;&gt;No definido"),"Sin datos")</f>
        <v>2.75</v>
      </c>
      <c r="C45" s="32">
        <f>IFERROR(AVERAGEIFS(Tabla_Proyectos[TRL final],Tabla_Proyectos[Sistema productivo],"Cacao",Tabla_Proyectos[TRL final],"&lt;&gt;",Tabla_Proyectos[TRL final],"&lt;&gt;No definido"),"Sin datos")</f>
        <v>6</v>
      </c>
      <c r="D45" s="32">
        <f t="shared" si="0"/>
        <v>3.25</v>
      </c>
    </row>
    <row r="46" spans="1:14" ht="18" customHeight="1" x14ac:dyDescent="0.35">
      <c r="A46" s="24" t="s">
        <v>387</v>
      </c>
      <c r="B46" s="33" t="str">
        <f>IFERROR(AVERAGEIFS(Tabla_Proyectos[TRL inicial],Tabla_Proyectos[Sistema productivo],"Piña",Tabla_Proyectos[TRL inicial],"&lt;&gt;",Tabla_Proyectos[TRL inicial],"&lt;&gt;No definido"),"Sin datos")</f>
        <v>Sin datos</v>
      </c>
      <c r="C46" s="33" t="str">
        <f>IFERROR(AVERAGEIFS(Tabla_Proyectos[TRL final],Tabla_Proyectos[Sistema productivo],"Piña",Tabla_Proyectos[TRL final],"&lt;&gt;",Tabla_Proyectos[TRL final],"&lt;&gt;No definido"),"Sin datos")</f>
        <v>Sin datos</v>
      </c>
      <c r="D46" s="33" t="str">
        <f t="shared" si="0"/>
        <v>Sin datos</v>
      </c>
    </row>
    <row r="47" spans="1:14" ht="18" customHeight="1" x14ac:dyDescent="0.35">
      <c r="A47" s="21" t="s">
        <v>398</v>
      </c>
      <c r="B47" s="32" t="str">
        <f>IFERROR(AVERAGEIFS(Tabla_Proyectos[TRL inicial],Tabla_Proyectos[Sistema productivo],"Platano",Tabla_Proyectos[TRL inicial],"&lt;&gt;",Tabla_Proyectos[TRL inicial],"&lt;&gt;No definido"),"Sin datos")</f>
        <v>Sin datos</v>
      </c>
      <c r="C47" s="32" t="str">
        <f>IFERROR(AVERAGEIFS(Tabla_Proyectos[TRL final],Tabla_Proyectos[Sistema productivo],"Platano",Tabla_Proyectos[TRL final],"&lt;&gt;",Tabla_Proyectos[TRL final],"&lt;&gt;No definido"),"Sin datos")</f>
        <v>Sin datos</v>
      </c>
      <c r="D47" s="32" t="str">
        <f t="shared" si="0"/>
        <v>Sin datos</v>
      </c>
    </row>
    <row r="48" spans="1:14" ht="18" customHeight="1" x14ac:dyDescent="0.35">
      <c r="A48" s="24" t="s">
        <v>293</v>
      </c>
      <c r="B48" s="33" t="str">
        <f>IFERROR(AVERAGEIFS(Tabla_Proyectos[TRL inicial],Tabla_Proyectos[Sistema productivo],"Chontaduro",Tabla_Proyectos[TRL inicial],"&lt;&gt;",Tabla_Proyectos[TRL inicial],"&lt;&gt;No definido"),"Sin datos")</f>
        <v>Sin datos</v>
      </c>
      <c r="C48" s="33" t="str">
        <f>IFERROR(AVERAGEIFS(Tabla_Proyectos[TRL final],Tabla_Proyectos[Sistema productivo],"Chontaduro",Tabla_Proyectos[TRL final],"&lt;&gt;",Tabla_Proyectos[TRL final],"&lt;&gt;No definido"),"Sin datos")</f>
        <v>Sin datos</v>
      </c>
      <c r="D48" s="33" t="str">
        <f t="shared" si="0"/>
        <v>Sin datos</v>
      </c>
    </row>
    <row r="49" spans="1:4" ht="18" customHeight="1" x14ac:dyDescent="0.35">
      <c r="A49" s="21" t="s">
        <v>318</v>
      </c>
      <c r="B49" s="32" t="str">
        <f>IFERROR(AVERAGEIFS(Tabla_Proyectos[TRL inicial],Tabla_Proyectos[Sistema productivo],"Guanábana",Tabla_Proyectos[TRL inicial],"&lt;&gt;",Tabla_Proyectos[TRL inicial],"&lt;&gt;No definido"),"Sin datos")</f>
        <v>Sin datos</v>
      </c>
      <c r="C49" s="32" t="str">
        <f>IFERROR(AVERAGEIFS(Tabla_Proyectos[TRL final],Tabla_Proyectos[Sistema productivo],"Guanábana",Tabla_Proyectos[TRL final],"&lt;&gt;",Tabla_Proyectos[TRL final],"&lt;&gt;No definido"),"Sin datos")</f>
        <v>Sin datos</v>
      </c>
      <c r="D49" s="32" t="str">
        <f t="shared" si="0"/>
        <v>Sin datos</v>
      </c>
    </row>
    <row r="50" spans="1:4" ht="18" customHeight="1" x14ac:dyDescent="0.35">
      <c r="A50" s="24" t="s">
        <v>322</v>
      </c>
      <c r="B50" s="33" t="str">
        <f>IFERROR(AVERAGEIFS(Tabla_Proyectos[TRL inicial],Tabla_Proyectos[Sistema productivo],"Guayaba",Tabla_Proyectos[TRL inicial],"&lt;&gt;",Tabla_Proyectos[TRL inicial],"&lt;&gt;No definido"),"Sin datos")</f>
        <v>Sin datos</v>
      </c>
      <c r="C50" s="33" t="str">
        <f>IFERROR(AVERAGEIFS(Tabla_Proyectos[TRL final],Tabla_Proyectos[Sistema productivo],"Guayaba",Tabla_Proyectos[TRL final],"&lt;&gt;",Tabla_Proyectos[TRL final],"&lt;&gt;No definido"),"Sin datos")</f>
        <v>Sin datos</v>
      </c>
      <c r="D50" s="33" t="str">
        <f t="shared" si="0"/>
        <v>Sin datos</v>
      </c>
    </row>
    <row r="51" spans="1:4" ht="18" customHeight="1" x14ac:dyDescent="0.35">
      <c r="A51" s="21" t="s">
        <v>365</v>
      </c>
      <c r="B51" s="32" t="str">
        <f>IFERROR(AVERAGEIFS(Tabla_Proyectos[TRL inicial],Tabla_Proyectos[Sistema productivo],"Naranjas",Tabla_Proyectos[TRL inicial],"&lt;&gt;",Tabla_Proyectos[TRL inicial],"&lt;&gt;No definido"),"Sin datos")</f>
        <v>Sin datos</v>
      </c>
      <c r="C51" s="32" t="str">
        <f>IFERROR(AVERAGEIFS(Tabla_Proyectos[TRL final],Tabla_Proyectos[Sistema productivo],"Naranjas",Tabla_Proyectos[TRL final],"&lt;&gt;",Tabla_Proyectos[TRL final],"&lt;&gt;No definido"),"Sin datos")</f>
        <v>Sin datos</v>
      </c>
      <c r="D51" s="32" t="str">
        <f t="shared" si="0"/>
        <v>Sin datos</v>
      </c>
    </row>
    <row r="52" spans="1:4" ht="18" customHeight="1" x14ac:dyDescent="0.35">
      <c r="A52" s="24" t="s">
        <v>580</v>
      </c>
      <c r="B52" s="33" t="str">
        <f>IFERROR(AVERAGEIFS(Tabla_Proyectos[TRL inicial],Tabla_Proyectos[Sistema productivo],"Banano",Tabla_Proyectos[TRL inicial],"&lt;&gt;",Tabla_Proyectos[TRL inicial],"&lt;&gt;No definido"),"Sin datos")</f>
        <v>Sin datos</v>
      </c>
      <c r="C52" s="33" t="str">
        <f>IFERROR(AVERAGEIFS(Tabla_Proyectos[TRL final],Tabla_Proyectos[Sistema productivo],"Banano",Tabla_Proyectos[TRL final],"&lt;&gt;",Tabla_Proyectos[TRL final],"&lt;&gt;No definido"),"Sin datos")</f>
        <v>Sin datos</v>
      </c>
      <c r="D52" s="33" t="str">
        <f t="shared" si="0"/>
        <v>Sin datos</v>
      </c>
    </row>
    <row r="53" spans="1:4" ht="18" customHeight="1" x14ac:dyDescent="0.35">
      <c r="A53" s="21" t="s">
        <v>615</v>
      </c>
      <c r="B53" s="32" t="str">
        <f>IFERROR(AVERAGEIFS(Tabla_Proyectos[TRL inicial],Tabla_Proyectos[Sistema productivo],"Maiz",Tabla_Proyectos[TRL inicial],"&lt;&gt;",Tabla_Proyectos[TRL inicial],"&lt;&gt;No definido"),"Sin datos")</f>
        <v>Sin datos</v>
      </c>
      <c r="C53" s="32" t="str">
        <f>IFERROR(AVERAGEIFS(Tabla_Proyectos[TRL final],Tabla_Proyectos[Sistema productivo],"Maiz",Tabla_Proyectos[TRL final],"&lt;&gt;",Tabla_Proyectos[TRL final],"&lt;&gt;No definido"),"Sin datos")</f>
        <v>Sin datos</v>
      </c>
      <c r="D53" s="32" t="str">
        <f t="shared" si="0"/>
        <v>Sin datos</v>
      </c>
    </row>
    <row r="54" spans="1:4" ht="18" customHeight="1" x14ac:dyDescent="0.35">
      <c r="A54" s="24" t="s">
        <v>616</v>
      </c>
      <c r="B54" s="33" t="str">
        <f>IFERROR(AVERAGEIFS(Tabla_Proyectos[TRL inicial],Tabla_Proyectos[Sistema productivo],"Frijol",Tabla_Proyectos[TRL inicial],"&lt;&gt;",Tabla_Proyectos[TRL inicial],"&lt;&gt;No definido"),"Sin datos")</f>
        <v>Sin datos</v>
      </c>
      <c r="C54" s="33" t="str">
        <f>IFERROR(AVERAGEIFS(Tabla_Proyectos[TRL final],Tabla_Proyectos[Sistema productivo],"Frijol",Tabla_Proyectos[TRL final],"&lt;&gt;",Tabla_Proyectos[TRL final],"&lt;&gt;No definido"),"Sin datos")</f>
        <v>Sin datos</v>
      </c>
      <c r="D54" s="33" t="str">
        <f t="shared" si="0"/>
        <v>Sin datos</v>
      </c>
    </row>
    <row r="55" spans="1:4" ht="18" customHeight="1" x14ac:dyDescent="0.35">
      <c r="A55" s="21" t="s">
        <v>617</v>
      </c>
      <c r="B55" s="32" t="str">
        <f>IFERROR(AVERAGEIFS(Tabla_Proyectos[TRL inicial],Tabla_Proyectos[Sistema productivo],"Cebolla",Tabla_Proyectos[TRL inicial],"&lt;&gt;",Tabla_Proyectos[TRL inicial],"&lt;&gt;No definido"),"Sin datos")</f>
        <v>Sin datos</v>
      </c>
      <c r="C55" s="32" t="str">
        <f>IFERROR(AVERAGEIFS(Tabla_Proyectos[TRL final],Tabla_Proyectos[Sistema productivo],"Cebolla",Tabla_Proyectos[TRL final],"&lt;&gt;",Tabla_Proyectos[TRL final],"&lt;&gt;No definido"),"Sin datos")</f>
        <v>Sin datos</v>
      </c>
      <c r="D55" s="32" t="str">
        <f t="shared" si="0"/>
        <v>Sin datos</v>
      </c>
    </row>
    <row r="56" spans="1:4" ht="18" customHeight="1" x14ac:dyDescent="0.35">
      <c r="A56" s="24" t="s">
        <v>417</v>
      </c>
      <c r="B56" s="33" t="str">
        <f>IFERROR(AVERAGEIFS(Tabla_Proyectos[TRL inicial],Tabla_Proyectos[Sistema productivo],"Yuca",Tabla_Proyectos[TRL inicial],"&lt;&gt;",Tabla_Proyectos[TRL inicial],"&lt;&gt;No definido"),"Sin datos")</f>
        <v>Sin datos</v>
      </c>
      <c r="C56" s="33" t="str">
        <f>IFERROR(AVERAGEIFS(Tabla_Proyectos[TRL final],Tabla_Proyectos[Sistema productivo],"Yuca",Tabla_Proyectos[TRL final],"&lt;&gt;",Tabla_Proyectos[TRL final],"&lt;&gt;No definido"),"Sin datos")</f>
        <v>Sin datos</v>
      </c>
      <c r="D56" s="33" t="str">
        <f t="shared" si="0"/>
        <v>Sin datos</v>
      </c>
    </row>
    <row r="57" spans="1:4" ht="18" customHeight="1" x14ac:dyDescent="0.35">
      <c r="A57" s="21" t="s">
        <v>618</v>
      </c>
      <c r="B57" s="32" t="str">
        <f>IFERROR(AVERAGEIFS(Tabla_Proyectos[TRL inicial],Tabla_Proyectos[Sistema productivo],"Ganaderia ",Tabla_Proyectos[TRL inicial],"&lt;&gt;",Tabla_Proyectos[TRL inicial],"&lt;&gt;No definido"),"Sin datos")</f>
        <v>Sin datos</v>
      </c>
      <c r="C57" s="32" t="str">
        <f>IFERROR(AVERAGEIFS(Tabla_Proyectos[TRL final],Tabla_Proyectos[Sistema productivo],"Ganaderia ",Tabla_Proyectos[TRL final],"&lt;&gt;",Tabla_Proyectos[TRL final],"&lt;&gt;No definido"),"Sin datos")</f>
        <v>Sin datos</v>
      </c>
      <c r="D57" s="32" t="str">
        <f t="shared" si="0"/>
        <v>Sin datos</v>
      </c>
    </row>
    <row r="58" spans="1:4" ht="18" customHeight="1" x14ac:dyDescent="0.35">
      <c r="A58" s="24" t="s">
        <v>619</v>
      </c>
      <c r="B58" s="33" t="str">
        <f>IFERROR(AVERAGEIFS(Tabla_Proyectos[TRL inicial],Tabla_Proyectos[Sistema productivo],"Apicola",Tabla_Proyectos[TRL inicial],"&lt;&gt;",Tabla_Proyectos[TRL inicial],"&lt;&gt;No definido"),"Sin datos")</f>
        <v>Sin datos</v>
      </c>
      <c r="C58" s="33" t="str">
        <f>IFERROR(AVERAGEIFS(Tabla_Proyectos[TRL final],Tabla_Proyectos[Sistema productivo],"Apicola",Tabla_Proyectos[TRL final],"&lt;&gt;",Tabla_Proyectos[TRL final],"&lt;&gt;No definido"),"Sin datos")</f>
        <v>Sin datos</v>
      </c>
      <c r="D58" s="33" t="str">
        <f t="shared" si="0"/>
        <v>Sin datos</v>
      </c>
    </row>
    <row r="59" spans="1:4" ht="18" customHeight="1" x14ac:dyDescent="0.35">
      <c r="A59" s="21" t="s">
        <v>356</v>
      </c>
      <c r="B59" s="32" t="str">
        <f>IFERROR(AVERAGEIFS(Tabla_Proyectos[TRL inicial],Tabla_Proyectos[Sistema productivo],"Maracuya",Tabla_Proyectos[TRL inicial],"&lt;&gt;",Tabla_Proyectos[TRL inicial],"&lt;&gt;No definido"),"Sin datos")</f>
        <v>Sin datos</v>
      </c>
      <c r="C59" s="32" t="str">
        <f>IFERROR(AVERAGEIFS(Tabla_Proyectos[TRL final],Tabla_Proyectos[Sistema productivo],"Maracuya",Tabla_Proyectos[TRL final],"&lt;&gt;",Tabla_Proyectos[TRL final],"&lt;&gt;No definido"),"Sin datos")</f>
        <v>Sin datos</v>
      </c>
      <c r="D59" s="32" t="str">
        <f t="shared" si="0"/>
        <v>Sin datos</v>
      </c>
    </row>
    <row r="60" spans="1:4" ht="18" customHeight="1" x14ac:dyDescent="0.35">
      <c r="A60" s="24" t="s">
        <v>179</v>
      </c>
      <c r="B60" s="33" t="str">
        <f>IFERROR(AVERAGEIFS(Tabla_Proyectos[TRL inicial],Tabla_Proyectos[Sistema productivo],"Ají",Tabla_Proyectos[TRL inicial],"&lt;&gt;",Tabla_Proyectos[TRL inicial],"&lt;&gt;No definido"),"Sin datos")</f>
        <v>Sin datos</v>
      </c>
      <c r="C60" s="33" t="str">
        <f>IFERROR(AVERAGEIFS(Tabla_Proyectos[TRL final],Tabla_Proyectos[Sistema productivo],"Ají",Tabla_Proyectos[TRL final],"&lt;&gt;",Tabla_Proyectos[TRL final],"&lt;&gt;No definido"),"Sin datos")</f>
        <v>Sin datos</v>
      </c>
      <c r="D60" s="33" t="str">
        <f t="shared" si="0"/>
        <v>Sin datos</v>
      </c>
    </row>
    <row r="61" spans="1:4" ht="18" customHeight="1" x14ac:dyDescent="0.35">
      <c r="A61" s="21" t="s">
        <v>305</v>
      </c>
      <c r="B61" s="32" t="str">
        <f>IFERROR(AVERAGEIFS(Tabla_Proyectos[TRL inicial],Tabla_Proyectos[Sistema productivo],"Forestal",Tabla_Proyectos[TRL inicial],"&lt;&gt;",Tabla_Proyectos[TRL inicial],"&lt;&gt;No definido"),"Sin datos")</f>
        <v>Sin datos</v>
      </c>
      <c r="C61" s="32" t="str">
        <f>IFERROR(AVERAGEIFS(Tabla_Proyectos[TRL final],Tabla_Proyectos[Sistema productivo],"Forestal",Tabla_Proyectos[TRL final],"&lt;&gt;",Tabla_Proyectos[TRL final],"&lt;&gt;No definido"),"Sin datos")</f>
        <v>Sin datos</v>
      </c>
      <c r="D61" s="32" t="str">
        <f t="shared" si="0"/>
        <v>Sin datos</v>
      </c>
    </row>
    <row r="62" spans="1:4" ht="18" customHeight="1" x14ac:dyDescent="0.35">
      <c r="A62" s="24" t="s">
        <v>404</v>
      </c>
      <c r="B62" s="33" t="str">
        <f>IFERROR(AVERAGEIFS(Tabla_Proyectos[TRL inicial],Tabla_Proyectos[Sistema productivo],"Quinua",Tabla_Proyectos[TRL inicial],"&lt;&gt;",Tabla_Proyectos[TRL inicial],"&lt;&gt;No definido"),"Sin datos")</f>
        <v>Sin datos</v>
      </c>
      <c r="C62" s="33" t="str">
        <f>IFERROR(AVERAGEIFS(Tabla_Proyectos[TRL final],Tabla_Proyectos[Sistema productivo],"Quinua",Tabla_Proyectos[TRL final],"&lt;&gt;",Tabla_Proyectos[TRL final],"&lt;&gt;No definido"),"Sin datos")</f>
        <v>Sin datos</v>
      </c>
      <c r="D62" s="33" t="str">
        <f t="shared" si="0"/>
        <v>Sin datos</v>
      </c>
    </row>
    <row r="63" spans="1:4" ht="18" customHeight="1" x14ac:dyDescent="0.35">
      <c r="A63" s="21" t="s">
        <v>620</v>
      </c>
      <c r="B63" s="32" t="str">
        <f>IFERROR(AVERAGEIFS(Tabla_Proyectos[TRL inicial],Tabla_Proyectos[Sistema productivo],"Caña panelera",Tabla_Proyectos[TRL inicial],"&lt;&gt;",Tabla_Proyectos[TRL inicial],"&lt;&gt;No definido"),"Sin datos")</f>
        <v>Sin datos</v>
      </c>
      <c r="C63" s="32" t="str">
        <f>IFERROR(AVERAGEIFS(Tabla_Proyectos[TRL final],Tabla_Proyectos[Sistema productivo],"Caña panelera",Tabla_Proyectos[TRL final],"&lt;&gt;",Tabla_Proyectos[TRL final],"&lt;&gt;No definido"),"Sin datos")</f>
        <v>Sin datos</v>
      </c>
      <c r="D63" s="32" t="str">
        <f t="shared" si="0"/>
        <v>Sin datos</v>
      </c>
    </row>
    <row r="64" spans="1:4" ht="18" customHeight="1" x14ac:dyDescent="0.35">
      <c r="A64" s="24" t="s">
        <v>302</v>
      </c>
      <c r="B64" s="33" t="str">
        <f>IFERROR(AVERAGEIFS(Tabla_Proyectos[TRL inicial],Tabla_Proyectos[Sistema productivo],"Fique",Tabla_Proyectos[TRL inicial],"&lt;&gt;",Tabla_Proyectos[TRL inicial],"&lt;&gt;No definido"),"Sin datos")</f>
        <v>Sin datos</v>
      </c>
      <c r="C64" s="33" t="str">
        <f>IFERROR(AVERAGEIFS(Tabla_Proyectos[TRL final],Tabla_Proyectos[Sistema productivo],"Fique",Tabla_Proyectos[TRL final],"&lt;&gt;",Tabla_Proyectos[TRL final],"&lt;&gt;No definido"),"Sin datos")</f>
        <v>Sin datos</v>
      </c>
      <c r="D64" s="33" t="str">
        <f t="shared" si="0"/>
        <v>Sin datos</v>
      </c>
    </row>
    <row r="65" spans="1:4" ht="18" customHeight="1" x14ac:dyDescent="0.35">
      <c r="A65" s="21" t="s">
        <v>351</v>
      </c>
      <c r="B65" s="32" t="str">
        <f>IFERROR(AVERAGEIFS(Tabla_Proyectos[TRL inicial],Tabla_Proyectos[Sistema productivo],"Limón Pajarito",Tabla_Proyectos[TRL inicial],"&lt;&gt;",Tabla_Proyectos[TRL inicial],"&lt;&gt;No definido"),"Sin datos")</f>
        <v>Sin datos</v>
      </c>
      <c r="C65" s="32" t="str">
        <f>IFERROR(AVERAGEIFS(Tabla_Proyectos[TRL final],Tabla_Proyectos[Sistema productivo],"Limón Pajarito",Tabla_Proyectos[TRL final],"&lt;&gt;",Tabla_Proyectos[TRL final],"&lt;&gt;No definido"),"Sin datos")</f>
        <v>Sin datos</v>
      </c>
      <c r="D65" s="32" t="str">
        <f t="shared" si="0"/>
        <v>Sin datos</v>
      </c>
    </row>
    <row r="66" spans="1:4" ht="18" customHeight="1" x14ac:dyDescent="0.35">
      <c r="A66" s="24" t="s">
        <v>363</v>
      </c>
      <c r="B66" s="33" t="str">
        <f>IFERROR(AVERAGEIFS(Tabla_Proyectos[TRL inicial],Tabla_Proyectos[Sistema productivo],"Mora",Tabla_Proyectos[TRL inicial],"&lt;&gt;",Tabla_Proyectos[TRL inicial],"&lt;&gt;No definido"),"Sin datos")</f>
        <v>Sin datos</v>
      </c>
      <c r="C66" s="33" t="str">
        <f>IFERROR(AVERAGEIFS(Tabla_Proyectos[TRL final],Tabla_Proyectos[Sistema productivo],"Mora",Tabla_Proyectos[TRL final],"&lt;&gt;",Tabla_Proyectos[TRL final],"&lt;&gt;No definido"),"Sin datos")</f>
        <v>Sin datos</v>
      </c>
      <c r="D66" s="33" t="str">
        <f t="shared" si="0"/>
        <v>Sin datos</v>
      </c>
    </row>
    <row r="67" spans="1:4" ht="18" customHeight="1" x14ac:dyDescent="0.35">
      <c r="A67" s="21" t="s">
        <v>361</v>
      </c>
      <c r="B67" s="32" t="str">
        <f>IFERROR(AVERAGEIFS(Tabla_Proyectos[TRL inicial],Tabla_Proyectos[Sistema productivo],"Melón",Tabla_Proyectos[TRL inicial],"&lt;&gt;",Tabla_Proyectos[TRL inicial],"&lt;&gt;No definido"),"Sin datos")</f>
        <v>Sin datos</v>
      </c>
      <c r="C67" s="32" t="str">
        <f>IFERROR(AVERAGEIFS(Tabla_Proyectos[TRL final],Tabla_Proyectos[Sistema productivo],"Melón",Tabla_Proyectos[TRL final],"&lt;&gt;",Tabla_Proyectos[TRL final],"&lt;&gt;No definido"),"Sin datos")</f>
        <v>Sin datos</v>
      </c>
      <c r="D67" s="32" t="str">
        <f t="shared" si="0"/>
        <v>Sin datos</v>
      </c>
    </row>
    <row r="68" spans="1:4" ht="18" customHeight="1" x14ac:dyDescent="0.35">
      <c r="A68" s="24" t="s">
        <v>383</v>
      </c>
      <c r="B68" s="33" t="str">
        <f>IFERROR(AVERAGEIFS(Tabla_Proyectos[TRL inicial],Tabla_Proyectos[Sistema productivo],"Palma de aceite Americana",Tabla_Proyectos[TRL inicial],"&lt;&gt;",Tabla_Proyectos[TRL inicial],"&lt;&gt;No definido"),"Sin datos")</f>
        <v>Sin datos</v>
      </c>
      <c r="C68" s="33" t="str">
        <f>IFERROR(AVERAGEIFS(Tabla_Proyectos[TRL final],Tabla_Proyectos[Sistema productivo],"Palma de aceite Americana",Tabla_Proyectos[TRL final],"&lt;&gt;",Tabla_Proyectos[TRL final],"&lt;&gt;No definido"),"Sin datos")</f>
        <v>Sin datos</v>
      </c>
      <c r="D68" s="33" t="str">
        <f t="shared" si="0"/>
        <v>Sin datos</v>
      </c>
    </row>
    <row r="69" spans="1:4" ht="18" customHeight="1" x14ac:dyDescent="0.35">
      <c r="A69" s="21" t="s">
        <v>378</v>
      </c>
      <c r="B69" s="32" t="str">
        <f>IFERROR(AVERAGEIFS(Tabla_Proyectos[TRL inicial],Tabla_Proyectos[Sistema productivo],"Palma de aceite Africana",Tabla_Proyectos[TRL inicial],"&lt;&gt;",Tabla_Proyectos[TRL inicial],"&lt;&gt;No definido"),"Sin datos")</f>
        <v>Sin datos</v>
      </c>
      <c r="C69" s="32" t="str">
        <f>IFERROR(AVERAGEIFS(Tabla_Proyectos[TRL final],Tabla_Proyectos[Sistema productivo],"Palma de aceite Africana",Tabla_Proyectos[TRL final],"&lt;&gt;",Tabla_Proyectos[TRL final],"&lt;&gt;No definido"),"Sin datos")</f>
        <v>Sin datos</v>
      </c>
      <c r="D69" s="32" t="str">
        <f t="shared" si="0"/>
        <v>Sin datos</v>
      </c>
    </row>
    <row r="70" spans="1:4" ht="18" customHeight="1" x14ac:dyDescent="0.35">
      <c r="A70" s="24" t="s">
        <v>181</v>
      </c>
      <c r="B70" s="33" t="str">
        <f>IFERROR(AVERAGEIFS(Tabla_Proyectos[TRL inicial],Tabla_Proyectos[Sistema productivo],"Bancos de Germoplasma",Tabla_Proyectos[TRL inicial],"&lt;&gt;",Tabla_Proyectos[TRL inicial],"&lt;&gt;No definido"),"Sin datos")</f>
        <v>Sin datos</v>
      </c>
      <c r="C70" s="33" t="str">
        <f>IFERROR(AVERAGEIFS(Tabla_Proyectos[TRL final],Tabla_Proyectos[Sistema productivo],"Bancos de Germoplasma",Tabla_Proyectos[TRL final],"&lt;&gt;",Tabla_Proyectos[TRL final],"&lt;&gt;No definido"),"Sin datos")</f>
        <v>Sin datos</v>
      </c>
      <c r="D70" s="33" t="str">
        <f t="shared" si="0"/>
        <v>Sin datos</v>
      </c>
    </row>
    <row r="71" spans="1:4" ht="18" customHeight="1" x14ac:dyDescent="0.35">
      <c r="A71" s="21" t="s">
        <v>80</v>
      </c>
      <c r="B71" s="32" t="str">
        <f>IFERROR(AVERAGEIFS(Tabla_Proyectos[TRL inicial],Tabla_Proyectos[Sistema productivo],"Agraz",Tabla_Proyectos[TRL inicial],"&lt;&gt;",Tabla_Proyectos[TRL inicial],"&lt;&gt;No definido"),"Sin datos")</f>
        <v>Sin datos</v>
      </c>
      <c r="C71" s="32" t="str">
        <f>IFERROR(AVERAGEIFS(Tabla_Proyectos[TRL final],Tabla_Proyectos[Sistema productivo],"Agraz",Tabla_Proyectos[TRL final],"&lt;&gt;",Tabla_Proyectos[TRL final],"&lt;&gt;No definido"),"Sin datos")</f>
        <v>Sin datos</v>
      </c>
      <c r="D71" s="32" t="str">
        <f t="shared" si="0"/>
        <v>Sin datos</v>
      </c>
    </row>
    <row r="72" spans="1:4" ht="18" customHeight="1" x14ac:dyDescent="0.35">
      <c r="A72" s="24" t="s">
        <v>395</v>
      </c>
      <c r="B72" s="33" t="str">
        <f>IFERROR(AVERAGEIFS(Tabla_Proyectos[TRL inicial],Tabla_Proyectos[Sistema productivo],"Pitaya Amarilla",Tabla_Proyectos[TRL inicial],"&lt;&gt;",Tabla_Proyectos[TRL inicial],"&lt;&gt;No definido"),"Sin datos")</f>
        <v>Sin datos</v>
      </c>
      <c r="C72" s="33" t="str">
        <f>IFERROR(AVERAGEIFS(Tabla_Proyectos[TRL final],Tabla_Proyectos[Sistema productivo],"Pitaya Amarilla",Tabla_Proyectos[TRL final],"&lt;&gt;",Tabla_Proyectos[TRL final],"&lt;&gt;No definido"),"Sin datos")</f>
        <v>Sin datos</v>
      </c>
      <c r="D72" s="33" t="str">
        <f t="shared" si="0"/>
        <v>Sin datos</v>
      </c>
    </row>
    <row r="73" spans="1:4" ht="18" customHeight="1" x14ac:dyDescent="0.35">
      <c r="A73" s="21" t="s">
        <v>385</v>
      </c>
      <c r="B73" s="32" t="str">
        <f>IFERROR(AVERAGEIFS(Tabla_Proyectos[TRL inicial],Tabla_Proyectos[Sistema productivo],"Palmaceas",Tabla_Proyectos[TRL inicial],"&lt;&gt;",Tabla_Proyectos[TRL inicial],"&lt;&gt;No definido"),"Sin datos")</f>
        <v>Sin datos</v>
      </c>
      <c r="C73" s="32" t="str">
        <f>IFERROR(AVERAGEIFS(Tabla_Proyectos[TRL final],Tabla_Proyectos[Sistema productivo],"Palmaceas",Tabla_Proyectos[TRL final],"&lt;&gt;",Tabla_Proyectos[TRL final],"&lt;&gt;No definido"),"Sin datos")</f>
        <v>Sin datos</v>
      </c>
      <c r="D73" s="32" t="str">
        <f t="shared" si="0"/>
        <v>Sin datos</v>
      </c>
    </row>
    <row r="74" spans="1:4" ht="18" customHeight="1" x14ac:dyDescent="0.35">
      <c r="A74" s="24" t="s">
        <v>299</v>
      </c>
      <c r="B74" s="33" t="str">
        <f>IFERROR(AVERAGEIFS(Tabla_Proyectos[TRL inicial],Tabla_Proyectos[Sistema productivo],"Coco",Tabla_Proyectos[TRL inicial],"&lt;&gt;",Tabla_Proyectos[TRL inicial],"&lt;&gt;No definido"),"Sin datos")</f>
        <v>Sin datos</v>
      </c>
      <c r="C74" s="33" t="str">
        <f>IFERROR(AVERAGEIFS(Tabla_Proyectos[TRL final],Tabla_Proyectos[Sistema productivo],"Coco",Tabla_Proyectos[TRL final],"&lt;&gt;",Tabla_Proyectos[TRL final],"&lt;&gt;No definido"),"Sin datos")</f>
        <v>Sin datos</v>
      </c>
      <c r="D74" s="33" t="str">
        <f t="shared" si="0"/>
        <v>Sin datos</v>
      </c>
    </row>
    <row r="75" spans="1:4" ht="18" customHeight="1" x14ac:dyDescent="0.35">
      <c r="A75" s="21" t="s">
        <v>156</v>
      </c>
      <c r="B75" s="32" t="str">
        <f>IFERROR(AVERAGEIFS(Tabla_Proyectos[TRL inicial],Tabla_Proyectos[Sistema productivo],"Otro",Tabla_Proyectos[TRL inicial],"&lt;&gt;",Tabla_Proyectos[TRL inicial],"&lt;&gt;No definido"),"Sin datos")</f>
        <v>Sin datos</v>
      </c>
      <c r="C75" s="32" t="str">
        <f>IFERROR(AVERAGEIFS(Tabla_Proyectos[TRL final],Tabla_Proyectos[Sistema productivo],"Otro",Tabla_Proyectos[TRL final],"&lt;&gt;",Tabla_Proyectos[TRL final],"&lt;&gt;No definido"),"Sin datos")</f>
        <v>Sin datos</v>
      </c>
      <c r="D75" s="32" t="str">
        <f t="shared" si="0"/>
        <v>Sin datos</v>
      </c>
    </row>
    <row r="78" spans="1:4" ht="22" customHeight="1" x14ac:dyDescent="0.35">
      <c r="A78" s="62" t="s">
        <v>668</v>
      </c>
      <c r="B78" s="63"/>
      <c r="C78" s="63"/>
      <c r="D78" s="64"/>
    </row>
    <row r="79" spans="1:4" ht="20" customHeight="1" x14ac:dyDescent="0.35">
      <c r="A79" s="7" t="s">
        <v>22</v>
      </c>
      <c r="B79" s="7" t="s">
        <v>565</v>
      </c>
      <c r="C79" s="7" t="s">
        <v>669</v>
      </c>
      <c r="D79" s="7" t="s">
        <v>636</v>
      </c>
    </row>
    <row r="80" spans="1:4" ht="18" customHeight="1" x14ac:dyDescent="0.35">
      <c r="A80" s="22" t="s">
        <v>64</v>
      </c>
      <c r="B80" s="22">
        <f>COUNTIF(Tabla_Proyectos[TRL final],"No definido")</f>
        <v>1</v>
      </c>
      <c r="C80" s="23">
        <f>IFERROR(B80/COUNTIF(Tabla_Proyectos[TRL final],"&lt;&gt;"),0)</f>
        <v>0.125</v>
      </c>
      <c r="D80" s="21" t="s">
        <v>670</v>
      </c>
    </row>
    <row r="81" spans="1:4" ht="18" customHeight="1" x14ac:dyDescent="0.35">
      <c r="A81" s="25" t="s">
        <v>671</v>
      </c>
      <c r="B81" s="25">
        <f>COUNTIF(Tabla_Proyectos[TRL final],"1")</f>
        <v>0</v>
      </c>
      <c r="C81" s="26">
        <f>IFERROR(B81/COUNTIF(Tabla_Proyectos[TRL final],"&lt;&gt;"),0)</f>
        <v>0</v>
      </c>
      <c r="D81" s="24" t="s">
        <v>646</v>
      </c>
    </row>
    <row r="82" spans="1:4" ht="18" customHeight="1" x14ac:dyDescent="0.35">
      <c r="A82" s="22" t="s">
        <v>672</v>
      </c>
      <c r="B82" s="22">
        <f>COUNTIF(Tabla_Proyectos[TRL final],"2")</f>
        <v>0</v>
      </c>
      <c r="C82" s="23">
        <f>IFERROR(B82/COUNTIF(Tabla_Proyectos[TRL final],"&lt;&gt;"),0)</f>
        <v>0</v>
      </c>
      <c r="D82" s="21" t="s">
        <v>673</v>
      </c>
    </row>
    <row r="83" spans="1:4" ht="18" customHeight="1" x14ac:dyDescent="0.35">
      <c r="A83" s="25" t="s">
        <v>674</v>
      </c>
      <c r="B83" s="25">
        <f>COUNTIF(Tabla_Proyectos[TRL final],"3")</f>
        <v>0</v>
      </c>
      <c r="C83" s="26">
        <f>IFERROR(B83/COUNTIF(Tabla_Proyectos[TRL final],"&lt;&gt;"),0)</f>
        <v>0</v>
      </c>
      <c r="D83" s="24" t="s">
        <v>675</v>
      </c>
    </row>
    <row r="84" spans="1:4" ht="18" customHeight="1" x14ac:dyDescent="0.35">
      <c r="A84" s="22" t="s">
        <v>676</v>
      </c>
      <c r="B84" s="22">
        <f>COUNTIF(Tabla_Proyectos[TRL final],"4")</f>
        <v>0</v>
      </c>
      <c r="C84" s="23">
        <f>IFERROR(B84/COUNTIF(Tabla_Proyectos[TRL final],"&lt;&gt;"),0)</f>
        <v>0</v>
      </c>
      <c r="D84" s="21" t="s">
        <v>677</v>
      </c>
    </row>
    <row r="85" spans="1:4" ht="18" customHeight="1" x14ac:dyDescent="0.35">
      <c r="A85" s="25" t="s">
        <v>678</v>
      </c>
      <c r="B85" s="25">
        <f>COUNTIF(Tabla_Proyectos[TRL final],"5")</f>
        <v>2</v>
      </c>
      <c r="C85" s="26">
        <f>IFERROR(B85/COUNTIF(Tabla_Proyectos[TRL final],"&lt;&gt;"),0)</f>
        <v>0.25</v>
      </c>
      <c r="D85" s="24" t="s">
        <v>679</v>
      </c>
    </row>
    <row r="86" spans="1:4" ht="18" customHeight="1" x14ac:dyDescent="0.35">
      <c r="A86" s="22" t="s">
        <v>680</v>
      </c>
      <c r="B86" s="22">
        <f>COUNTIF(Tabla_Proyectos[TRL final],"6")</f>
        <v>2</v>
      </c>
      <c r="C86" s="23">
        <f>IFERROR(B86/COUNTIF(Tabla_Proyectos[TRL final],"&lt;&gt;"),0)</f>
        <v>0.25</v>
      </c>
      <c r="D86" s="21" t="s">
        <v>681</v>
      </c>
    </row>
    <row r="87" spans="1:4" ht="18" customHeight="1" x14ac:dyDescent="0.35">
      <c r="A87" s="25" t="s">
        <v>682</v>
      </c>
      <c r="B87" s="25">
        <f>COUNTIF(Tabla_Proyectos[TRL final],"7")</f>
        <v>2</v>
      </c>
      <c r="C87" s="26">
        <f>IFERROR(B87/COUNTIF(Tabla_Proyectos[TRL final],"&lt;&gt;"),0)</f>
        <v>0.25</v>
      </c>
      <c r="D87" s="24" t="s">
        <v>683</v>
      </c>
    </row>
    <row r="88" spans="1:4" ht="18" customHeight="1" x14ac:dyDescent="0.35">
      <c r="A88" s="22" t="s">
        <v>684</v>
      </c>
      <c r="B88" s="22">
        <f>COUNTIF(Tabla_Proyectos[TRL final],"8")</f>
        <v>1</v>
      </c>
      <c r="C88" s="23">
        <f>IFERROR(B88/COUNTIF(Tabla_Proyectos[TRL final],"&lt;&gt;"),0)</f>
        <v>0.125</v>
      </c>
      <c r="D88" s="21" t="s">
        <v>685</v>
      </c>
    </row>
    <row r="89" spans="1:4" ht="18" customHeight="1" x14ac:dyDescent="0.35">
      <c r="A89" s="25" t="s">
        <v>686</v>
      </c>
      <c r="B89" s="25">
        <f>COUNTIF(Tabla_Proyectos[TRL final],"9")</f>
        <v>0</v>
      </c>
      <c r="C89" s="26">
        <f>IFERROR(B89/COUNTIF(Tabla_Proyectos[TRL final],"&lt;&gt;"),0)</f>
        <v>0</v>
      </c>
      <c r="D89" s="24" t="s">
        <v>687</v>
      </c>
    </row>
  </sheetData>
  <mergeCells count="6">
    <mergeCell ref="A1:K1"/>
    <mergeCell ref="A78:D78"/>
    <mergeCell ref="A2:K2"/>
    <mergeCell ref="E4:K4"/>
    <mergeCell ref="A41:D41"/>
    <mergeCell ref="A4:C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F83"/>
  <sheetViews>
    <sheetView workbookViewId="0">
      <pane ySplit="5" topLeftCell="A6" activePane="bottomLeft" state="frozen"/>
      <selection pane="bottomLeft" sqref="A1:F1"/>
    </sheetView>
  </sheetViews>
  <sheetFormatPr baseColWidth="10" defaultColWidth="8.6640625" defaultRowHeight="14.5" x14ac:dyDescent="0.35"/>
  <cols>
    <col min="1" max="1" width="32" customWidth="1"/>
    <col min="2" max="4" width="22" customWidth="1"/>
    <col min="5" max="5" width="34" customWidth="1"/>
    <col min="6" max="6" width="16" customWidth="1"/>
  </cols>
  <sheetData>
    <row r="1" spans="1:6" ht="30.05" customHeight="1" x14ac:dyDescent="0.35">
      <c r="A1" s="66" t="s">
        <v>688</v>
      </c>
      <c r="B1" s="53"/>
      <c r="C1" s="53"/>
      <c r="D1" s="53"/>
      <c r="E1" s="53"/>
      <c r="F1" s="54"/>
    </row>
    <row r="2" spans="1:6" ht="28.05" customHeight="1" x14ac:dyDescent="0.35">
      <c r="A2" s="59" t="s">
        <v>689</v>
      </c>
      <c r="B2" s="60"/>
      <c r="C2" s="60"/>
      <c r="D2" s="60"/>
      <c r="E2" s="60"/>
      <c r="F2" s="60"/>
    </row>
    <row r="4" spans="1:6" ht="22" customHeight="1" x14ac:dyDescent="0.35">
      <c r="A4" s="62" t="s">
        <v>690</v>
      </c>
      <c r="B4" s="63"/>
      <c r="C4" s="63"/>
      <c r="D4" s="64"/>
      <c r="E4" s="62" t="s">
        <v>691</v>
      </c>
      <c r="F4" s="64"/>
    </row>
    <row r="5" spans="1:6" ht="20" customHeight="1" x14ac:dyDescent="0.35">
      <c r="A5" s="7" t="s">
        <v>1</v>
      </c>
      <c r="B5" s="7" t="s">
        <v>692</v>
      </c>
      <c r="C5" s="7" t="s">
        <v>185</v>
      </c>
      <c r="D5" s="7" t="s">
        <v>159</v>
      </c>
      <c r="E5" s="7" t="s">
        <v>36</v>
      </c>
      <c r="F5" s="7" t="s">
        <v>565</v>
      </c>
    </row>
    <row r="6" spans="1:6" ht="18" customHeight="1" x14ac:dyDescent="0.35">
      <c r="A6" s="21" t="s">
        <v>45</v>
      </c>
      <c r="B6" s="22">
        <f>COUNTIFS(Tabla_Proyectos[Sistema productivo],"Aguacate Hass",Tabla_Proyectos[Financiador],"Entes Nacionales y Territoriales")</f>
        <v>14</v>
      </c>
      <c r="C6" s="22">
        <f>COUNTIFS(Tabla_Proyectos[Sistema productivo],"Aguacate Hass",Tabla_Proyectos[Financiador],"Entes Internacionales")</f>
        <v>0</v>
      </c>
      <c r="D6" s="22">
        <f>COUNTIFS(Tabla_Proyectos[Sistema productivo],"Aguacate Hass",Tabla_Proyectos[Financiador],"Sector privado")</f>
        <v>1</v>
      </c>
      <c r="E6" s="21" t="s">
        <v>82</v>
      </c>
      <c r="F6" s="22">
        <f>COUNTIF(Tabla_Proyectos[Financiador],"Entes Nacionales y Territoriales")</f>
        <v>108</v>
      </c>
    </row>
    <row r="7" spans="1:6" ht="18" customHeight="1" x14ac:dyDescent="0.35">
      <c r="A7" s="24" t="s">
        <v>342</v>
      </c>
      <c r="B7" s="25">
        <f>COUNTIFS(Tabla_Proyectos[Sistema productivo],"Lima Acida Tahití",Tabla_Proyectos[Financiador],"Entes Nacionales y Territoriales")</f>
        <v>6</v>
      </c>
      <c r="C7" s="25">
        <f>COUNTIFS(Tabla_Proyectos[Sistema productivo],"Lima Acida Tahití",Tabla_Proyectos[Financiador],"Entes Internacionales")</f>
        <v>3</v>
      </c>
      <c r="D7" s="25">
        <f>COUNTIFS(Tabla_Proyectos[Sistema productivo],"Lima Acida Tahití",Tabla_Proyectos[Financiador],"Sector privado")</f>
        <v>2</v>
      </c>
      <c r="E7" s="24" t="s">
        <v>185</v>
      </c>
      <c r="F7" s="25">
        <f>COUNTIF(Tabla_Proyectos[Financiador],"Entes Internacionales")</f>
        <v>14</v>
      </c>
    </row>
    <row r="8" spans="1:6" ht="18" customHeight="1" x14ac:dyDescent="0.35">
      <c r="A8" s="21" t="s">
        <v>183</v>
      </c>
      <c r="B8" s="22">
        <f>COUNTIFS(Tabla_Proyectos[Sistema productivo],"Cacao",Tabla_Proyectos[Financiador],"Entes Nacionales y Territoriales")</f>
        <v>6</v>
      </c>
      <c r="C8" s="22">
        <f>COUNTIFS(Tabla_Proyectos[Sistema productivo],"Cacao",Tabla_Proyectos[Financiador],"Entes Internacionales")</f>
        <v>9</v>
      </c>
      <c r="D8" s="22">
        <f>COUNTIFS(Tabla_Proyectos[Sistema productivo],"Cacao",Tabla_Proyectos[Financiador],"Sector privado")</f>
        <v>0</v>
      </c>
      <c r="E8" s="21" t="s">
        <v>159</v>
      </c>
      <c r="F8" s="22">
        <f>COUNTIF(Tabla_Proyectos[Financiador],"Sector privado")</f>
        <v>4</v>
      </c>
    </row>
    <row r="9" spans="1:6" ht="18" customHeight="1" x14ac:dyDescent="0.35">
      <c r="A9" s="24" t="s">
        <v>387</v>
      </c>
      <c r="B9" s="25">
        <f>COUNTIFS(Tabla_Proyectos[Sistema productivo],"Piña",Tabla_Proyectos[Financiador],"Entes Nacionales y Territoriales")</f>
        <v>4</v>
      </c>
      <c r="C9" s="25">
        <f>COUNTIFS(Tabla_Proyectos[Sistema productivo],"Piña",Tabla_Proyectos[Financiador],"Entes Internacionales")</f>
        <v>0</v>
      </c>
      <c r="D9" s="25">
        <f>COUNTIFS(Tabla_Proyectos[Sistema productivo],"Piña",Tabla_Proyectos[Financiador],"Sector privado")</f>
        <v>0</v>
      </c>
      <c r="E9" s="24" t="s">
        <v>693</v>
      </c>
      <c r="F9" s="25">
        <f>COUNTIF(Tabla_Proyectos[Financiador],"Agremiaciónes")</f>
        <v>0</v>
      </c>
    </row>
    <row r="10" spans="1:6" ht="18" customHeight="1" x14ac:dyDescent="0.35">
      <c r="A10" s="21" t="s">
        <v>398</v>
      </c>
      <c r="B10" s="22">
        <f>COUNTIFS(Tabla_Proyectos[Sistema productivo],"Platano",Tabla_Proyectos[Financiador],"Entes Nacionales y Territoriales")</f>
        <v>1</v>
      </c>
      <c r="C10" s="22">
        <f>COUNTIFS(Tabla_Proyectos[Sistema productivo],"Platano",Tabla_Proyectos[Financiador],"Entes Internacionales")</f>
        <v>1</v>
      </c>
      <c r="D10" s="22">
        <f>COUNTIFS(Tabla_Proyectos[Sistema productivo],"Platano",Tabla_Proyectos[Financiador],"Sector privado")</f>
        <v>0</v>
      </c>
      <c r="E10" s="21" t="s">
        <v>694</v>
      </c>
      <c r="F10" s="22">
        <f>COUNTIF(Tabla_Proyectos[Financiador],"Instituciones de Educación Superior")</f>
        <v>0</v>
      </c>
    </row>
    <row r="11" spans="1:6" ht="18" customHeight="1" x14ac:dyDescent="0.35">
      <c r="A11" s="24" t="s">
        <v>293</v>
      </c>
      <c r="B11" s="25">
        <f>COUNTIFS(Tabla_Proyectos[Sistema productivo],"Chontaduro",Tabla_Proyectos[Financiador],"Entes Nacionales y Territoriales")</f>
        <v>4</v>
      </c>
      <c r="C11" s="25">
        <f>COUNTIFS(Tabla_Proyectos[Sistema productivo],"Chontaduro",Tabla_Proyectos[Financiador],"Entes Internacionales")</f>
        <v>0</v>
      </c>
      <c r="D11" s="25">
        <f>COUNTIFS(Tabla_Proyectos[Sistema productivo],"Chontaduro",Tabla_Proyectos[Financiador],"Sector privado")</f>
        <v>0</v>
      </c>
      <c r="E11" s="24" t="s">
        <v>695</v>
      </c>
      <c r="F11" s="25">
        <f>COUNTIF(Tabla_Proyectos[Financiador],"Sociedad civil organizada")</f>
        <v>0</v>
      </c>
    </row>
    <row r="12" spans="1:6" ht="18" customHeight="1" x14ac:dyDescent="0.35">
      <c r="A12" s="21" t="s">
        <v>318</v>
      </c>
      <c r="B12" s="22">
        <f>COUNTIFS(Tabla_Proyectos[Sistema productivo],"Guanábana",Tabla_Proyectos[Financiador],"Entes Nacionales y Territoriales")</f>
        <v>2</v>
      </c>
      <c r="C12" s="22">
        <f>COUNTIFS(Tabla_Proyectos[Sistema productivo],"Guanábana",Tabla_Proyectos[Financiador],"Entes Internacionales")</f>
        <v>0</v>
      </c>
      <c r="D12" s="22">
        <f>COUNTIFS(Tabla_Proyectos[Sistema productivo],"Guanábana",Tabla_Proyectos[Financiador],"Sector privado")</f>
        <v>0</v>
      </c>
      <c r="E12" s="21" t="s">
        <v>696</v>
      </c>
      <c r="F12" s="22">
        <f>COUNTIF(Tabla_Proyectos[Financiador],"Centros de Investigación")</f>
        <v>0</v>
      </c>
    </row>
    <row r="13" spans="1:6" ht="18" customHeight="1" x14ac:dyDescent="0.35">
      <c r="A13" s="24" t="s">
        <v>322</v>
      </c>
      <c r="B13" s="25">
        <f>COUNTIFS(Tabla_Proyectos[Sistema productivo],"Guayaba",Tabla_Proyectos[Financiador],"Entes Nacionales y Territoriales")</f>
        <v>18</v>
      </c>
      <c r="C13" s="25">
        <f>COUNTIFS(Tabla_Proyectos[Sistema productivo],"Guayaba",Tabla_Proyectos[Financiador],"Entes Internacionales")</f>
        <v>0</v>
      </c>
      <c r="D13" s="25">
        <f>COUNTIFS(Tabla_Proyectos[Sistema productivo],"Guayaba",Tabla_Proyectos[Financiador],"Sector privado")</f>
        <v>0</v>
      </c>
      <c r="E13" s="24" t="s">
        <v>156</v>
      </c>
      <c r="F13" s="25">
        <f>COUNTIF(Tabla_Proyectos[Financiador],"Otro")</f>
        <v>1</v>
      </c>
    </row>
    <row r="14" spans="1:6" ht="18" customHeight="1" x14ac:dyDescent="0.35">
      <c r="A14" s="21" t="s">
        <v>365</v>
      </c>
      <c r="B14" s="22">
        <f>COUNTIFS(Tabla_Proyectos[Sistema productivo],"Naranjas",Tabla_Proyectos[Financiador],"Entes Nacionales y Territoriales")</f>
        <v>8</v>
      </c>
      <c r="C14" s="22">
        <f>COUNTIFS(Tabla_Proyectos[Sistema productivo],"Naranjas",Tabla_Proyectos[Financiador],"Entes Internacionales")</f>
        <v>0</v>
      </c>
      <c r="D14" s="22">
        <f>COUNTIFS(Tabla_Proyectos[Sistema productivo],"Naranjas",Tabla_Proyectos[Financiador],"Sector privado")</f>
        <v>0</v>
      </c>
      <c r="E14" s="21" t="s">
        <v>377</v>
      </c>
      <c r="F14" s="22">
        <f>COUNTIF(Tabla_Proyectos[Financiador],"N/A")</f>
        <v>2</v>
      </c>
    </row>
    <row r="15" spans="1:6" ht="18" customHeight="1" x14ac:dyDescent="0.35">
      <c r="A15" s="24" t="s">
        <v>580</v>
      </c>
      <c r="B15" s="25">
        <f>COUNTIFS(Tabla_Proyectos[Sistema productivo],"Banano",Tabla_Proyectos[Financiador],"Entes Nacionales y Territoriales")</f>
        <v>0</v>
      </c>
      <c r="C15" s="25">
        <f>COUNTIFS(Tabla_Proyectos[Sistema productivo],"Banano",Tabla_Proyectos[Financiador],"Entes Internacionales")</f>
        <v>0</v>
      </c>
      <c r="D15" s="25">
        <f>COUNTIFS(Tabla_Proyectos[Sistema productivo],"Banano",Tabla_Proyectos[Financiador],"Sector privado")</f>
        <v>0</v>
      </c>
      <c r="E15" s="25">
        <f>COUNTIFS(Tabla_Proyectos[Sistema productivo],"Banano",Tabla_Proyectos[Financiador],"Agremiaciónes")</f>
        <v>0</v>
      </c>
    </row>
    <row r="16" spans="1:6" ht="18" customHeight="1" x14ac:dyDescent="0.35">
      <c r="A16" s="21" t="s">
        <v>615</v>
      </c>
      <c r="B16" s="22">
        <f>COUNTIFS(Tabla_Proyectos[Sistema productivo],"Maiz",Tabla_Proyectos[Financiador],"Entes Nacionales y Territoriales")</f>
        <v>0</v>
      </c>
      <c r="C16" s="22">
        <f>COUNTIFS(Tabla_Proyectos[Sistema productivo],"Maiz",Tabla_Proyectos[Financiador],"Entes Internacionales")</f>
        <v>0</v>
      </c>
      <c r="D16" s="22">
        <f>COUNTIFS(Tabla_Proyectos[Sistema productivo],"Maiz",Tabla_Proyectos[Financiador],"Sector privado")</f>
        <v>0</v>
      </c>
      <c r="E16" s="22">
        <f>COUNTIFS(Tabla_Proyectos[Sistema productivo],"Maiz",Tabla_Proyectos[Financiador],"Agremiaciónes")</f>
        <v>0</v>
      </c>
    </row>
    <row r="17" spans="1:5" ht="18" customHeight="1" x14ac:dyDescent="0.35">
      <c r="A17" s="24" t="s">
        <v>616</v>
      </c>
      <c r="B17" s="25">
        <f>COUNTIFS(Tabla_Proyectos[Sistema productivo],"Frijol",Tabla_Proyectos[Financiador],"Entes Nacionales y Territoriales")</f>
        <v>0</v>
      </c>
      <c r="C17" s="25">
        <f>COUNTIFS(Tabla_Proyectos[Sistema productivo],"Frijol",Tabla_Proyectos[Financiador],"Entes Internacionales")</f>
        <v>0</v>
      </c>
      <c r="D17" s="25">
        <f>COUNTIFS(Tabla_Proyectos[Sistema productivo],"Frijol",Tabla_Proyectos[Financiador],"Sector privado")</f>
        <v>0</v>
      </c>
      <c r="E17" s="25">
        <f>COUNTIFS(Tabla_Proyectos[Sistema productivo],"Frijol",Tabla_Proyectos[Financiador],"Agremiaciónes")</f>
        <v>0</v>
      </c>
    </row>
    <row r="18" spans="1:5" ht="18" customHeight="1" x14ac:dyDescent="0.35">
      <c r="A18" s="21" t="s">
        <v>617</v>
      </c>
      <c r="B18" s="22">
        <f>COUNTIFS(Tabla_Proyectos[Sistema productivo],"Cebolla",Tabla_Proyectos[Financiador],"Entes Nacionales y Territoriales")</f>
        <v>0</v>
      </c>
      <c r="C18" s="22">
        <f>COUNTIFS(Tabla_Proyectos[Sistema productivo],"Cebolla",Tabla_Proyectos[Financiador],"Entes Internacionales")</f>
        <v>0</v>
      </c>
      <c r="D18" s="22">
        <f>COUNTIFS(Tabla_Proyectos[Sistema productivo],"Cebolla",Tabla_Proyectos[Financiador],"Sector privado")</f>
        <v>0</v>
      </c>
      <c r="E18" s="22">
        <f>COUNTIFS(Tabla_Proyectos[Sistema productivo],"Cebolla",Tabla_Proyectos[Financiador],"Agremiaciónes")</f>
        <v>0</v>
      </c>
    </row>
    <row r="19" spans="1:5" ht="18" customHeight="1" x14ac:dyDescent="0.35">
      <c r="A19" s="24" t="s">
        <v>417</v>
      </c>
      <c r="B19" s="25">
        <f>COUNTIFS(Tabla_Proyectos[Sistema productivo],"Yuca",Tabla_Proyectos[Financiador],"Entes Nacionales y Territoriales")</f>
        <v>1</v>
      </c>
      <c r="C19" s="25">
        <f>COUNTIFS(Tabla_Proyectos[Sistema productivo],"Yuca",Tabla_Proyectos[Financiador],"Entes Internacionales")</f>
        <v>0</v>
      </c>
      <c r="D19" s="25">
        <f>COUNTIFS(Tabla_Proyectos[Sistema productivo],"Yuca",Tabla_Proyectos[Financiador],"Sector privado")</f>
        <v>0</v>
      </c>
      <c r="E19" s="25">
        <f>COUNTIFS(Tabla_Proyectos[Sistema productivo],"Yuca",Tabla_Proyectos[Financiador],"Agremiaciónes")</f>
        <v>0</v>
      </c>
    </row>
    <row r="20" spans="1:5" ht="18" customHeight="1" x14ac:dyDescent="0.35">
      <c r="A20" s="21" t="s">
        <v>618</v>
      </c>
      <c r="B20" s="22">
        <f>COUNTIFS(Tabla_Proyectos[Sistema productivo],"Ganaderia ",Tabla_Proyectos[Financiador],"Entes Nacionales y Territoriales")</f>
        <v>0</v>
      </c>
      <c r="C20" s="22">
        <f>COUNTIFS(Tabla_Proyectos[Sistema productivo],"Ganaderia ",Tabla_Proyectos[Financiador],"Entes Internacionales")</f>
        <v>0</v>
      </c>
      <c r="D20" s="22">
        <f>COUNTIFS(Tabla_Proyectos[Sistema productivo],"Ganaderia ",Tabla_Proyectos[Financiador],"Sector privado")</f>
        <v>0</v>
      </c>
      <c r="E20" s="22">
        <f>COUNTIFS(Tabla_Proyectos[Sistema productivo],"Ganaderia ",Tabla_Proyectos[Financiador],"Agremiaciónes")</f>
        <v>0</v>
      </c>
    </row>
    <row r="21" spans="1:5" ht="18" customHeight="1" x14ac:dyDescent="0.35">
      <c r="A21" s="24" t="s">
        <v>619</v>
      </c>
      <c r="B21" s="25">
        <f>COUNTIFS(Tabla_Proyectos[Sistema productivo],"Apicola",Tabla_Proyectos[Financiador],"Entes Nacionales y Territoriales")</f>
        <v>0</v>
      </c>
      <c r="C21" s="25">
        <f>COUNTIFS(Tabla_Proyectos[Sistema productivo],"Apicola",Tabla_Proyectos[Financiador],"Entes Internacionales")</f>
        <v>0</v>
      </c>
      <c r="D21" s="25">
        <f>COUNTIFS(Tabla_Proyectos[Sistema productivo],"Apicola",Tabla_Proyectos[Financiador],"Sector privado")</f>
        <v>0</v>
      </c>
      <c r="E21" s="25">
        <f>COUNTIFS(Tabla_Proyectos[Sistema productivo],"Apicola",Tabla_Proyectos[Financiador],"Agremiaciónes")</f>
        <v>0</v>
      </c>
    </row>
    <row r="22" spans="1:5" ht="18" customHeight="1" x14ac:dyDescent="0.35">
      <c r="A22" s="21" t="s">
        <v>356</v>
      </c>
      <c r="B22" s="22">
        <f>COUNTIFS(Tabla_Proyectos[Sistema productivo],"Maracuya",Tabla_Proyectos[Financiador],"Entes Nacionales y Territoriales")</f>
        <v>3</v>
      </c>
      <c r="C22" s="22">
        <f>COUNTIFS(Tabla_Proyectos[Sistema productivo],"Maracuya",Tabla_Proyectos[Financiador],"Entes Internacionales")</f>
        <v>0</v>
      </c>
      <c r="D22" s="22">
        <f>COUNTIFS(Tabla_Proyectos[Sistema productivo],"Maracuya",Tabla_Proyectos[Financiador],"Sector privado")</f>
        <v>0</v>
      </c>
      <c r="E22" s="22">
        <f>COUNTIFS(Tabla_Proyectos[Sistema productivo],"Maracuya",Tabla_Proyectos[Financiador],"Agremiaciónes")</f>
        <v>0</v>
      </c>
    </row>
    <row r="23" spans="1:5" ht="18" customHeight="1" x14ac:dyDescent="0.35">
      <c r="A23" s="24" t="s">
        <v>179</v>
      </c>
      <c r="B23" s="25">
        <f>COUNTIFS(Tabla_Proyectos[Sistema productivo],"Ají",Tabla_Proyectos[Financiador],"Entes Nacionales y Territoriales")</f>
        <v>1</v>
      </c>
      <c r="C23" s="25">
        <f>COUNTIFS(Tabla_Proyectos[Sistema productivo],"Ají",Tabla_Proyectos[Financiador],"Entes Internacionales")</f>
        <v>0</v>
      </c>
      <c r="D23" s="25">
        <f>COUNTIFS(Tabla_Proyectos[Sistema productivo],"Ají",Tabla_Proyectos[Financiador],"Sector privado")</f>
        <v>0</v>
      </c>
      <c r="E23" s="25">
        <f>COUNTIFS(Tabla_Proyectos[Sistema productivo],"Ají",Tabla_Proyectos[Financiador],"Agremiaciónes")</f>
        <v>0</v>
      </c>
    </row>
    <row r="24" spans="1:5" ht="18" customHeight="1" x14ac:dyDescent="0.35">
      <c r="A24" s="21" t="s">
        <v>305</v>
      </c>
      <c r="B24" s="22">
        <f>COUNTIFS(Tabla_Proyectos[Sistema productivo],"Forestal",Tabla_Proyectos[Financiador],"Entes Nacionales y Territoriales")</f>
        <v>11</v>
      </c>
      <c r="C24" s="22">
        <f>COUNTIFS(Tabla_Proyectos[Sistema productivo],"Forestal",Tabla_Proyectos[Financiador],"Entes Internacionales")</f>
        <v>0</v>
      </c>
      <c r="D24" s="22">
        <f>COUNTIFS(Tabla_Proyectos[Sistema productivo],"Forestal",Tabla_Proyectos[Financiador],"Sector privado")</f>
        <v>0</v>
      </c>
      <c r="E24" s="22">
        <f>COUNTIFS(Tabla_Proyectos[Sistema productivo],"Forestal",Tabla_Proyectos[Financiador],"Agremiaciónes")</f>
        <v>0</v>
      </c>
    </row>
    <row r="25" spans="1:5" ht="18" customHeight="1" x14ac:dyDescent="0.35">
      <c r="A25" s="24" t="s">
        <v>404</v>
      </c>
      <c r="B25" s="25">
        <f>COUNTIFS(Tabla_Proyectos[Sistema productivo],"Quinua",Tabla_Proyectos[Financiador],"Entes Nacionales y Territoriales")</f>
        <v>6</v>
      </c>
      <c r="C25" s="25">
        <f>COUNTIFS(Tabla_Proyectos[Sistema productivo],"Quinua",Tabla_Proyectos[Financiador],"Entes Internacionales")</f>
        <v>0</v>
      </c>
      <c r="D25" s="25">
        <f>COUNTIFS(Tabla_Proyectos[Sistema productivo],"Quinua",Tabla_Proyectos[Financiador],"Sector privado")</f>
        <v>0</v>
      </c>
      <c r="E25" s="25">
        <f>COUNTIFS(Tabla_Proyectos[Sistema productivo],"Quinua",Tabla_Proyectos[Financiador],"Agremiaciónes")</f>
        <v>0</v>
      </c>
    </row>
    <row r="26" spans="1:5" ht="18" customHeight="1" x14ac:dyDescent="0.35">
      <c r="A26" s="21" t="s">
        <v>620</v>
      </c>
      <c r="B26" s="22">
        <f>COUNTIFS(Tabla_Proyectos[Sistema productivo],"Caña panelera",Tabla_Proyectos[Financiador],"Entes Nacionales y Territoriales")</f>
        <v>0</v>
      </c>
      <c r="C26" s="22">
        <f>COUNTIFS(Tabla_Proyectos[Sistema productivo],"Caña panelera",Tabla_Proyectos[Financiador],"Entes Internacionales")</f>
        <v>0</v>
      </c>
      <c r="D26" s="22">
        <f>COUNTIFS(Tabla_Proyectos[Sistema productivo],"Caña panelera",Tabla_Proyectos[Financiador],"Sector privado")</f>
        <v>0</v>
      </c>
      <c r="E26" s="22">
        <f>COUNTIFS(Tabla_Proyectos[Sistema productivo],"Caña panelera",Tabla_Proyectos[Financiador],"Agremiaciónes")</f>
        <v>0</v>
      </c>
    </row>
    <row r="27" spans="1:5" ht="18" customHeight="1" x14ac:dyDescent="0.35">
      <c r="A27" s="24" t="s">
        <v>302</v>
      </c>
      <c r="B27" s="25">
        <f>COUNTIFS(Tabla_Proyectos[Sistema productivo],"Fique",Tabla_Proyectos[Financiador],"Entes Nacionales y Territoriales")</f>
        <v>3</v>
      </c>
      <c r="C27" s="25">
        <f>COUNTIFS(Tabla_Proyectos[Sistema productivo],"Fique",Tabla_Proyectos[Financiador],"Entes Internacionales")</f>
        <v>0</v>
      </c>
      <c r="D27" s="25">
        <f>COUNTIFS(Tabla_Proyectos[Sistema productivo],"Fique",Tabla_Proyectos[Financiador],"Sector privado")</f>
        <v>0</v>
      </c>
      <c r="E27" s="25">
        <f>COUNTIFS(Tabla_Proyectos[Sistema productivo],"Fique",Tabla_Proyectos[Financiador],"Agremiaciónes")</f>
        <v>0</v>
      </c>
    </row>
    <row r="28" spans="1:5" ht="18" customHeight="1" x14ac:dyDescent="0.35">
      <c r="A28" s="21" t="s">
        <v>351</v>
      </c>
      <c r="B28" s="22">
        <f>COUNTIFS(Tabla_Proyectos[Sistema productivo],"Limón Pajarito",Tabla_Proyectos[Financiador],"Entes Nacionales y Territoriales")</f>
        <v>1</v>
      </c>
      <c r="C28" s="22">
        <f>COUNTIFS(Tabla_Proyectos[Sistema productivo],"Limón Pajarito",Tabla_Proyectos[Financiador],"Entes Internacionales")</f>
        <v>0</v>
      </c>
      <c r="D28" s="22">
        <f>COUNTIFS(Tabla_Proyectos[Sistema productivo],"Limón Pajarito",Tabla_Proyectos[Financiador],"Sector privado")</f>
        <v>0</v>
      </c>
      <c r="E28" s="22">
        <f>COUNTIFS(Tabla_Proyectos[Sistema productivo],"Limón Pajarito",Tabla_Proyectos[Financiador],"Agremiaciónes")</f>
        <v>0</v>
      </c>
    </row>
    <row r="29" spans="1:5" ht="18" customHeight="1" x14ac:dyDescent="0.35">
      <c r="A29" s="24" t="s">
        <v>363</v>
      </c>
      <c r="B29" s="25">
        <f>COUNTIFS(Tabla_Proyectos[Sistema productivo],"Mora",Tabla_Proyectos[Financiador],"Entes Nacionales y Territoriales")</f>
        <v>1</v>
      </c>
      <c r="C29" s="25">
        <f>COUNTIFS(Tabla_Proyectos[Sistema productivo],"Mora",Tabla_Proyectos[Financiador],"Entes Internacionales")</f>
        <v>0</v>
      </c>
      <c r="D29" s="25">
        <f>COUNTIFS(Tabla_Proyectos[Sistema productivo],"Mora",Tabla_Proyectos[Financiador],"Sector privado")</f>
        <v>0</v>
      </c>
      <c r="E29" s="25">
        <f>COUNTIFS(Tabla_Proyectos[Sistema productivo],"Mora",Tabla_Proyectos[Financiador],"Agremiaciónes")</f>
        <v>0</v>
      </c>
    </row>
    <row r="30" spans="1:5" ht="18" customHeight="1" x14ac:dyDescent="0.35">
      <c r="A30" s="21" t="s">
        <v>361</v>
      </c>
      <c r="B30" s="22">
        <f>COUNTIFS(Tabla_Proyectos[Sistema productivo],"Melón",Tabla_Proyectos[Financiador],"Entes Nacionales y Territoriales")</f>
        <v>1</v>
      </c>
      <c r="C30" s="22">
        <f>COUNTIFS(Tabla_Proyectos[Sistema productivo],"Melón",Tabla_Proyectos[Financiador],"Entes Internacionales")</f>
        <v>0</v>
      </c>
      <c r="D30" s="22">
        <f>COUNTIFS(Tabla_Proyectos[Sistema productivo],"Melón",Tabla_Proyectos[Financiador],"Sector privado")</f>
        <v>0</v>
      </c>
      <c r="E30" s="22">
        <f>COUNTIFS(Tabla_Proyectos[Sistema productivo],"Melón",Tabla_Proyectos[Financiador],"Agremiaciónes")</f>
        <v>0</v>
      </c>
    </row>
    <row r="31" spans="1:5" ht="18" customHeight="1" x14ac:dyDescent="0.35">
      <c r="A31" s="24" t="s">
        <v>383</v>
      </c>
      <c r="B31" s="25">
        <f>COUNTIFS(Tabla_Proyectos[Sistema productivo],"Palma de aceite Americana",Tabla_Proyectos[Financiador],"Entes Nacionales y Territoriales")</f>
        <v>1</v>
      </c>
      <c r="C31" s="25">
        <f>COUNTIFS(Tabla_Proyectos[Sistema productivo],"Palma de aceite Americana",Tabla_Proyectos[Financiador],"Entes Internacionales")</f>
        <v>0</v>
      </c>
      <c r="D31" s="25">
        <f>COUNTIFS(Tabla_Proyectos[Sistema productivo],"Palma de aceite Americana",Tabla_Proyectos[Financiador],"Sector privado")</f>
        <v>0</v>
      </c>
      <c r="E31" s="25">
        <f>COUNTIFS(Tabla_Proyectos[Sistema productivo],"Palma de aceite Americana",Tabla_Proyectos[Financiador],"Agremiaciónes")</f>
        <v>0</v>
      </c>
    </row>
    <row r="32" spans="1:5" ht="18" customHeight="1" x14ac:dyDescent="0.35">
      <c r="A32" s="21" t="s">
        <v>378</v>
      </c>
      <c r="B32" s="22">
        <f>COUNTIFS(Tabla_Proyectos[Sistema productivo],"Palma de aceite Africana",Tabla_Proyectos[Financiador],"Entes Nacionales y Territoriales")</f>
        <v>4</v>
      </c>
      <c r="C32" s="22">
        <f>COUNTIFS(Tabla_Proyectos[Sistema productivo],"Palma de aceite Africana",Tabla_Proyectos[Financiador],"Entes Internacionales")</f>
        <v>0</v>
      </c>
      <c r="D32" s="22">
        <f>COUNTIFS(Tabla_Proyectos[Sistema productivo],"Palma de aceite Africana",Tabla_Proyectos[Financiador],"Sector privado")</f>
        <v>0</v>
      </c>
      <c r="E32" s="22">
        <f>COUNTIFS(Tabla_Proyectos[Sistema productivo],"Palma de aceite Africana",Tabla_Proyectos[Financiador],"Agremiaciónes")</f>
        <v>0</v>
      </c>
    </row>
    <row r="33" spans="1:5" ht="18" customHeight="1" x14ac:dyDescent="0.35">
      <c r="A33" s="24" t="s">
        <v>181</v>
      </c>
      <c r="B33" s="25">
        <f>COUNTIFS(Tabla_Proyectos[Sistema productivo],"Bancos de Germoplasma",Tabla_Proyectos[Financiador],"Entes Nacionales y Territoriales")</f>
        <v>1</v>
      </c>
      <c r="C33" s="25">
        <f>COUNTIFS(Tabla_Proyectos[Sistema productivo],"Bancos de Germoplasma",Tabla_Proyectos[Financiador],"Entes Internacionales")</f>
        <v>0</v>
      </c>
      <c r="D33" s="25">
        <f>COUNTIFS(Tabla_Proyectos[Sistema productivo],"Bancos de Germoplasma",Tabla_Proyectos[Financiador],"Sector privado")</f>
        <v>0</v>
      </c>
      <c r="E33" s="25">
        <f>COUNTIFS(Tabla_Proyectos[Sistema productivo],"Bancos de Germoplasma",Tabla_Proyectos[Financiador],"Agremiaciónes")</f>
        <v>0</v>
      </c>
    </row>
    <row r="34" spans="1:5" ht="18" customHeight="1" x14ac:dyDescent="0.35">
      <c r="A34" s="21" t="s">
        <v>80</v>
      </c>
      <c r="B34" s="22">
        <f>COUNTIFS(Tabla_Proyectos[Sistema productivo],"Agraz",Tabla_Proyectos[Financiador],"Entes Nacionales y Territoriales")</f>
        <v>3</v>
      </c>
      <c r="C34" s="22">
        <f>COUNTIFS(Tabla_Proyectos[Sistema productivo],"Agraz",Tabla_Proyectos[Financiador],"Entes Internacionales")</f>
        <v>0</v>
      </c>
      <c r="D34" s="22">
        <f>COUNTIFS(Tabla_Proyectos[Sistema productivo],"Agraz",Tabla_Proyectos[Financiador],"Sector privado")</f>
        <v>0</v>
      </c>
      <c r="E34" s="22">
        <f>COUNTIFS(Tabla_Proyectos[Sistema productivo],"Agraz",Tabla_Proyectos[Financiador],"Agremiaciónes")</f>
        <v>0</v>
      </c>
    </row>
    <row r="35" spans="1:5" ht="18" customHeight="1" x14ac:dyDescent="0.35">
      <c r="A35" s="24" t="s">
        <v>395</v>
      </c>
      <c r="B35" s="25">
        <f>COUNTIFS(Tabla_Proyectos[Sistema productivo],"Pitaya Amarilla",Tabla_Proyectos[Financiador],"Entes Nacionales y Territoriales")</f>
        <v>2</v>
      </c>
      <c r="C35" s="25">
        <f>COUNTIFS(Tabla_Proyectos[Sistema productivo],"Pitaya Amarilla",Tabla_Proyectos[Financiador],"Entes Internacionales")</f>
        <v>0</v>
      </c>
      <c r="D35" s="25">
        <f>COUNTIFS(Tabla_Proyectos[Sistema productivo],"Pitaya Amarilla",Tabla_Proyectos[Financiador],"Sector privado")</f>
        <v>0</v>
      </c>
      <c r="E35" s="25">
        <f>COUNTIFS(Tabla_Proyectos[Sistema productivo],"Pitaya Amarilla",Tabla_Proyectos[Financiador],"Agremiaciónes")</f>
        <v>0</v>
      </c>
    </row>
    <row r="36" spans="1:5" ht="18" customHeight="1" x14ac:dyDescent="0.35">
      <c r="A36" s="21" t="s">
        <v>385</v>
      </c>
      <c r="B36" s="22">
        <f>COUNTIFS(Tabla_Proyectos[Sistema productivo],"Palmaceas",Tabla_Proyectos[Financiador],"Entes Nacionales y Territoriales")</f>
        <v>0</v>
      </c>
      <c r="C36" s="22">
        <f>COUNTIFS(Tabla_Proyectos[Sistema productivo],"Palmaceas",Tabla_Proyectos[Financiador],"Entes Internacionales")</f>
        <v>1</v>
      </c>
      <c r="D36" s="22">
        <f>COUNTIFS(Tabla_Proyectos[Sistema productivo],"Palmaceas",Tabla_Proyectos[Financiador],"Sector privado")</f>
        <v>0</v>
      </c>
      <c r="E36" s="22">
        <f>COUNTIFS(Tabla_Proyectos[Sistema productivo],"Palmaceas",Tabla_Proyectos[Financiador],"Agremiaciónes")</f>
        <v>0</v>
      </c>
    </row>
    <row r="37" spans="1:5" ht="18" customHeight="1" x14ac:dyDescent="0.35">
      <c r="A37" s="24" t="s">
        <v>299</v>
      </c>
      <c r="B37" s="25">
        <f>COUNTIFS(Tabla_Proyectos[Sistema productivo],"Coco",Tabla_Proyectos[Financiador],"Entes Nacionales y Territoriales")</f>
        <v>2</v>
      </c>
      <c r="C37" s="25">
        <f>COUNTIFS(Tabla_Proyectos[Sistema productivo],"Coco",Tabla_Proyectos[Financiador],"Entes Internacionales")</f>
        <v>0</v>
      </c>
      <c r="D37" s="25">
        <f>COUNTIFS(Tabla_Proyectos[Sistema productivo],"Coco",Tabla_Proyectos[Financiador],"Sector privado")</f>
        <v>0</v>
      </c>
      <c r="E37" s="25">
        <f>COUNTIFS(Tabla_Proyectos[Sistema productivo],"Coco",Tabla_Proyectos[Financiador],"Agremiaciónes")</f>
        <v>0</v>
      </c>
    </row>
    <row r="38" spans="1:5" ht="18" customHeight="1" x14ac:dyDescent="0.35">
      <c r="A38" s="21" t="s">
        <v>156</v>
      </c>
      <c r="B38" s="22">
        <f>COUNTIFS(Tabla_Proyectos[Sistema productivo],"Otro",Tabla_Proyectos[Financiador],"Entes Nacionales y Territoriales")</f>
        <v>4</v>
      </c>
      <c r="C38" s="22">
        <f>COUNTIFS(Tabla_Proyectos[Sistema productivo],"Otro",Tabla_Proyectos[Financiador],"Entes Internacionales")</f>
        <v>0</v>
      </c>
      <c r="D38" s="22">
        <f>COUNTIFS(Tabla_Proyectos[Sistema productivo],"Otro",Tabla_Proyectos[Financiador],"Sector privado")</f>
        <v>1</v>
      </c>
      <c r="E38" s="22">
        <f>COUNTIFS(Tabla_Proyectos[Sistema productivo],"Otro",Tabla_Proyectos[Financiador],"Agremiaciónes")</f>
        <v>0</v>
      </c>
    </row>
    <row r="39" spans="1:5" ht="18" customHeight="1" x14ac:dyDescent="0.35">
      <c r="A39" s="29" t="s">
        <v>577</v>
      </c>
      <c r="B39" s="29">
        <f>SUM(B6:B38)</f>
        <v>108</v>
      </c>
      <c r="C39" s="29">
        <f>SUM(C6:C38)</f>
        <v>14</v>
      </c>
      <c r="D39" s="29">
        <f>SUM(D6:D38)</f>
        <v>4</v>
      </c>
      <c r="E39" s="29">
        <f>SUM(E6:E38)</f>
        <v>0</v>
      </c>
    </row>
    <row r="41" spans="1:5" ht="22" customHeight="1" x14ac:dyDescent="0.35">
      <c r="A41" s="62" t="s">
        <v>697</v>
      </c>
      <c r="B41" s="63"/>
      <c r="C41" s="64"/>
    </row>
    <row r="42" spans="1:5" ht="20" customHeight="1" x14ac:dyDescent="0.35">
      <c r="A42" s="7" t="s">
        <v>5</v>
      </c>
      <c r="B42" s="7" t="s">
        <v>565</v>
      </c>
      <c r="C42" s="7" t="s">
        <v>566</v>
      </c>
    </row>
    <row r="43" spans="1:5" ht="18" customHeight="1" x14ac:dyDescent="0.35">
      <c r="A43" s="21" t="s">
        <v>111</v>
      </c>
      <c r="B43" s="22">
        <f>COUNTIF(Tabla_Proyectos[Rol CI Palmira],"Líder")</f>
        <v>8</v>
      </c>
      <c r="C43" s="23">
        <f>IFERROR(B43/COUNTA(Tabla_Proyectos[Nombre del proyecto]),0)</f>
        <v>6.0606060606060608E-2</v>
      </c>
    </row>
    <row r="44" spans="1:5" ht="18" customHeight="1" x14ac:dyDescent="0.35">
      <c r="A44" s="24" t="s">
        <v>698</v>
      </c>
      <c r="B44" s="25">
        <f>COUNTIF(Tabla_Proyectos[Rol CI Palmira],"Co-ejecutor")</f>
        <v>0</v>
      </c>
      <c r="C44" s="26">
        <f>IFERROR(B44/COUNTA(Tabla_Proyectos[Nombre del proyecto]),0)</f>
        <v>0</v>
      </c>
    </row>
    <row r="45" spans="1:5" ht="18" customHeight="1" x14ac:dyDescent="0.35">
      <c r="A45" s="21" t="s">
        <v>699</v>
      </c>
      <c r="B45" s="22">
        <f>COUNTIF(Tabla_Proyectos[Rol CI Palmira],"Apoyo")</f>
        <v>0</v>
      </c>
      <c r="C45" s="23">
        <f>IFERROR(B45/COUNTA(Tabla_Proyectos[Nombre del proyecto]),0)</f>
        <v>0</v>
      </c>
    </row>
    <row r="46" spans="1:5" ht="18" customHeight="1" x14ac:dyDescent="0.35">
      <c r="A46" s="24" t="s">
        <v>49</v>
      </c>
      <c r="B46" s="25">
        <f>COUNTIF(Tabla_Proyectos[Rol CI Palmira],"Ejecutor")</f>
        <v>2</v>
      </c>
      <c r="C46" s="26">
        <f>IFERROR(B46/COUNTA(Tabla_Proyectos[Nombre del proyecto]),0)</f>
        <v>1.5151515151515152E-2</v>
      </c>
    </row>
    <row r="49" spans="1:3" ht="22" customHeight="1" x14ac:dyDescent="0.35">
      <c r="A49" s="62" t="s">
        <v>700</v>
      </c>
      <c r="B49" s="63"/>
      <c r="C49" s="64"/>
    </row>
    <row r="50" spans="1:3" ht="30.05" customHeight="1" x14ac:dyDescent="0.35">
      <c r="A50" s="7" t="s">
        <v>1</v>
      </c>
      <c r="B50" s="7" t="s">
        <v>701</v>
      </c>
      <c r="C50" s="7" t="s">
        <v>702</v>
      </c>
    </row>
    <row r="51" spans="1:3" ht="18" customHeight="1" x14ac:dyDescent="0.35">
      <c r="A51" s="21" t="s">
        <v>45</v>
      </c>
      <c r="B51" s="22">
        <f>COUNTIFS(Tabla_Proyectos[Sistema productivo],"Aguacate Hass",Tabla_Proyectos[Aliados estratégicos],"&lt;&gt;")</f>
        <v>5</v>
      </c>
      <c r="C51" s="22">
        <f>COUNTIFS(Tabla_Proyectos[Sistema productivo],"Aguacate Hass",Tabla_Proyectos[Aliados estratégicos],"")</f>
        <v>12</v>
      </c>
    </row>
    <row r="52" spans="1:3" ht="18" customHeight="1" x14ac:dyDescent="0.35">
      <c r="A52" s="24" t="s">
        <v>342</v>
      </c>
      <c r="B52" s="25">
        <f>COUNTIFS(Tabla_Proyectos[Sistema productivo],"Lima Acida Tahití",Tabla_Proyectos[Aliados estratégicos],"&lt;&gt;")</f>
        <v>0</v>
      </c>
      <c r="C52" s="25">
        <f>COUNTIFS(Tabla_Proyectos[Sistema productivo],"Lima Acida Tahití",Tabla_Proyectos[Aliados estratégicos],"")</f>
        <v>11</v>
      </c>
    </row>
    <row r="53" spans="1:3" ht="18" customHeight="1" x14ac:dyDescent="0.35">
      <c r="A53" s="21" t="s">
        <v>183</v>
      </c>
      <c r="B53" s="22">
        <f>COUNTIFS(Tabla_Proyectos[Sistema productivo],"Cacao",Tabla_Proyectos[Aliados estratégicos],"&lt;&gt;")</f>
        <v>6</v>
      </c>
      <c r="C53" s="22">
        <f>COUNTIFS(Tabla_Proyectos[Sistema productivo],"Cacao",Tabla_Proyectos[Aliados estratégicos],"")</f>
        <v>9</v>
      </c>
    </row>
    <row r="54" spans="1:3" ht="18" customHeight="1" x14ac:dyDescent="0.35">
      <c r="A54" s="24" t="s">
        <v>387</v>
      </c>
      <c r="B54" s="25">
        <f>COUNTIFS(Tabla_Proyectos[Sistema productivo],"Piña",Tabla_Proyectos[Aliados estratégicos],"&lt;&gt;")</f>
        <v>1</v>
      </c>
      <c r="C54" s="25">
        <f>COUNTIFS(Tabla_Proyectos[Sistema productivo],"Piña",Tabla_Proyectos[Aliados estratégicos],"")</f>
        <v>3</v>
      </c>
    </row>
    <row r="55" spans="1:3" ht="18" customHeight="1" x14ac:dyDescent="0.35">
      <c r="A55" s="21" t="s">
        <v>398</v>
      </c>
      <c r="B55" s="22">
        <f>COUNTIFS(Tabla_Proyectos[Sistema productivo],"Platano",Tabla_Proyectos[Aliados estratégicos],"&lt;&gt;")</f>
        <v>1</v>
      </c>
      <c r="C55" s="22">
        <f>COUNTIFS(Tabla_Proyectos[Sistema productivo],"Platano",Tabla_Proyectos[Aliados estratégicos],"")</f>
        <v>2</v>
      </c>
    </row>
    <row r="56" spans="1:3" ht="18" customHeight="1" x14ac:dyDescent="0.35">
      <c r="A56" s="24" t="s">
        <v>293</v>
      </c>
      <c r="B56" s="25">
        <f>COUNTIFS(Tabla_Proyectos[Sistema productivo],"Chontaduro",Tabla_Proyectos[Aliados estratégicos],"&lt;&gt;")</f>
        <v>0</v>
      </c>
      <c r="C56" s="25">
        <f>COUNTIFS(Tabla_Proyectos[Sistema productivo],"Chontaduro",Tabla_Proyectos[Aliados estratégicos],"")</f>
        <v>4</v>
      </c>
    </row>
    <row r="57" spans="1:3" ht="18" customHeight="1" x14ac:dyDescent="0.35">
      <c r="A57" s="21" t="s">
        <v>318</v>
      </c>
      <c r="B57" s="22">
        <f>COUNTIFS(Tabla_Proyectos[Sistema productivo],"Guanábana",Tabla_Proyectos[Aliados estratégicos],"&lt;&gt;")</f>
        <v>0</v>
      </c>
      <c r="C57" s="22">
        <f>COUNTIFS(Tabla_Proyectos[Sistema productivo],"Guanábana",Tabla_Proyectos[Aliados estratégicos],"")</f>
        <v>3</v>
      </c>
    </row>
    <row r="58" spans="1:3" ht="18" customHeight="1" x14ac:dyDescent="0.35">
      <c r="A58" s="24" t="s">
        <v>322</v>
      </c>
      <c r="B58" s="25">
        <f>COUNTIFS(Tabla_Proyectos[Sistema productivo],"Guayaba",Tabla_Proyectos[Aliados estratégicos],"&lt;&gt;")</f>
        <v>0</v>
      </c>
      <c r="C58" s="25">
        <f>COUNTIFS(Tabla_Proyectos[Sistema productivo],"Guayaba",Tabla_Proyectos[Aliados estratégicos],"")</f>
        <v>18</v>
      </c>
    </row>
    <row r="59" spans="1:3" ht="18" customHeight="1" x14ac:dyDescent="0.35">
      <c r="A59" s="21" t="s">
        <v>365</v>
      </c>
      <c r="B59" s="22">
        <f>COUNTIFS(Tabla_Proyectos[Sistema productivo],"Naranjas",Tabla_Proyectos[Aliados estratégicos],"&lt;&gt;")</f>
        <v>0</v>
      </c>
      <c r="C59" s="22">
        <f>COUNTIFS(Tabla_Proyectos[Sistema productivo],"Naranjas",Tabla_Proyectos[Aliados estratégicos],"")</f>
        <v>8</v>
      </c>
    </row>
    <row r="60" spans="1:3" ht="18" customHeight="1" x14ac:dyDescent="0.35">
      <c r="A60" s="24" t="s">
        <v>580</v>
      </c>
      <c r="B60" s="25">
        <f>COUNTIFS(Tabla_Proyectos[Sistema productivo],"Banano",Tabla_Proyectos[Aliados estratégicos],"&lt;&gt;")</f>
        <v>0</v>
      </c>
      <c r="C60" s="25">
        <f>COUNTIFS(Tabla_Proyectos[Sistema productivo],"Banano",Tabla_Proyectos[Aliados estratégicos],"")</f>
        <v>0</v>
      </c>
    </row>
    <row r="61" spans="1:3" ht="18" customHeight="1" x14ac:dyDescent="0.35">
      <c r="A61" s="21" t="s">
        <v>615</v>
      </c>
      <c r="B61" s="22">
        <f>COUNTIFS(Tabla_Proyectos[Sistema productivo],"Maiz",Tabla_Proyectos[Aliados estratégicos],"&lt;&gt;")</f>
        <v>0</v>
      </c>
      <c r="C61" s="22">
        <f>COUNTIFS(Tabla_Proyectos[Sistema productivo],"Maiz",Tabla_Proyectos[Aliados estratégicos],"")</f>
        <v>0</v>
      </c>
    </row>
    <row r="62" spans="1:3" ht="18" customHeight="1" x14ac:dyDescent="0.35">
      <c r="A62" s="24" t="s">
        <v>616</v>
      </c>
      <c r="B62" s="25">
        <f>COUNTIFS(Tabla_Proyectos[Sistema productivo],"Frijol",Tabla_Proyectos[Aliados estratégicos],"&lt;&gt;")</f>
        <v>0</v>
      </c>
      <c r="C62" s="25">
        <f>COUNTIFS(Tabla_Proyectos[Sistema productivo],"Frijol",Tabla_Proyectos[Aliados estratégicos],"")</f>
        <v>0</v>
      </c>
    </row>
    <row r="63" spans="1:3" ht="18" customHeight="1" x14ac:dyDescent="0.35">
      <c r="A63" s="21" t="s">
        <v>617</v>
      </c>
      <c r="B63" s="22">
        <f>COUNTIFS(Tabla_Proyectos[Sistema productivo],"Cebolla",Tabla_Proyectos[Aliados estratégicos],"&lt;&gt;")</f>
        <v>0</v>
      </c>
      <c r="C63" s="22">
        <f>COUNTIFS(Tabla_Proyectos[Sistema productivo],"Cebolla",Tabla_Proyectos[Aliados estratégicos],"")</f>
        <v>0</v>
      </c>
    </row>
    <row r="64" spans="1:3" ht="18" customHeight="1" x14ac:dyDescent="0.35">
      <c r="A64" s="24" t="s">
        <v>417</v>
      </c>
      <c r="B64" s="25">
        <f>COUNTIFS(Tabla_Proyectos[Sistema productivo],"Yuca",Tabla_Proyectos[Aliados estratégicos],"&lt;&gt;")</f>
        <v>1</v>
      </c>
      <c r="C64" s="25">
        <f>COUNTIFS(Tabla_Proyectos[Sistema productivo],"Yuca",Tabla_Proyectos[Aliados estratégicos],"")</f>
        <v>0</v>
      </c>
    </row>
    <row r="65" spans="1:3" ht="18" customHeight="1" x14ac:dyDescent="0.35">
      <c r="A65" s="21" t="s">
        <v>618</v>
      </c>
      <c r="B65" s="22">
        <f>COUNTIFS(Tabla_Proyectos[Sistema productivo],"Ganaderia ",Tabla_Proyectos[Aliados estratégicos],"&lt;&gt;")</f>
        <v>0</v>
      </c>
      <c r="C65" s="22">
        <f>COUNTIFS(Tabla_Proyectos[Sistema productivo],"Ganaderia ",Tabla_Proyectos[Aliados estratégicos],"")</f>
        <v>0</v>
      </c>
    </row>
    <row r="66" spans="1:3" ht="18" customHeight="1" x14ac:dyDescent="0.35">
      <c r="A66" s="24" t="s">
        <v>619</v>
      </c>
      <c r="B66" s="25">
        <f>COUNTIFS(Tabla_Proyectos[Sistema productivo],"Apicola",Tabla_Proyectos[Aliados estratégicos],"&lt;&gt;")</f>
        <v>0</v>
      </c>
      <c r="C66" s="25">
        <f>COUNTIFS(Tabla_Proyectos[Sistema productivo],"Apicola",Tabla_Proyectos[Aliados estratégicos],"")</f>
        <v>0</v>
      </c>
    </row>
    <row r="67" spans="1:3" ht="18" customHeight="1" x14ac:dyDescent="0.35">
      <c r="A67" s="21" t="s">
        <v>356</v>
      </c>
      <c r="B67" s="22">
        <f>COUNTIFS(Tabla_Proyectos[Sistema productivo],"Maracuya",Tabla_Proyectos[Aliados estratégicos],"&lt;&gt;")</f>
        <v>2</v>
      </c>
      <c r="C67" s="22">
        <f>COUNTIFS(Tabla_Proyectos[Sistema productivo],"Maracuya",Tabla_Proyectos[Aliados estratégicos],"")</f>
        <v>1</v>
      </c>
    </row>
    <row r="68" spans="1:3" ht="18" customHeight="1" x14ac:dyDescent="0.35">
      <c r="A68" s="24" t="s">
        <v>179</v>
      </c>
      <c r="B68" s="25">
        <f>COUNTIFS(Tabla_Proyectos[Sistema productivo],"Ají",Tabla_Proyectos[Aliados estratégicos],"&lt;&gt;")</f>
        <v>0</v>
      </c>
      <c r="C68" s="25">
        <f>COUNTIFS(Tabla_Proyectos[Sistema productivo],"Ají",Tabla_Proyectos[Aliados estratégicos],"")</f>
        <v>1</v>
      </c>
    </row>
    <row r="69" spans="1:3" ht="18" customHeight="1" x14ac:dyDescent="0.35">
      <c r="A69" s="21" t="s">
        <v>305</v>
      </c>
      <c r="B69" s="22">
        <f>COUNTIFS(Tabla_Proyectos[Sistema productivo],"Forestal",Tabla_Proyectos[Aliados estratégicos],"&lt;&gt;")</f>
        <v>0</v>
      </c>
      <c r="C69" s="22">
        <f>COUNTIFS(Tabla_Proyectos[Sistema productivo],"Forestal",Tabla_Proyectos[Aliados estratégicos],"")</f>
        <v>11</v>
      </c>
    </row>
    <row r="70" spans="1:3" ht="18" customHeight="1" x14ac:dyDescent="0.35">
      <c r="A70" s="24" t="s">
        <v>404</v>
      </c>
      <c r="B70" s="25">
        <f>COUNTIFS(Tabla_Proyectos[Sistema productivo],"Quinua",Tabla_Proyectos[Aliados estratégicos],"&lt;&gt;")</f>
        <v>2</v>
      </c>
      <c r="C70" s="25">
        <f>COUNTIFS(Tabla_Proyectos[Sistema productivo],"Quinua",Tabla_Proyectos[Aliados estratégicos],"")</f>
        <v>4</v>
      </c>
    </row>
    <row r="71" spans="1:3" ht="18" customHeight="1" x14ac:dyDescent="0.35">
      <c r="A71" s="21" t="s">
        <v>620</v>
      </c>
      <c r="B71" s="22">
        <f>COUNTIFS(Tabla_Proyectos[Sistema productivo],"Caña panelera",Tabla_Proyectos[Aliados estratégicos],"&lt;&gt;")</f>
        <v>0</v>
      </c>
      <c r="C71" s="22">
        <f>COUNTIFS(Tabla_Proyectos[Sistema productivo],"Caña panelera",Tabla_Proyectos[Aliados estratégicos],"")</f>
        <v>0</v>
      </c>
    </row>
    <row r="72" spans="1:3" ht="18" customHeight="1" x14ac:dyDescent="0.35">
      <c r="A72" s="24" t="s">
        <v>302</v>
      </c>
      <c r="B72" s="25">
        <f>COUNTIFS(Tabla_Proyectos[Sistema productivo],"Fique",Tabla_Proyectos[Aliados estratégicos],"&lt;&gt;")</f>
        <v>0</v>
      </c>
      <c r="C72" s="25">
        <f>COUNTIFS(Tabla_Proyectos[Sistema productivo],"Fique",Tabla_Proyectos[Aliados estratégicos],"")</f>
        <v>3</v>
      </c>
    </row>
    <row r="73" spans="1:3" ht="18" customHeight="1" x14ac:dyDescent="0.35">
      <c r="A73" s="21" t="s">
        <v>351</v>
      </c>
      <c r="B73" s="22">
        <f>COUNTIFS(Tabla_Proyectos[Sistema productivo],"Limón Pajarito",Tabla_Proyectos[Aliados estratégicos],"&lt;&gt;")</f>
        <v>0</v>
      </c>
      <c r="C73" s="22">
        <f>COUNTIFS(Tabla_Proyectos[Sistema productivo],"Limón Pajarito",Tabla_Proyectos[Aliados estratégicos],"")</f>
        <v>1</v>
      </c>
    </row>
    <row r="74" spans="1:3" ht="18" customHeight="1" x14ac:dyDescent="0.35">
      <c r="A74" s="24" t="s">
        <v>363</v>
      </c>
      <c r="B74" s="25">
        <f>COUNTIFS(Tabla_Proyectos[Sistema productivo],"Mora",Tabla_Proyectos[Aliados estratégicos],"&lt;&gt;")</f>
        <v>0</v>
      </c>
      <c r="C74" s="25">
        <f>COUNTIFS(Tabla_Proyectos[Sistema productivo],"Mora",Tabla_Proyectos[Aliados estratégicos],"")</f>
        <v>1</v>
      </c>
    </row>
    <row r="75" spans="1:3" ht="18" customHeight="1" x14ac:dyDescent="0.35">
      <c r="A75" s="21" t="s">
        <v>361</v>
      </c>
      <c r="B75" s="22">
        <f>COUNTIFS(Tabla_Proyectos[Sistema productivo],"Melón",Tabla_Proyectos[Aliados estratégicos],"&lt;&gt;")</f>
        <v>0</v>
      </c>
      <c r="C75" s="22">
        <f>COUNTIFS(Tabla_Proyectos[Sistema productivo],"Melón",Tabla_Proyectos[Aliados estratégicos],"")</f>
        <v>1</v>
      </c>
    </row>
    <row r="76" spans="1:3" ht="18" customHeight="1" x14ac:dyDescent="0.35">
      <c r="A76" s="24" t="s">
        <v>383</v>
      </c>
      <c r="B76" s="25">
        <f>COUNTIFS(Tabla_Proyectos[Sistema productivo],"Palma de aceite Americana",Tabla_Proyectos[Aliados estratégicos],"&lt;&gt;")</f>
        <v>0</v>
      </c>
      <c r="C76" s="25">
        <f>COUNTIFS(Tabla_Proyectos[Sistema productivo],"Palma de aceite Americana",Tabla_Proyectos[Aliados estratégicos],"")</f>
        <v>1</v>
      </c>
    </row>
    <row r="77" spans="1:3" ht="18" customHeight="1" x14ac:dyDescent="0.35">
      <c r="A77" s="21" t="s">
        <v>378</v>
      </c>
      <c r="B77" s="22">
        <f>COUNTIFS(Tabla_Proyectos[Sistema productivo],"Palma de aceite Africana",Tabla_Proyectos[Aliados estratégicos],"&lt;&gt;")</f>
        <v>0</v>
      </c>
      <c r="C77" s="22">
        <f>COUNTIFS(Tabla_Proyectos[Sistema productivo],"Palma de aceite Africana",Tabla_Proyectos[Aliados estratégicos],"")</f>
        <v>4</v>
      </c>
    </row>
    <row r="78" spans="1:3" ht="18" customHeight="1" x14ac:dyDescent="0.35">
      <c r="A78" s="24" t="s">
        <v>181</v>
      </c>
      <c r="B78" s="25">
        <f>COUNTIFS(Tabla_Proyectos[Sistema productivo],"Bancos de Germoplasma",Tabla_Proyectos[Aliados estratégicos],"&lt;&gt;")</f>
        <v>0</v>
      </c>
      <c r="C78" s="25">
        <f>COUNTIFS(Tabla_Proyectos[Sistema productivo],"Bancos de Germoplasma",Tabla_Proyectos[Aliados estratégicos],"")</f>
        <v>1</v>
      </c>
    </row>
    <row r="79" spans="1:3" ht="18" customHeight="1" x14ac:dyDescent="0.35">
      <c r="A79" s="21" t="s">
        <v>80</v>
      </c>
      <c r="B79" s="22">
        <f>COUNTIFS(Tabla_Proyectos[Sistema productivo],"Agraz",Tabla_Proyectos[Aliados estratégicos],"&lt;&gt;")</f>
        <v>0</v>
      </c>
      <c r="C79" s="22">
        <f>COUNTIFS(Tabla_Proyectos[Sistema productivo],"Agraz",Tabla_Proyectos[Aliados estratégicos],"")</f>
        <v>3</v>
      </c>
    </row>
    <row r="80" spans="1:3" ht="18" customHeight="1" x14ac:dyDescent="0.35">
      <c r="A80" s="24" t="s">
        <v>395</v>
      </c>
      <c r="B80" s="25">
        <f>COUNTIFS(Tabla_Proyectos[Sistema productivo],"Pitaya Amarilla",Tabla_Proyectos[Aliados estratégicos],"&lt;&gt;")</f>
        <v>1</v>
      </c>
      <c r="C80" s="25">
        <f>COUNTIFS(Tabla_Proyectos[Sistema productivo],"Pitaya Amarilla",Tabla_Proyectos[Aliados estratégicos],"")</f>
        <v>2</v>
      </c>
    </row>
    <row r="81" spans="1:3" ht="18" customHeight="1" x14ac:dyDescent="0.35">
      <c r="A81" s="21" t="s">
        <v>385</v>
      </c>
      <c r="B81" s="22">
        <f>COUNTIFS(Tabla_Proyectos[Sistema productivo],"Palmaceas",Tabla_Proyectos[Aliados estratégicos],"&lt;&gt;")</f>
        <v>0</v>
      </c>
      <c r="C81" s="22">
        <f>COUNTIFS(Tabla_Proyectos[Sistema productivo],"Palmaceas",Tabla_Proyectos[Aliados estratégicos],"")</f>
        <v>1</v>
      </c>
    </row>
    <row r="82" spans="1:3" ht="18" customHeight="1" x14ac:dyDescent="0.35">
      <c r="A82" s="24" t="s">
        <v>299</v>
      </c>
      <c r="B82" s="25">
        <f>COUNTIFS(Tabla_Proyectos[Sistema productivo],"Coco",Tabla_Proyectos[Aliados estratégicos],"&lt;&gt;")</f>
        <v>0</v>
      </c>
      <c r="C82" s="25">
        <f>COUNTIFS(Tabla_Proyectos[Sistema productivo],"Coco",Tabla_Proyectos[Aliados estratégicos],"")</f>
        <v>2</v>
      </c>
    </row>
    <row r="83" spans="1:3" ht="18" customHeight="1" x14ac:dyDescent="0.35">
      <c r="A83" s="21" t="s">
        <v>156</v>
      </c>
      <c r="B83" s="22">
        <f>COUNTIFS(Tabla_Proyectos[Sistema productivo],"Otro",Tabla_Proyectos[Aliados estratégicos],"&lt;&gt;")</f>
        <v>0</v>
      </c>
      <c r="C83" s="22">
        <f>COUNTIFS(Tabla_Proyectos[Sistema productivo],"Otro",Tabla_Proyectos[Aliados estratégicos],"")</f>
        <v>6</v>
      </c>
    </row>
  </sheetData>
  <mergeCells count="6">
    <mergeCell ref="A1:F1"/>
    <mergeCell ref="A2:F2"/>
    <mergeCell ref="E4:F4"/>
    <mergeCell ref="A41:C41"/>
    <mergeCell ref="A49:C49"/>
    <mergeCell ref="A4:D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I38"/>
  <sheetViews>
    <sheetView workbookViewId="0">
      <pane ySplit="5" topLeftCell="A6" activePane="bottomLeft" state="frozen"/>
      <selection pane="bottomLeft" sqref="A1:H1"/>
    </sheetView>
  </sheetViews>
  <sheetFormatPr baseColWidth="10" defaultColWidth="8.6640625" defaultRowHeight="14.5" x14ac:dyDescent="0.35"/>
  <cols>
    <col min="1" max="1" width="30" customWidth="1"/>
    <col min="2" max="2" width="14" customWidth="1"/>
    <col min="3" max="3" width="12" customWidth="1"/>
    <col min="5" max="5" width="32" customWidth="1"/>
    <col min="6" max="7" width="14" customWidth="1"/>
    <col min="8" max="9" width="22" customWidth="1"/>
  </cols>
  <sheetData>
    <row r="1" spans="1:9" ht="30.05" customHeight="1" x14ac:dyDescent="0.35">
      <c r="A1" s="66" t="s">
        <v>703</v>
      </c>
      <c r="B1" s="53"/>
      <c r="C1" s="53"/>
      <c r="D1" s="53"/>
      <c r="E1" s="53"/>
      <c r="F1" s="53"/>
      <c r="G1" s="53"/>
      <c r="H1" s="54"/>
    </row>
    <row r="2" spans="1:9" ht="22" customHeight="1" x14ac:dyDescent="0.35">
      <c r="A2" s="59" t="s">
        <v>704</v>
      </c>
      <c r="B2" s="60"/>
      <c r="C2" s="60"/>
      <c r="D2" s="60"/>
      <c r="E2" s="60"/>
      <c r="F2" s="60"/>
      <c r="G2" s="60"/>
      <c r="H2" s="60"/>
    </row>
    <row r="4" spans="1:9" ht="22" customHeight="1" x14ac:dyDescent="0.35">
      <c r="A4" s="62" t="s">
        <v>705</v>
      </c>
      <c r="B4" s="63"/>
      <c r="C4" s="64"/>
      <c r="E4" s="62" t="s">
        <v>706</v>
      </c>
      <c r="F4" s="63"/>
      <c r="G4" s="63"/>
      <c r="H4" s="64"/>
    </row>
    <row r="5" spans="1:9" ht="20" customHeight="1" x14ac:dyDescent="0.35">
      <c r="A5" s="7" t="s">
        <v>707</v>
      </c>
      <c r="B5" s="7" t="s">
        <v>565</v>
      </c>
      <c r="C5" s="7" t="s">
        <v>566</v>
      </c>
      <c r="E5" s="7" t="s">
        <v>1</v>
      </c>
      <c r="F5" s="7" t="s">
        <v>109</v>
      </c>
      <c r="G5" s="7" t="s">
        <v>77</v>
      </c>
      <c r="H5" s="7" t="s">
        <v>708</v>
      </c>
      <c r="I5" s="7" t="s">
        <v>709</v>
      </c>
    </row>
    <row r="6" spans="1:9" ht="18" customHeight="1" x14ac:dyDescent="0.35">
      <c r="A6" s="8" t="s">
        <v>109</v>
      </c>
      <c r="B6" s="9">
        <f>COUNTIF(Tabla_Proyectos[Estado del proyecto],"En ejecución")</f>
        <v>4</v>
      </c>
      <c r="C6" s="10">
        <f>IF(COUNTIF(Tabla_Proyectos[Estado del proyecto],"&lt;&gt;")=0,"Sin datos",IFERROR(B6/COUNTIF(Tabla_Proyectos[Estado del proyecto],"&lt;&gt;"),0))</f>
        <v>0.5</v>
      </c>
      <c r="E6" s="8" t="s">
        <v>45</v>
      </c>
      <c r="F6" s="9">
        <f>COUNTIFS(Tabla_Proyectos[Sistema productivo],"Aguacate Hass",Tabla_Proyectos[Estado del proyecto],"En ejecución")</f>
        <v>2</v>
      </c>
      <c r="G6" s="9">
        <f>COUNTIFS(Tabla_Proyectos[Sistema productivo],"Aguacate Hass",Tabla_Proyectos[Estado del proyecto],"Finalizado")</f>
        <v>2</v>
      </c>
      <c r="H6" s="9">
        <f>COUNTIFS(Tabla_Proyectos[Sistema productivo],"Aguacate Hass",Tabla_Proyectos[Estado del proyecto],"Portafolio")</f>
        <v>0</v>
      </c>
      <c r="I6" s="9">
        <f>COUNTIFS(Tabla_Proyectos[Sistema productivo],"Aguacate Hass",Tabla_Proyectos[Estado del proyecto],"Servicio técnico especializado")</f>
        <v>0</v>
      </c>
    </row>
    <row r="7" spans="1:9" ht="18" customHeight="1" x14ac:dyDescent="0.35">
      <c r="A7" s="11" t="s">
        <v>77</v>
      </c>
      <c r="B7" s="12">
        <f>COUNTIF(Tabla_Proyectos[Estado del proyecto],"Finalizado")</f>
        <v>4</v>
      </c>
      <c r="C7" s="13">
        <f>IF(COUNTIF(Tabla_Proyectos[Estado del proyecto],"&lt;&gt;")=0,"Sin datos",IFERROR(B7/COUNTIF(Tabla_Proyectos[Estado del proyecto],"&lt;&gt;"),0))</f>
        <v>0.5</v>
      </c>
      <c r="E7" s="11" t="s">
        <v>342</v>
      </c>
      <c r="F7" s="12">
        <f>COUNTIFS(Tabla_Proyectos[Sistema productivo],"Lima Acida Tahití",Tabla_Proyectos[Estado del proyecto],"En ejecución")</f>
        <v>0</v>
      </c>
      <c r="G7" s="12">
        <f>COUNTIFS(Tabla_Proyectos[Sistema productivo],"Lima Acida Tahití",Tabla_Proyectos[Estado del proyecto],"Finalizado")</f>
        <v>0</v>
      </c>
      <c r="H7" s="12">
        <f>COUNTIFS(Tabla_Proyectos[Sistema productivo],"Lima Acida Tahití",Tabla_Proyectos[Estado del proyecto],"Portafolio")</f>
        <v>0</v>
      </c>
      <c r="I7" s="12">
        <f>COUNTIFS(Tabla_Proyectos[Sistema productivo],"Lima Acida Tahití",Tabla_Proyectos[Estado del proyecto],"Servicio técnico especializado")</f>
        <v>0</v>
      </c>
    </row>
    <row r="8" spans="1:9" ht="18" customHeight="1" x14ac:dyDescent="0.35">
      <c r="A8" s="8" t="s">
        <v>708</v>
      </c>
      <c r="B8" s="9">
        <f>COUNTIF(Tabla_Proyectos[Estado del proyecto],"Portafolio")</f>
        <v>0</v>
      </c>
      <c r="C8" s="10">
        <f>IF(COUNTIF(Tabla_Proyectos[Estado del proyecto],"&lt;&gt;")=0,"Sin datos",IFERROR(B8/COUNTIF(Tabla_Proyectos[Estado del proyecto],"&lt;&gt;"),0))</f>
        <v>0</v>
      </c>
      <c r="E8" s="8" t="s">
        <v>183</v>
      </c>
      <c r="F8" s="9">
        <f>COUNTIFS(Tabla_Proyectos[Sistema productivo],"Cacao",Tabla_Proyectos[Estado del proyecto],"En ejecución")</f>
        <v>2</v>
      </c>
      <c r="G8" s="9">
        <f>COUNTIFS(Tabla_Proyectos[Sistema productivo],"Cacao",Tabla_Proyectos[Estado del proyecto],"Finalizado")</f>
        <v>2</v>
      </c>
      <c r="H8" s="9">
        <f>COUNTIFS(Tabla_Proyectos[Sistema productivo],"Cacao",Tabla_Proyectos[Estado del proyecto],"Portafolio")</f>
        <v>0</v>
      </c>
      <c r="I8" s="9">
        <f>COUNTIFS(Tabla_Proyectos[Sistema productivo],"Cacao",Tabla_Proyectos[Estado del proyecto],"Servicio técnico especializado")</f>
        <v>0</v>
      </c>
    </row>
    <row r="9" spans="1:9" ht="18" customHeight="1" x14ac:dyDescent="0.35">
      <c r="A9" s="11" t="s">
        <v>709</v>
      </c>
      <c r="B9" s="12">
        <f>COUNTIF(Tabla_Proyectos[Estado del proyecto],"Servicio técnico especializado")</f>
        <v>0</v>
      </c>
      <c r="C9" s="13">
        <f>IF(COUNTIF(Tabla_Proyectos[Estado del proyecto],"&lt;&gt;")=0,"Sin datos",IFERROR(B9/COUNTIF(Tabla_Proyectos[Estado del proyecto],"&lt;&gt;"),0))</f>
        <v>0</v>
      </c>
      <c r="E9" s="11" t="s">
        <v>387</v>
      </c>
      <c r="F9" s="12">
        <f>COUNTIFS(Tabla_Proyectos[Sistema productivo],"Piña",Tabla_Proyectos[Estado del proyecto],"En ejecución")</f>
        <v>0</v>
      </c>
      <c r="G9" s="12">
        <f>COUNTIFS(Tabla_Proyectos[Sistema productivo],"Piña",Tabla_Proyectos[Estado del proyecto],"Finalizado")</f>
        <v>0</v>
      </c>
      <c r="H9" s="12">
        <f>COUNTIFS(Tabla_Proyectos[Sistema productivo],"Piña",Tabla_Proyectos[Estado del proyecto],"Portafolio")</f>
        <v>0</v>
      </c>
      <c r="I9" s="12">
        <f>COUNTIFS(Tabla_Proyectos[Sistema productivo],"Piña",Tabla_Proyectos[Estado del proyecto],"Servicio técnico especializado")</f>
        <v>0</v>
      </c>
    </row>
    <row r="10" spans="1:9" ht="18" customHeight="1" x14ac:dyDescent="0.35">
      <c r="A10" s="8" t="s">
        <v>710</v>
      </c>
      <c r="B10" s="9">
        <f>COUNTIF(Tabla_Proyectos[Estado del proyecto],"Formulación")</f>
        <v>0</v>
      </c>
      <c r="C10" s="10">
        <f>IF(COUNTIF(Tabla_Proyectos[Estado del proyecto],"&lt;&gt;")=0,"Sin datos",IFERROR(B10/COUNTIF(Tabla_Proyectos[Estado del proyecto],"&lt;&gt;"),0))</f>
        <v>0</v>
      </c>
      <c r="E10" s="8" t="s">
        <v>398</v>
      </c>
      <c r="F10" s="9">
        <f>COUNTIFS(Tabla_Proyectos[Sistema productivo],"Platano",Tabla_Proyectos[Estado del proyecto],"En ejecución")</f>
        <v>0</v>
      </c>
      <c r="G10" s="9">
        <f>COUNTIFS(Tabla_Proyectos[Sistema productivo],"Platano",Tabla_Proyectos[Estado del proyecto],"Finalizado")</f>
        <v>0</v>
      </c>
      <c r="H10" s="9">
        <f>COUNTIFS(Tabla_Proyectos[Sistema productivo],"Platano",Tabla_Proyectos[Estado del proyecto],"Portafolio")</f>
        <v>0</v>
      </c>
      <c r="I10" s="9">
        <f>COUNTIFS(Tabla_Proyectos[Sistema productivo],"Platano",Tabla_Proyectos[Estado del proyecto],"Servicio técnico especializado")</f>
        <v>0</v>
      </c>
    </row>
    <row r="11" spans="1:9" ht="18" customHeight="1" x14ac:dyDescent="0.35">
      <c r="A11" s="14" t="s">
        <v>577</v>
      </c>
      <c r="B11" s="14">
        <f>SUM(B6:B10)</f>
        <v>8</v>
      </c>
      <c r="C11" s="15">
        <f>100%</f>
        <v>1</v>
      </c>
      <c r="E11" s="11" t="s">
        <v>293</v>
      </c>
      <c r="F11" s="12">
        <f>COUNTIFS(Tabla_Proyectos[Sistema productivo],"Chontaduro",Tabla_Proyectos[Estado del proyecto],"En ejecución")</f>
        <v>0</v>
      </c>
      <c r="G11" s="12">
        <f>COUNTIFS(Tabla_Proyectos[Sistema productivo],"Chontaduro",Tabla_Proyectos[Estado del proyecto],"Finalizado")</f>
        <v>0</v>
      </c>
      <c r="H11" s="12">
        <f>COUNTIFS(Tabla_Proyectos[Sistema productivo],"Chontaduro",Tabla_Proyectos[Estado del proyecto],"Portafolio")</f>
        <v>0</v>
      </c>
      <c r="I11" s="12">
        <f>COUNTIFS(Tabla_Proyectos[Sistema productivo],"Chontaduro",Tabla_Proyectos[Estado del proyecto],"Servicio técnico especializado")</f>
        <v>0</v>
      </c>
    </row>
    <row r="12" spans="1:9" ht="18" customHeight="1" x14ac:dyDescent="0.35">
      <c r="E12" s="8" t="s">
        <v>318</v>
      </c>
      <c r="F12" s="9">
        <f>COUNTIFS(Tabla_Proyectos[Sistema productivo],"Guanábana",Tabla_Proyectos[Estado del proyecto],"En ejecución")</f>
        <v>0</v>
      </c>
      <c r="G12" s="9">
        <f>COUNTIFS(Tabla_Proyectos[Sistema productivo],"Guanábana",Tabla_Proyectos[Estado del proyecto],"Finalizado")</f>
        <v>0</v>
      </c>
      <c r="H12" s="9">
        <f>COUNTIFS(Tabla_Proyectos[Sistema productivo],"Guanábana",Tabla_Proyectos[Estado del proyecto],"Portafolio")</f>
        <v>0</v>
      </c>
      <c r="I12" s="9">
        <f>COUNTIFS(Tabla_Proyectos[Sistema productivo],"Guanábana",Tabla_Proyectos[Estado del proyecto],"Servicio técnico especializado")</f>
        <v>0</v>
      </c>
    </row>
    <row r="13" spans="1:9" ht="18" customHeight="1" x14ac:dyDescent="0.35">
      <c r="A13" s="62" t="s">
        <v>711</v>
      </c>
      <c r="B13" s="63"/>
      <c r="C13" s="64"/>
      <c r="E13" s="11" t="s">
        <v>322</v>
      </c>
      <c r="F13" s="12">
        <f>COUNTIFS(Tabla_Proyectos[Sistema productivo],"Guayaba",Tabla_Proyectos[Estado del proyecto],"En ejecución")</f>
        <v>0</v>
      </c>
      <c r="G13" s="12">
        <f>COUNTIFS(Tabla_Proyectos[Sistema productivo],"Guayaba",Tabla_Proyectos[Estado del proyecto],"Finalizado")</f>
        <v>0</v>
      </c>
      <c r="H13" s="12">
        <f>COUNTIFS(Tabla_Proyectos[Sistema productivo],"Guayaba",Tabla_Proyectos[Estado del proyecto],"Portafolio")</f>
        <v>0</v>
      </c>
      <c r="I13" s="12">
        <f>COUNTIFS(Tabla_Proyectos[Sistema productivo],"Guayaba",Tabla_Proyectos[Estado del proyecto],"Servicio técnico especializado")</f>
        <v>0</v>
      </c>
    </row>
    <row r="14" spans="1:9" ht="18" customHeight="1" x14ac:dyDescent="0.35">
      <c r="A14" s="7" t="s">
        <v>36</v>
      </c>
      <c r="B14" s="7" t="s">
        <v>565</v>
      </c>
      <c r="C14" s="7" t="s">
        <v>566</v>
      </c>
      <c r="E14" s="8" t="s">
        <v>365</v>
      </c>
      <c r="F14" s="9">
        <f>COUNTIFS(Tabla_Proyectos[Sistema productivo],"Naranjas",Tabla_Proyectos[Estado del proyecto],"En ejecución")</f>
        <v>0</v>
      </c>
      <c r="G14" s="9">
        <f>COUNTIFS(Tabla_Proyectos[Sistema productivo],"Naranjas",Tabla_Proyectos[Estado del proyecto],"Finalizado")</f>
        <v>0</v>
      </c>
      <c r="H14" s="9">
        <f>COUNTIFS(Tabla_Proyectos[Sistema productivo],"Naranjas",Tabla_Proyectos[Estado del proyecto],"Portafolio")</f>
        <v>0</v>
      </c>
      <c r="I14" s="9">
        <f>COUNTIFS(Tabla_Proyectos[Sistema productivo],"Naranjas",Tabla_Proyectos[Estado del proyecto],"Servicio técnico especializado")</f>
        <v>0</v>
      </c>
    </row>
    <row r="15" spans="1:9" ht="18" customHeight="1" x14ac:dyDescent="0.35">
      <c r="A15" s="8" t="s">
        <v>82</v>
      </c>
      <c r="B15" s="9">
        <f>COUNTIF(Tabla_Proyectos[Financiador],"Entes Nacionales y Territoriales")</f>
        <v>108</v>
      </c>
      <c r="C15" s="10">
        <f>IF(COUNTIF(Tabla_Proyectos[Financiador],"&lt;&gt;")=0,"Sin datos",IFERROR(B15/COUNTIF(Tabla_Proyectos[Financiador],"&lt;&gt;"),0))</f>
        <v>0.82442748091603058</v>
      </c>
      <c r="E15" s="11" t="s">
        <v>580</v>
      </c>
      <c r="F15" s="12">
        <f>COUNTIFS(Tabla_Proyectos[Sistema productivo],"Banano",Tabla_Proyectos[Estado del proyecto],"En ejecución")</f>
        <v>0</v>
      </c>
      <c r="G15" s="12">
        <f>COUNTIFS(Tabla_Proyectos[Sistema productivo],"Banano",Tabla_Proyectos[Estado del proyecto],"Finalizado")</f>
        <v>0</v>
      </c>
      <c r="H15" s="12">
        <f>COUNTIFS(Tabla_Proyectos[Sistema productivo],"Banano",Tabla_Proyectos[Estado del proyecto],"Portafolio")</f>
        <v>0</v>
      </c>
      <c r="I15" s="12">
        <f>COUNTIFS(Tabla_Proyectos[Sistema productivo],"Banano",Tabla_Proyectos[Estado del proyecto],"Servicio técnico especializado")</f>
        <v>0</v>
      </c>
    </row>
    <row r="16" spans="1:9" ht="18" customHeight="1" x14ac:dyDescent="0.35">
      <c r="A16" s="11" t="s">
        <v>185</v>
      </c>
      <c r="B16" s="12">
        <f>COUNTIF(Tabla_Proyectos[Financiador],"Entes Internacionales")</f>
        <v>14</v>
      </c>
      <c r="C16" s="13">
        <f>IF(COUNTIF(Tabla_Proyectos[Financiador],"&lt;&gt;")=0,"Sin datos",IFERROR(B16/COUNTIF(Tabla_Proyectos[Financiador],"&lt;&gt;"),0))</f>
        <v>0.10687022900763359</v>
      </c>
      <c r="E16" s="8" t="s">
        <v>615</v>
      </c>
      <c r="F16" s="9">
        <f>COUNTIFS(Tabla_Proyectos[Sistema productivo],"Maiz",Tabla_Proyectos[Estado del proyecto],"En ejecución")</f>
        <v>0</v>
      </c>
      <c r="G16" s="9">
        <f>COUNTIFS(Tabla_Proyectos[Sistema productivo],"Maiz",Tabla_Proyectos[Estado del proyecto],"Finalizado")</f>
        <v>0</v>
      </c>
      <c r="H16" s="9">
        <f>COUNTIFS(Tabla_Proyectos[Sistema productivo],"Maiz",Tabla_Proyectos[Estado del proyecto],"Portafolio")</f>
        <v>0</v>
      </c>
      <c r="I16" s="9">
        <f>COUNTIFS(Tabla_Proyectos[Sistema productivo],"Maiz",Tabla_Proyectos[Estado del proyecto],"Servicio técnico especializado")</f>
        <v>0</v>
      </c>
    </row>
    <row r="17" spans="1:9" ht="18" customHeight="1" x14ac:dyDescent="0.35">
      <c r="A17" s="8" t="s">
        <v>159</v>
      </c>
      <c r="B17" s="9">
        <f>COUNTIF(Tabla_Proyectos[Financiador],"Sector privado")</f>
        <v>4</v>
      </c>
      <c r="C17" s="10">
        <f>IF(COUNTIF(Tabla_Proyectos[Financiador],"&lt;&gt;")=0,"Sin datos",IFERROR(B17/COUNTIF(Tabla_Proyectos[Financiador],"&lt;&gt;"),0))</f>
        <v>3.0534351145038167E-2</v>
      </c>
      <c r="E17" s="11" t="s">
        <v>616</v>
      </c>
      <c r="F17" s="12">
        <f>COUNTIFS(Tabla_Proyectos[Sistema productivo],"Frijol",Tabla_Proyectos[Estado del proyecto],"En ejecución")</f>
        <v>0</v>
      </c>
      <c r="G17" s="12">
        <f>COUNTIFS(Tabla_Proyectos[Sistema productivo],"Frijol",Tabla_Proyectos[Estado del proyecto],"Finalizado")</f>
        <v>0</v>
      </c>
      <c r="H17" s="12">
        <f>COUNTIFS(Tabla_Proyectos[Sistema productivo],"Frijol",Tabla_Proyectos[Estado del proyecto],"Portafolio")</f>
        <v>0</v>
      </c>
      <c r="I17" s="12">
        <f>COUNTIFS(Tabla_Proyectos[Sistema productivo],"Frijol",Tabla_Proyectos[Estado del proyecto],"Servicio técnico especializado")</f>
        <v>0</v>
      </c>
    </row>
    <row r="18" spans="1:9" ht="18" customHeight="1" x14ac:dyDescent="0.35">
      <c r="A18" s="11" t="s">
        <v>693</v>
      </c>
      <c r="B18" s="12">
        <f>COUNTIF(Tabla_Proyectos[Financiador],"Agremiaciónes")</f>
        <v>0</v>
      </c>
      <c r="C18" s="13">
        <f>IF(COUNTIF(Tabla_Proyectos[Financiador],"&lt;&gt;")=0,"Sin datos",IFERROR(B18/COUNTIF(Tabla_Proyectos[Financiador],"&lt;&gt;"),0))</f>
        <v>0</v>
      </c>
      <c r="E18" s="8" t="s">
        <v>617</v>
      </c>
      <c r="F18" s="9">
        <f>COUNTIFS(Tabla_Proyectos[Sistema productivo],"Cebolla",Tabla_Proyectos[Estado del proyecto],"En ejecución")</f>
        <v>0</v>
      </c>
      <c r="G18" s="9">
        <f>COUNTIFS(Tabla_Proyectos[Sistema productivo],"Cebolla",Tabla_Proyectos[Estado del proyecto],"Finalizado")</f>
        <v>0</v>
      </c>
      <c r="H18" s="9">
        <f>COUNTIFS(Tabla_Proyectos[Sistema productivo],"Cebolla",Tabla_Proyectos[Estado del proyecto],"Portafolio")</f>
        <v>0</v>
      </c>
      <c r="I18" s="9">
        <f>COUNTIFS(Tabla_Proyectos[Sistema productivo],"Cebolla",Tabla_Proyectos[Estado del proyecto],"Servicio técnico especializado")</f>
        <v>0</v>
      </c>
    </row>
    <row r="19" spans="1:9" ht="18" customHeight="1" x14ac:dyDescent="0.35">
      <c r="A19" s="8" t="s">
        <v>694</v>
      </c>
      <c r="B19" s="9">
        <f>COUNTIF(Tabla_Proyectos[Financiador],"Instituciones de Educación Superior")</f>
        <v>0</v>
      </c>
      <c r="C19" s="10">
        <f>IF(COUNTIF(Tabla_Proyectos[Financiador],"&lt;&gt;")=0,"Sin datos",IFERROR(B19/COUNTIF(Tabla_Proyectos[Financiador],"&lt;&gt;"),0))</f>
        <v>0</v>
      </c>
      <c r="E19" s="11" t="s">
        <v>417</v>
      </c>
      <c r="F19" s="12">
        <f>COUNTIFS(Tabla_Proyectos[Sistema productivo],"Yuca",Tabla_Proyectos[Estado del proyecto],"En ejecución")</f>
        <v>0</v>
      </c>
      <c r="G19" s="12">
        <f>COUNTIFS(Tabla_Proyectos[Sistema productivo],"Yuca",Tabla_Proyectos[Estado del proyecto],"Finalizado")</f>
        <v>0</v>
      </c>
      <c r="H19" s="12">
        <f>COUNTIFS(Tabla_Proyectos[Sistema productivo],"Yuca",Tabla_Proyectos[Estado del proyecto],"Portafolio")</f>
        <v>0</v>
      </c>
      <c r="I19" s="12">
        <f>COUNTIFS(Tabla_Proyectos[Sistema productivo],"Yuca",Tabla_Proyectos[Estado del proyecto],"Servicio técnico especializado")</f>
        <v>0</v>
      </c>
    </row>
    <row r="20" spans="1:9" ht="18" customHeight="1" x14ac:dyDescent="0.35">
      <c r="A20" s="11" t="s">
        <v>695</v>
      </c>
      <c r="B20" s="12">
        <f>COUNTIF(Tabla_Proyectos[Financiador],"Sociedad civil organizada")</f>
        <v>0</v>
      </c>
      <c r="C20" s="13">
        <f>IF(COUNTIF(Tabla_Proyectos[Financiador],"&lt;&gt;")=0,"Sin datos",IFERROR(B20/COUNTIF(Tabla_Proyectos[Financiador],"&lt;&gt;"),0))</f>
        <v>0</v>
      </c>
      <c r="E20" s="8" t="s">
        <v>618</v>
      </c>
      <c r="F20" s="9">
        <f>COUNTIFS(Tabla_Proyectos[Sistema productivo],"Ganaderia ",Tabla_Proyectos[Estado del proyecto],"En ejecución")</f>
        <v>0</v>
      </c>
      <c r="G20" s="9">
        <f>COUNTIFS(Tabla_Proyectos[Sistema productivo],"Ganaderia ",Tabla_Proyectos[Estado del proyecto],"Finalizado")</f>
        <v>0</v>
      </c>
      <c r="H20" s="9">
        <f>COUNTIFS(Tabla_Proyectos[Sistema productivo],"Ganaderia ",Tabla_Proyectos[Estado del proyecto],"Portafolio")</f>
        <v>0</v>
      </c>
      <c r="I20" s="9">
        <f>COUNTIFS(Tabla_Proyectos[Sistema productivo],"Ganaderia ",Tabla_Proyectos[Estado del proyecto],"Servicio técnico especializado")</f>
        <v>0</v>
      </c>
    </row>
    <row r="21" spans="1:9" ht="18" customHeight="1" x14ac:dyDescent="0.35">
      <c r="A21" s="8" t="s">
        <v>696</v>
      </c>
      <c r="B21" s="9">
        <f>COUNTIF(Tabla_Proyectos[Financiador],"Centros de Investigación")</f>
        <v>0</v>
      </c>
      <c r="C21" s="10">
        <f>IF(COUNTIF(Tabla_Proyectos[Financiador],"&lt;&gt;")=0,"Sin datos",IFERROR(B21/COUNTIF(Tabla_Proyectos[Financiador],"&lt;&gt;"),0))</f>
        <v>0</v>
      </c>
      <c r="E21" s="11" t="s">
        <v>619</v>
      </c>
      <c r="F21" s="12">
        <f>COUNTIFS(Tabla_Proyectos[Sistema productivo],"Apicola",Tabla_Proyectos[Estado del proyecto],"En ejecución")</f>
        <v>0</v>
      </c>
      <c r="G21" s="12">
        <f>COUNTIFS(Tabla_Proyectos[Sistema productivo],"Apicola",Tabla_Proyectos[Estado del proyecto],"Finalizado")</f>
        <v>0</v>
      </c>
      <c r="H21" s="12">
        <f>COUNTIFS(Tabla_Proyectos[Sistema productivo],"Apicola",Tabla_Proyectos[Estado del proyecto],"Portafolio")</f>
        <v>0</v>
      </c>
      <c r="I21" s="12">
        <f>COUNTIFS(Tabla_Proyectos[Sistema productivo],"Apicola",Tabla_Proyectos[Estado del proyecto],"Servicio técnico especializado")</f>
        <v>0</v>
      </c>
    </row>
    <row r="22" spans="1:9" ht="18" customHeight="1" x14ac:dyDescent="0.35">
      <c r="A22" s="11" t="s">
        <v>156</v>
      </c>
      <c r="B22" s="12">
        <f>COUNTIF(Tabla_Proyectos[Financiador],"Otro")</f>
        <v>1</v>
      </c>
      <c r="C22" s="13">
        <f>IF(COUNTIF(Tabla_Proyectos[Financiador],"&lt;&gt;")=0,"Sin datos",IFERROR(B22/COUNTIF(Tabla_Proyectos[Financiador],"&lt;&gt;"),0))</f>
        <v>7.6335877862595417E-3</v>
      </c>
      <c r="E22" s="8" t="s">
        <v>356</v>
      </c>
      <c r="F22" s="9">
        <f>COUNTIFS(Tabla_Proyectos[Sistema productivo],"Maracuya",Tabla_Proyectos[Estado del proyecto],"En ejecución")</f>
        <v>0</v>
      </c>
      <c r="G22" s="9">
        <f>COUNTIFS(Tabla_Proyectos[Sistema productivo],"Maracuya",Tabla_Proyectos[Estado del proyecto],"Finalizado")</f>
        <v>0</v>
      </c>
      <c r="H22" s="9">
        <f>COUNTIFS(Tabla_Proyectos[Sistema productivo],"Maracuya",Tabla_Proyectos[Estado del proyecto],"Portafolio")</f>
        <v>0</v>
      </c>
      <c r="I22" s="9">
        <f>COUNTIFS(Tabla_Proyectos[Sistema productivo],"Maracuya",Tabla_Proyectos[Estado del proyecto],"Servicio técnico especializado")</f>
        <v>0</v>
      </c>
    </row>
    <row r="23" spans="1:9" ht="18" customHeight="1" x14ac:dyDescent="0.35">
      <c r="A23" s="8" t="s">
        <v>377</v>
      </c>
      <c r="B23" s="9">
        <f>COUNTIF(Tabla_Proyectos[Financiador],"N/A")</f>
        <v>2</v>
      </c>
      <c r="C23" s="10">
        <f>IF(COUNTIF(Tabla_Proyectos[Financiador],"&lt;&gt;")=0,"Sin datos",IFERROR(B23/COUNTIF(Tabla_Proyectos[Financiador],"&lt;&gt;"),0))</f>
        <v>1.5267175572519083E-2</v>
      </c>
      <c r="E23" s="11" t="s">
        <v>179</v>
      </c>
      <c r="F23" s="12">
        <f>COUNTIFS(Tabla_Proyectos[Sistema productivo],"Ají",Tabla_Proyectos[Estado del proyecto],"En ejecución")</f>
        <v>0</v>
      </c>
      <c r="G23" s="12">
        <f>COUNTIFS(Tabla_Proyectos[Sistema productivo],"Ají",Tabla_Proyectos[Estado del proyecto],"Finalizado")</f>
        <v>0</v>
      </c>
      <c r="H23" s="12">
        <f>COUNTIFS(Tabla_Proyectos[Sistema productivo],"Ají",Tabla_Proyectos[Estado del proyecto],"Portafolio")</f>
        <v>0</v>
      </c>
      <c r="I23" s="12">
        <f>COUNTIFS(Tabla_Proyectos[Sistema productivo],"Ají",Tabla_Proyectos[Estado del proyecto],"Servicio técnico especializado")</f>
        <v>0</v>
      </c>
    </row>
    <row r="24" spans="1:9" ht="18" customHeight="1" x14ac:dyDescent="0.35">
      <c r="A24" s="14" t="s">
        <v>577</v>
      </c>
      <c r="B24" s="14">
        <f>SUM(B15:B23)</f>
        <v>129</v>
      </c>
      <c r="E24" s="8" t="s">
        <v>305</v>
      </c>
      <c r="F24" s="9">
        <f>COUNTIFS(Tabla_Proyectos[Sistema productivo],"Forestal",Tabla_Proyectos[Estado del proyecto],"En ejecución")</f>
        <v>0</v>
      </c>
      <c r="G24" s="9">
        <f>COUNTIFS(Tabla_Proyectos[Sistema productivo],"Forestal",Tabla_Proyectos[Estado del proyecto],"Finalizado")</f>
        <v>0</v>
      </c>
      <c r="H24" s="9">
        <f>COUNTIFS(Tabla_Proyectos[Sistema productivo],"Forestal",Tabla_Proyectos[Estado del proyecto],"Portafolio")</f>
        <v>0</v>
      </c>
      <c r="I24" s="9">
        <f>COUNTIFS(Tabla_Proyectos[Sistema productivo],"Forestal",Tabla_Proyectos[Estado del proyecto],"Servicio técnico especializado")</f>
        <v>0</v>
      </c>
    </row>
    <row r="25" spans="1:9" ht="18" customHeight="1" x14ac:dyDescent="0.35">
      <c r="E25" s="11" t="s">
        <v>404</v>
      </c>
      <c r="F25" s="12">
        <f>COUNTIFS(Tabla_Proyectos[Sistema productivo],"Quinua",Tabla_Proyectos[Estado del proyecto],"En ejecución")</f>
        <v>0</v>
      </c>
      <c r="G25" s="12">
        <f>COUNTIFS(Tabla_Proyectos[Sistema productivo],"Quinua",Tabla_Proyectos[Estado del proyecto],"Finalizado")</f>
        <v>0</v>
      </c>
      <c r="H25" s="12">
        <f>COUNTIFS(Tabla_Proyectos[Sistema productivo],"Quinua",Tabla_Proyectos[Estado del proyecto],"Portafolio")</f>
        <v>0</v>
      </c>
      <c r="I25" s="12">
        <f>COUNTIFS(Tabla_Proyectos[Sistema productivo],"Quinua",Tabla_Proyectos[Estado del proyecto],"Servicio técnico especializado")</f>
        <v>0</v>
      </c>
    </row>
    <row r="26" spans="1:9" ht="18" customHeight="1" x14ac:dyDescent="0.35">
      <c r="E26" s="8" t="s">
        <v>620</v>
      </c>
      <c r="F26" s="9">
        <f>COUNTIFS(Tabla_Proyectos[Sistema productivo],"Caña panelera",Tabla_Proyectos[Estado del proyecto],"En ejecución")</f>
        <v>0</v>
      </c>
      <c r="G26" s="9">
        <f>COUNTIFS(Tabla_Proyectos[Sistema productivo],"Caña panelera",Tabla_Proyectos[Estado del proyecto],"Finalizado")</f>
        <v>0</v>
      </c>
      <c r="H26" s="9">
        <f>COUNTIFS(Tabla_Proyectos[Sistema productivo],"Caña panelera",Tabla_Proyectos[Estado del proyecto],"Portafolio")</f>
        <v>0</v>
      </c>
      <c r="I26" s="9">
        <f>COUNTIFS(Tabla_Proyectos[Sistema productivo],"Caña panelera",Tabla_Proyectos[Estado del proyecto],"Servicio técnico especializado")</f>
        <v>0</v>
      </c>
    </row>
    <row r="27" spans="1:9" ht="18" customHeight="1" x14ac:dyDescent="0.35">
      <c r="E27" s="11" t="s">
        <v>302</v>
      </c>
      <c r="F27" s="12">
        <f>COUNTIFS(Tabla_Proyectos[Sistema productivo],"Fique",Tabla_Proyectos[Estado del proyecto],"En ejecución")</f>
        <v>0</v>
      </c>
      <c r="G27" s="12">
        <f>COUNTIFS(Tabla_Proyectos[Sistema productivo],"Fique",Tabla_Proyectos[Estado del proyecto],"Finalizado")</f>
        <v>0</v>
      </c>
      <c r="H27" s="12">
        <f>COUNTIFS(Tabla_Proyectos[Sistema productivo],"Fique",Tabla_Proyectos[Estado del proyecto],"Portafolio")</f>
        <v>0</v>
      </c>
      <c r="I27" s="12">
        <f>COUNTIFS(Tabla_Proyectos[Sistema productivo],"Fique",Tabla_Proyectos[Estado del proyecto],"Servicio técnico especializado")</f>
        <v>0</v>
      </c>
    </row>
    <row r="28" spans="1:9" ht="18" customHeight="1" x14ac:dyDescent="0.35">
      <c r="E28" s="8" t="s">
        <v>351</v>
      </c>
      <c r="F28" s="9">
        <f>COUNTIFS(Tabla_Proyectos[Sistema productivo],"Limón Pajarito",Tabla_Proyectos[Estado del proyecto],"En ejecución")</f>
        <v>0</v>
      </c>
      <c r="G28" s="9">
        <f>COUNTIFS(Tabla_Proyectos[Sistema productivo],"Limón Pajarito",Tabla_Proyectos[Estado del proyecto],"Finalizado")</f>
        <v>0</v>
      </c>
      <c r="H28" s="9">
        <f>COUNTIFS(Tabla_Proyectos[Sistema productivo],"Limón Pajarito",Tabla_Proyectos[Estado del proyecto],"Portafolio")</f>
        <v>0</v>
      </c>
      <c r="I28" s="9">
        <f>COUNTIFS(Tabla_Proyectos[Sistema productivo],"Limón Pajarito",Tabla_Proyectos[Estado del proyecto],"Servicio técnico especializado")</f>
        <v>0</v>
      </c>
    </row>
    <row r="29" spans="1:9" ht="18" customHeight="1" x14ac:dyDescent="0.35">
      <c r="E29" s="11" t="s">
        <v>363</v>
      </c>
      <c r="F29" s="12">
        <f>COUNTIFS(Tabla_Proyectos[Sistema productivo],"Mora",Tabla_Proyectos[Estado del proyecto],"En ejecución")</f>
        <v>0</v>
      </c>
      <c r="G29" s="12">
        <f>COUNTIFS(Tabla_Proyectos[Sistema productivo],"Mora",Tabla_Proyectos[Estado del proyecto],"Finalizado")</f>
        <v>0</v>
      </c>
      <c r="H29" s="12">
        <f>COUNTIFS(Tabla_Proyectos[Sistema productivo],"Mora",Tabla_Proyectos[Estado del proyecto],"Portafolio")</f>
        <v>0</v>
      </c>
      <c r="I29" s="12">
        <f>COUNTIFS(Tabla_Proyectos[Sistema productivo],"Mora",Tabla_Proyectos[Estado del proyecto],"Servicio técnico especializado")</f>
        <v>0</v>
      </c>
    </row>
    <row r="30" spans="1:9" ht="18" customHeight="1" x14ac:dyDescent="0.35">
      <c r="E30" s="8" t="s">
        <v>361</v>
      </c>
      <c r="F30" s="9">
        <f>COUNTIFS(Tabla_Proyectos[Sistema productivo],"Melón",Tabla_Proyectos[Estado del proyecto],"En ejecución")</f>
        <v>0</v>
      </c>
      <c r="G30" s="9">
        <f>COUNTIFS(Tabla_Proyectos[Sistema productivo],"Melón",Tabla_Proyectos[Estado del proyecto],"Finalizado")</f>
        <v>0</v>
      </c>
      <c r="H30" s="9">
        <f>COUNTIFS(Tabla_Proyectos[Sistema productivo],"Melón",Tabla_Proyectos[Estado del proyecto],"Portafolio")</f>
        <v>0</v>
      </c>
      <c r="I30" s="9">
        <f>COUNTIFS(Tabla_Proyectos[Sistema productivo],"Melón",Tabla_Proyectos[Estado del proyecto],"Servicio técnico especializado")</f>
        <v>0</v>
      </c>
    </row>
    <row r="31" spans="1:9" ht="18" customHeight="1" x14ac:dyDescent="0.35">
      <c r="E31" s="11" t="s">
        <v>383</v>
      </c>
      <c r="F31" s="12">
        <f>COUNTIFS(Tabla_Proyectos[Sistema productivo],"Palma de aceite Americana",Tabla_Proyectos[Estado del proyecto],"En ejecución")</f>
        <v>0</v>
      </c>
      <c r="G31" s="12">
        <f>COUNTIFS(Tabla_Proyectos[Sistema productivo],"Palma de aceite Americana",Tabla_Proyectos[Estado del proyecto],"Finalizado")</f>
        <v>0</v>
      </c>
      <c r="H31" s="12">
        <f>COUNTIFS(Tabla_Proyectos[Sistema productivo],"Palma de aceite Americana",Tabla_Proyectos[Estado del proyecto],"Portafolio")</f>
        <v>0</v>
      </c>
      <c r="I31" s="12">
        <f>COUNTIFS(Tabla_Proyectos[Sistema productivo],"Palma de aceite Americana",Tabla_Proyectos[Estado del proyecto],"Servicio técnico especializado")</f>
        <v>0</v>
      </c>
    </row>
    <row r="32" spans="1:9" ht="18" customHeight="1" x14ac:dyDescent="0.35">
      <c r="E32" s="8" t="s">
        <v>378</v>
      </c>
      <c r="F32" s="9">
        <f>COUNTIFS(Tabla_Proyectos[Sistema productivo],"Palma de aceite Africana",Tabla_Proyectos[Estado del proyecto],"En ejecución")</f>
        <v>0</v>
      </c>
      <c r="G32" s="9">
        <f>COUNTIFS(Tabla_Proyectos[Sistema productivo],"Palma de aceite Africana",Tabla_Proyectos[Estado del proyecto],"Finalizado")</f>
        <v>0</v>
      </c>
      <c r="H32" s="9">
        <f>COUNTIFS(Tabla_Proyectos[Sistema productivo],"Palma de aceite Africana",Tabla_Proyectos[Estado del proyecto],"Portafolio")</f>
        <v>0</v>
      </c>
      <c r="I32" s="9">
        <f>COUNTIFS(Tabla_Proyectos[Sistema productivo],"Palma de aceite Africana",Tabla_Proyectos[Estado del proyecto],"Servicio técnico especializado")</f>
        <v>0</v>
      </c>
    </row>
    <row r="33" spans="5:9" ht="18" customHeight="1" x14ac:dyDescent="0.35">
      <c r="E33" s="11" t="s">
        <v>181</v>
      </c>
      <c r="F33" s="12">
        <f>COUNTIFS(Tabla_Proyectos[Sistema productivo],"Bancos de Germoplasma",Tabla_Proyectos[Estado del proyecto],"En ejecución")</f>
        <v>0</v>
      </c>
      <c r="G33" s="12">
        <f>COUNTIFS(Tabla_Proyectos[Sistema productivo],"Bancos de Germoplasma",Tabla_Proyectos[Estado del proyecto],"Finalizado")</f>
        <v>0</v>
      </c>
      <c r="H33" s="12">
        <f>COUNTIFS(Tabla_Proyectos[Sistema productivo],"Bancos de Germoplasma",Tabla_Proyectos[Estado del proyecto],"Portafolio")</f>
        <v>0</v>
      </c>
      <c r="I33" s="12">
        <f>COUNTIFS(Tabla_Proyectos[Sistema productivo],"Bancos de Germoplasma",Tabla_Proyectos[Estado del proyecto],"Servicio técnico especializado")</f>
        <v>0</v>
      </c>
    </row>
    <row r="34" spans="5:9" ht="18" customHeight="1" x14ac:dyDescent="0.35">
      <c r="E34" s="8" t="s">
        <v>80</v>
      </c>
      <c r="F34" s="9">
        <f>COUNTIFS(Tabla_Proyectos[Sistema productivo],"Agraz",Tabla_Proyectos[Estado del proyecto],"En ejecución")</f>
        <v>0</v>
      </c>
      <c r="G34" s="9">
        <f>COUNTIFS(Tabla_Proyectos[Sistema productivo],"Agraz",Tabla_Proyectos[Estado del proyecto],"Finalizado")</f>
        <v>0</v>
      </c>
      <c r="H34" s="9">
        <f>COUNTIFS(Tabla_Proyectos[Sistema productivo],"Agraz",Tabla_Proyectos[Estado del proyecto],"Portafolio")</f>
        <v>0</v>
      </c>
      <c r="I34" s="9">
        <f>COUNTIFS(Tabla_Proyectos[Sistema productivo],"Agraz",Tabla_Proyectos[Estado del proyecto],"Servicio técnico especializado")</f>
        <v>0</v>
      </c>
    </row>
    <row r="35" spans="5:9" ht="18" customHeight="1" x14ac:dyDescent="0.35">
      <c r="E35" s="11" t="s">
        <v>395</v>
      </c>
      <c r="F35" s="12">
        <f>COUNTIFS(Tabla_Proyectos[Sistema productivo],"Pitaya Amarilla",Tabla_Proyectos[Estado del proyecto],"En ejecución")</f>
        <v>0</v>
      </c>
      <c r="G35" s="12">
        <f>COUNTIFS(Tabla_Proyectos[Sistema productivo],"Pitaya Amarilla",Tabla_Proyectos[Estado del proyecto],"Finalizado")</f>
        <v>0</v>
      </c>
      <c r="H35" s="12">
        <f>COUNTIFS(Tabla_Proyectos[Sistema productivo],"Pitaya Amarilla",Tabla_Proyectos[Estado del proyecto],"Portafolio")</f>
        <v>0</v>
      </c>
      <c r="I35" s="12">
        <f>COUNTIFS(Tabla_Proyectos[Sistema productivo],"Pitaya Amarilla",Tabla_Proyectos[Estado del proyecto],"Servicio técnico especializado")</f>
        <v>0</v>
      </c>
    </row>
    <row r="36" spans="5:9" ht="18" customHeight="1" x14ac:dyDescent="0.35">
      <c r="E36" s="8" t="s">
        <v>385</v>
      </c>
      <c r="F36" s="9">
        <f>COUNTIFS(Tabla_Proyectos[Sistema productivo],"Palmaceas",Tabla_Proyectos[Estado del proyecto],"En ejecución")</f>
        <v>0</v>
      </c>
      <c r="G36" s="9">
        <f>COUNTIFS(Tabla_Proyectos[Sistema productivo],"Palmaceas",Tabla_Proyectos[Estado del proyecto],"Finalizado")</f>
        <v>0</v>
      </c>
      <c r="H36" s="9">
        <f>COUNTIFS(Tabla_Proyectos[Sistema productivo],"Palmaceas",Tabla_Proyectos[Estado del proyecto],"Portafolio")</f>
        <v>0</v>
      </c>
      <c r="I36" s="9">
        <f>COUNTIFS(Tabla_Proyectos[Sistema productivo],"Palmaceas",Tabla_Proyectos[Estado del proyecto],"Servicio técnico especializado")</f>
        <v>0</v>
      </c>
    </row>
    <row r="37" spans="5:9" ht="18" customHeight="1" x14ac:dyDescent="0.35">
      <c r="E37" s="11" t="s">
        <v>299</v>
      </c>
      <c r="F37" s="12">
        <f>COUNTIFS(Tabla_Proyectos[Sistema productivo],"Coco",Tabla_Proyectos[Estado del proyecto],"En ejecución")</f>
        <v>0</v>
      </c>
      <c r="G37" s="12">
        <f>COUNTIFS(Tabla_Proyectos[Sistema productivo],"Coco",Tabla_Proyectos[Estado del proyecto],"Finalizado")</f>
        <v>0</v>
      </c>
      <c r="H37" s="12">
        <f>COUNTIFS(Tabla_Proyectos[Sistema productivo],"Coco",Tabla_Proyectos[Estado del proyecto],"Portafolio")</f>
        <v>0</v>
      </c>
      <c r="I37" s="12">
        <f>COUNTIFS(Tabla_Proyectos[Sistema productivo],"Coco",Tabla_Proyectos[Estado del proyecto],"Servicio técnico especializado")</f>
        <v>0</v>
      </c>
    </row>
    <row r="38" spans="5:9" ht="18" customHeight="1" x14ac:dyDescent="0.35">
      <c r="E38" s="8" t="s">
        <v>156</v>
      </c>
      <c r="F38" s="9">
        <f>COUNTIFS(Tabla_Proyectos[Sistema productivo],"Otro",Tabla_Proyectos[Estado del proyecto],"En ejecución")</f>
        <v>0</v>
      </c>
      <c r="G38" s="9">
        <f>COUNTIFS(Tabla_Proyectos[Sistema productivo],"Otro",Tabla_Proyectos[Estado del proyecto],"Finalizado")</f>
        <v>0</v>
      </c>
      <c r="H38" s="9">
        <f>COUNTIFS(Tabla_Proyectos[Sistema productivo],"Otro",Tabla_Proyectos[Estado del proyecto],"Portafolio")</f>
        <v>0</v>
      </c>
      <c r="I38" s="9">
        <f>COUNTIFS(Tabla_Proyectos[Sistema productivo],"Otro",Tabla_Proyectos[Estado del proyecto],"Servicio técnico especializado")</f>
        <v>0</v>
      </c>
    </row>
  </sheetData>
  <mergeCells count="5">
    <mergeCell ref="A13:C13"/>
    <mergeCell ref="A2:H2"/>
    <mergeCell ref="E4:H4"/>
    <mergeCell ref="A1:H1"/>
    <mergeCell ref="A4:C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33C00"/>
  </sheetPr>
  <dimension ref="A1:I72"/>
  <sheetViews>
    <sheetView workbookViewId="0">
      <pane ySplit="5" topLeftCell="A6" activePane="bottomLeft" state="frozen"/>
      <selection pane="bottomLeft" sqref="A1:G1"/>
    </sheetView>
  </sheetViews>
  <sheetFormatPr baseColWidth="10" defaultColWidth="8.6640625" defaultRowHeight="14.5" x14ac:dyDescent="0.35"/>
  <cols>
    <col min="1" max="1" width="32" customWidth="1"/>
    <col min="2" max="5" width="14" customWidth="1"/>
    <col min="6" max="6" width="42" customWidth="1"/>
    <col min="7" max="9" width="14" customWidth="1"/>
  </cols>
  <sheetData>
    <row r="1" spans="1:9" ht="30.05" customHeight="1" x14ac:dyDescent="0.35">
      <c r="A1" s="66" t="s">
        <v>712</v>
      </c>
      <c r="B1" s="53"/>
      <c r="C1" s="53"/>
      <c r="D1" s="53"/>
      <c r="E1" s="53"/>
      <c r="F1" s="53"/>
      <c r="G1" s="54"/>
    </row>
    <row r="2" spans="1:9" ht="28.05" customHeight="1" x14ac:dyDescent="0.35">
      <c r="A2" s="59" t="s">
        <v>713</v>
      </c>
      <c r="B2" s="60"/>
      <c r="C2" s="60"/>
      <c r="D2" s="60"/>
      <c r="E2" s="60"/>
      <c r="F2" s="60"/>
      <c r="G2" s="60"/>
    </row>
    <row r="4" spans="1:9" ht="22" customHeight="1" x14ac:dyDescent="0.35">
      <c r="A4" s="62" t="s">
        <v>714</v>
      </c>
      <c r="B4" s="63"/>
      <c r="C4" s="63"/>
      <c r="D4" s="64"/>
      <c r="F4" s="62" t="s">
        <v>715</v>
      </c>
      <c r="G4" s="63"/>
      <c r="H4" s="63"/>
      <c r="I4" s="64"/>
    </row>
    <row r="5" spans="1:9" ht="20" customHeight="1" x14ac:dyDescent="0.35">
      <c r="A5" s="7" t="s">
        <v>1</v>
      </c>
      <c r="B5" s="7" t="s">
        <v>716</v>
      </c>
      <c r="C5" s="7" t="s">
        <v>717</v>
      </c>
      <c r="D5" s="7" t="s">
        <v>718</v>
      </c>
      <c r="F5" s="7" t="s">
        <v>2</v>
      </c>
      <c r="G5" s="7" t="s">
        <v>716</v>
      </c>
      <c r="H5" s="7" t="s">
        <v>717</v>
      </c>
      <c r="I5" s="7" t="s">
        <v>718</v>
      </c>
    </row>
    <row r="6" spans="1:9" ht="22" customHeight="1" x14ac:dyDescent="0.35">
      <c r="A6" s="21" t="s">
        <v>45</v>
      </c>
      <c r="B6" s="22">
        <f>COUNTIFS(Tabla_Proyectos[Sistema productivo],"Aguacate Hass",Tabla_Proyectos[Capacidad_emergente],"&lt;&gt;")</f>
        <v>4</v>
      </c>
      <c r="C6" s="22">
        <f>COUNTIFS(Tabla_Proyectos[Sistema productivo],"Aguacate Hass",Tabla_Proyectos[Capacidad_consolidada],"&lt;&gt;")</f>
        <v>3</v>
      </c>
      <c r="D6" s="22">
        <f>COUNTIFS(Tabla_Proyectos[Sistema productivo],"Aguacate Hass",Tabla_Proyectos[Capacidad_distintiva],"&lt;&gt;")</f>
        <v>0</v>
      </c>
      <c r="F6" s="21" t="s">
        <v>161</v>
      </c>
      <c r="G6" s="22">
        <f>COUNTIFS(Tabla_Proyectos[Área temática],"Manejo sanitario y fitosanitario",Tabla_Proyectos[Capacidad_emergente],"&lt;&gt;")</f>
        <v>0</v>
      </c>
      <c r="H6" s="22">
        <f>COUNTIFS(Tabla_Proyectos[Área temática],"Manejo sanitario y fitosanitario",Tabla_Proyectos[Capacidad_consolidada],"&lt;&gt;")</f>
        <v>0</v>
      </c>
      <c r="I6" s="22">
        <f>COUNTIFS(Tabla_Proyectos[Área temática],"Manejo sanitario y fitosanitario",Tabla_Proyectos[Capacidad_distintiva],"&lt;&gt;")</f>
        <v>0</v>
      </c>
    </row>
    <row r="7" spans="1:9" ht="22" customHeight="1" x14ac:dyDescent="0.35">
      <c r="A7" s="24" t="s">
        <v>342</v>
      </c>
      <c r="B7" s="25">
        <f>COUNTIFS(Tabla_Proyectos[Sistema productivo],"Lima Acida Tahití",Tabla_Proyectos[Capacidad_emergente],"&lt;&gt;")</f>
        <v>0</v>
      </c>
      <c r="C7" s="25">
        <f>COUNTIFS(Tabla_Proyectos[Sistema productivo],"Lima Acida Tahití",Tabla_Proyectos[Capacidad_consolidada],"&lt;&gt;")</f>
        <v>0</v>
      </c>
      <c r="D7" s="25">
        <f>COUNTIFS(Tabla_Proyectos[Sistema productivo],"Lima Acida Tahití",Tabla_Proyectos[Capacidad_distintiva],"&lt;&gt;")</f>
        <v>0</v>
      </c>
      <c r="F7" s="24" t="s">
        <v>295</v>
      </c>
      <c r="G7" s="25">
        <f>COUNTIFS(Tabla_Proyectos[Área temática],"Transf. de tecnologia, asist. técnica e innovación",Tabla_Proyectos[Capacidad_emergente],"&lt;&gt;")</f>
        <v>0</v>
      </c>
      <c r="H7" s="25">
        <f>COUNTIFS(Tabla_Proyectos[Área temática],"Transf. de tecnologia, asist. técnica e innovación",Tabla_Proyectos[Capacidad_consolidada],"&lt;&gt;")</f>
        <v>0</v>
      </c>
      <c r="I7" s="25">
        <f>COUNTIFS(Tabla_Proyectos[Área temática],"Transf. de tecnologia, asist. técnica e innovación",Tabla_Proyectos[Capacidad_distintiva],"&lt;&gt;")</f>
        <v>0</v>
      </c>
    </row>
    <row r="8" spans="1:9" ht="22" customHeight="1" x14ac:dyDescent="0.35">
      <c r="A8" s="21" t="s">
        <v>183</v>
      </c>
      <c r="B8" s="22">
        <f>COUNTIFS(Tabla_Proyectos[Sistema productivo],"Cacao",Tabla_Proyectos[Capacidad_emergente],"&lt;&gt;")</f>
        <v>0</v>
      </c>
      <c r="C8" s="22">
        <f>COUNTIFS(Tabla_Proyectos[Sistema productivo],"Cacao",Tabla_Proyectos[Capacidad_consolidada],"&lt;&gt;")</f>
        <v>3</v>
      </c>
      <c r="D8" s="22">
        <f>COUNTIFS(Tabla_Proyectos[Sistema productivo],"Cacao",Tabla_Proyectos[Capacidad_distintiva],"&lt;&gt;")</f>
        <v>3</v>
      </c>
      <c r="F8" s="21" t="s">
        <v>83</v>
      </c>
      <c r="G8" s="22">
        <f>COUNTIFS(Tabla_Proyectos[Área temática],"Material de siembra y mejoramiento genético",Tabla_Proyectos[Capacidad_emergente],"&lt;&gt;")</f>
        <v>0</v>
      </c>
      <c r="H8" s="22">
        <f>COUNTIFS(Tabla_Proyectos[Área temática],"Material de siembra y mejoramiento genético",Tabla_Proyectos[Capacidad_consolidada],"&lt;&gt;")</f>
        <v>0</v>
      </c>
      <c r="I8" s="22">
        <f>COUNTIFS(Tabla_Proyectos[Área temática],"Material de siembra y mejoramiento genético",Tabla_Proyectos[Capacidad_distintiva],"&lt;&gt;")</f>
        <v>0</v>
      </c>
    </row>
    <row r="9" spans="1:9" ht="22" customHeight="1" x14ac:dyDescent="0.35">
      <c r="A9" s="24" t="s">
        <v>387</v>
      </c>
      <c r="B9" s="25">
        <f>COUNTIFS(Tabla_Proyectos[Sistema productivo],"Piña",Tabla_Proyectos[Capacidad_emergente],"&lt;&gt;")</f>
        <v>0</v>
      </c>
      <c r="C9" s="25">
        <f>COUNTIFS(Tabla_Proyectos[Sistema productivo],"Piña",Tabla_Proyectos[Capacidad_consolidada],"&lt;&gt;")</f>
        <v>0</v>
      </c>
      <c r="D9" s="25">
        <f>COUNTIFS(Tabla_Proyectos[Sistema productivo],"Piña",Tabla_Proyectos[Capacidad_distintiva],"&lt;&gt;")</f>
        <v>0</v>
      </c>
      <c r="F9" s="24" t="s">
        <v>164</v>
      </c>
      <c r="G9" s="25">
        <f>COUNTIFS(Tabla_Proyectos[Área temática],"Manejo ambiental y sostenibilidad",Tabla_Proyectos[Capacidad_emergente],"&lt;&gt;")</f>
        <v>0</v>
      </c>
      <c r="H9" s="25">
        <f>COUNTIFS(Tabla_Proyectos[Área temática],"Manejo ambiental y sostenibilidad",Tabla_Proyectos[Capacidad_consolidada],"&lt;&gt;")</f>
        <v>0</v>
      </c>
      <c r="I9" s="25">
        <f>COUNTIFS(Tabla_Proyectos[Área temática],"Manejo ambiental y sostenibilidad",Tabla_Proyectos[Capacidad_distintiva],"&lt;&gt;")</f>
        <v>0</v>
      </c>
    </row>
    <row r="10" spans="1:9" ht="22" customHeight="1" x14ac:dyDescent="0.35">
      <c r="A10" s="21" t="s">
        <v>398</v>
      </c>
      <c r="B10" s="22">
        <f>COUNTIFS(Tabla_Proyectos[Sistema productivo],"Platano",Tabla_Proyectos[Capacidad_emergente],"&lt;&gt;")</f>
        <v>0</v>
      </c>
      <c r="C10" s="22">
        <f>COUNTIFS(Tabla_Proyectos[Sistema productivo],"Platano",Tabla_Proyectos[Capacidad_consolidada],"&lt;&gt;")</f>
        <v>0</v>
      </c>
      <c r="D10" s="22">
        <f>COUNTIFS(Tabla_Proyectos[Sistema productivo],"Platano",Tabla_Proyectos[Capacidad_distintiva],"&lt;&gt;")</f>
        <v>0</v>
      </c>
      <c r="F10" s="21" t="s">
        <v>46</v>
      </c>
      <c r="G10" s="22">
        <f>COUNTIFS(Tabla_Proyectos[Área temática],"Fisiología vegetal y nutrición",Tabla_Proyectos[Capacidad_emergente],"&lt;&gt;")</f>
        <v>4</v>
      </c>
      <c r="H10" s="22">
        <f>COUNTIFS(Tabla_Proyectos[Área temática],"Fisiología vegetal y nutrición",Tabla_Proyectos[Capacidad_consolidada],"&lt;&gt;")</f>
        <v>3</v>
      </c>
      <c r="I10" s="22">
        <f>COUNTIFS(Tabla_Proyectos[Área temática],"Fisiología vegetal y nutrición",Tabla_Proyectos[Capacidad_distintiva],"&lt;&gt;")</f>
        <v>0</v>
      </c>
    </row>
    <row r="11" spans="1:9" ht="22" customHeight="1" x14ac:dyDescent="0.35">
      <c r="A11" s="24" t="s">
        <v>293</v>
      </c>
      <c r="B11" s="25">
        <f>COUNTIFS(Tabla_Proyectos[Sistema productivo],"Chontaduro",Tabla_Proyectos[Capacidad_emergente],"&lt;&gt;")</f>
        <v>0</v>
      </c>
      <c r="C11" s="25">
        <f>COUNTIFS(Tabla_Proyectos[Sistema productivo],"Chontaduro",Tabla_Proyectos[Capacidad_consolidada],"&lt;&gt;")</f>
        <v>0</v>
      </c>
      <c r="D11" s="25">
        <f>COUNTIFS(Tabla_Proyectos[Sistema productivo],"Chontaduro",Tabla_Proyectos[Capacidad_distintiva],"&lt;&gt;")</f>
        <v>0</v>
      </c>
      <c r="F11" s="24" t="s">
        <v>193</v>
      </c>
      <c r="G11" s="25">
        <f>COUNTIFS(Tabla_Proyectos[Área temática],"Manejo cosecha, poscosecha y transformación",Tabla_Proyectos[Capacidad_emergente],"&lt;&gt;")</f>
        <v>0</v>
      </c>
      <c r="H11" s="25">
        <f>COUNTIFS(Tabla_Proyectos[Área temática],"Manejo cosecha, poscosecha y transformación",Tabla_Proyectos[Capacidad_consolidada],"&lt;&gt;")</f>
        <v>3</v>
      </c>
      <c r="I11" s="25">
        <f>COUNTIFS(Tabla_Proyectos[Área temática],"Manejo cosecha, poscosecha y transformación",Tabla_Proyectos[Capacidad_distintiva],"&lt;&gt;")</f>
        <v>3</v>
      </c>
    </row>
    <row r="12" spans="1:9" ht="22" customHeight="1" x14ac:dyDescent="0.35">
      <c r="A12" s="21" t="s">
        <v>318</v>
      </c>
      <c r="B12" s="22">
        <f>COUNTIFS(Tabla_Proyectos[Sistema productivo],"Guanábana",Tabla_Proyectos[Capacidad_emergente],"&lt;&gt;")</f>
        <v>0</v>
      </c>
      <c r="C12" s="22">
        <f>COUNTIFS(Tabla_Proyectos[Sistema productivo],"Guanábana",Tabla_Proyectos[Capacidad_consolidada],"&lt;&gt;")</f>
        <v>0</v>
      </c>
      <c r="D12" s="22">
        <f>COUNTIFS(Tabla_Proyectos[Sistema productivo],"Guanábana",Tabla_Proyectos[Capacidad_distintiva],"&lt;&gt;")</f>
        <v>0</v>
      </c>
      <c r="F12" s="21" t="s">
        <v>332</v>
      </c>
      <c r="G12" s="22">
        <f>COUNTIFS(Tabla_Proyectos[Área temática],"Manejo de suelos y aguas",Tabla_Proyectos[Capacidad_emergente],"&lt;&gt;")</f>
        <v>0</v>
      </c>
      <c r="H12" s="22">
        <f>COUNTIFS(Tabla_Proyectos[Área temática],"Manejo de suelos y aguas",Tabla_Proyectos[Capacidad_consolidada],"&lt;&gt;")</f>
        <v>0</v>
      </c>
      <c r="I12" s="22">
        <f>COUNTIFS(Tabla_Proyectos[Área temática],"Manejo de suelos y aguas",Tabla_Proyectos[Capacidad_distintiva],"&lt;&gt;")</f>
        <v>0</v>
      </c>
    </row>
    <row r="13" spans="1:9" ht="22" customHeight="1" x14ac:dyDescent="0.35">
      <c r="A13" s="24" t="s">
        <v>322</v>
      </c>
      <c r="B13" s="25">
        <f>COUNTIFS(Tabla_Proyectos[Sistema productivo],"Guayaba",Tabla_Proyectos[Capacidad_emergente],"&lt;&gt;")</f>
        <v>0</v>
      </c>
      <c r="C13" s="25">
        <f>COUNTIFS(Tabla_Proyectos[Sistema productivo],"Guayaba",Tabla_Proyectos[Capacidad_consolidada],"&lt;&gt;")</f>
        <v>0</v>
      </c>
      <c r="D13" s="25">
        <f>COUNTIFS(Tabla_Proyectos[Sistema productivo],"Guayaba",Tabla_Proyectos[Capacidad_distintiva],"&lt;&gt;")</f>
        <v>0</v>
      </c>
      <c r="F13" s="24" t="s">
        <v>189</v>
      </c>
      <c r="G13" s="25">
        <f>COUNTIFS(Tabla_Proyectos[Área temática],"Manejo de sistemas productivos",Tabla_Proyectos[Capacidad_emergente],"&lt;&gt;")</f>
        <v>0</v>
      </c>
      <c r="H13" s="25">
        <f>COUNTIFS(Tabla_Proyectos[Área temática],"Manejo de sistemas productivos",Tabla_Proyectos[Capacidad_consolidada],"&lt;&gt;")</f>
        <v>0</v>
      </c>
      <c r="I13" s="25">
        <f>COUNTIFS(Tabla_Proyectos[Área temática],"Manejo de sistemas productivos",Tabla_Proyectos[Capacidad_distintiva],"&lt;&gt;")</f>
        <v>0</v>
      </c>
    </row>
    <row r="14" spans="1:9" ht="22" customHeight="1" x14ac:dyDescent="0.35">
      <c r="A14" s="21" t="s">
        <v>365</v>
      </c>
      <c r="B14" s="22">
        <f>COUNTIFS(Tabla_Proyectos[Sistema productivo],"Naranjas",Tabla_Proyectos[Capacidad_emergente],"&lt;&gt;")</f>
        <v>0</v>
      </c>
      <c r="C14" s="22">
        <f>COUNTIFS(Tabla_Proyectos[Sistema productivo],"Naranjas",Tabla_Proyectos[Capacidad_consolidada],"&lt;&gt;")</f>
        <v>0</v>
      </c>
      <c r="D14" s="22">
        <f>COUNTIFS(Tabla_Proyectos[Sistema productivo],"Naranjas",Tabla_Proyectos[Capacidad_distintiva],"&lt;&gt;")</f>
        <v>0</v>
      </c>
      <c r="F14" s="21" t="s">
        <v>614</v>
      </c>
      <c r="G14" s="22">
        <f>COUNTIFS(Tabla_Proyectos[Área temática],"Calidad e inocuidad de insumos y productos",Tabla_Proyectos[Capacidad_emergente],"&lt;&gt;")</f>
        <v>0</v>
      </c>
      <c r="H14" s="22">
        <f>COUNTIFS(Tabla_Proyectos[Área temática],"Calidad e inocuidad de insumos y productos",Tabla_Proyectos[Capacidad_consolidada],"&lt;&gt;")</f>
        <v>0</v>
      </c>
      <c r="I14" s="22">
        <f>COUNTIFS(Tabla_Proyectos[Área temática],"Calidad e inocuidad de insumos y productos",Tabla_Proyectos[Capacidad_distintiva],"&lt;&gt;")</f>
        <v>0</v>
      </c>
    </row>
    <row r="15" spans="1:9" ht="18" customHeight="1" x14ac:dyDescent="0.35">
      <c r="A15" s="24" t="s">
        <v>580</v>
      </c>
      <c r="B15" s="25">
        <f>COUNTIFS(Tabla_Proyectos[Sistema productivo],"Banano",Tabla_Proyectos[Capacidad_emergente],"&lt;&gt;")</f>
        <v>0</v>
      </c>
      <c r="C15" s="25">
        <f>COUNTIFS(Tabla_Proyectos[Sistema productivo],"Banano",Tabla_Proyectos[Capacidad_consolidada],"&lt;&gt;")</f>
        <v>0</v>
      </c>
      <c r="D15" s="25">
        <f>COUNTIFS(Tabla_Proyectos[Sistema productivo],"Banano",Tabla_Proyectos[Capacidad_distintiva],"&lt;&gt;")</f>
        <v>0</v>
      </c>
    </row>
    <row r="16" spans="1:9" ht="18" customHeight="1" x14ac:dyDescent="0.35">
      <c r="A16" s="21" t="s">
        <v>615</v>
      </c>
      <c r="B16" s="22">
        <f>COUNTIFS(Tabla_Proyectos[Sistema productivo],"Maiz",Tabla_Proyectos[Capacidad_emergente],"&lt;&gt;")</f>
        <v>0</v>
      </c>
      <c r="C16" s="22">
        <f>COUNTIFS(Tabla_Proyectos[Sistema productivo],"Maiz",Tabla_Proyectos[Capacidad_consolidada],"&lt;&gt;")</f>
        <v>0</v>
      </c>
      <c r="D16" s="22">
        <f>COUNTIFS(Tabla_Proyectos[Sistema productivo],"Maiz",Tabla_Proyectos[Capacidad_distintiva],"&lt;&gt;")</f>
        <v>0</v>
      </c>
    </row>
    <row r="17" spans="1:4" ht="18" customHeight="1" x14ac:dyDescent="0.35">
      <c r="A17" s="24" t="s">
        <v>616</v>
      </c>
      <c r="B17" s="25">
        <f>COUNTIFS(Tabla_Proyectos[Sistema productivo],"Frijol",Tabla_Proyectos[Capacidad_emergente],"&lt;&gt;")</f>
        <v>0</v>
      </c>
      <c r="C17" s="25">
        <f>COUNTIFS(Tabla_Proyectos[Sistema productivo],"Frijol",Tabla_Proyectos[Capacidad_consolidada],"&lt;&gt;")</f>
        <v>0</v>
      </c>
      <c r="D17" s="25">
        <f>COUNTIFS(Tabla_Proyectos[Sistema productivo],"Frijol",Tabla_Proyectos[Capacidad_distintiva],"&lt;&gt;")</f>
        <v>0</v>
      </c>
    </row>
    <row r="18" spans="1:4" ht="18" customHeight="1" x14ac:dyDescent="0.35">
      <c r="A18" s="21" t="s">
        <v>617</v>
      </c>
      <c r="B18" s="22">
        <f>COUNTIFS(Tabla_Proyectos[Sistema productivo],"Cebolla",Tabla_Proyectos[Capacidad_emergente],"&lt;&gt;")</f>
        <v>0</v>
      </c>
      <c r="C18" s="22">
        <f>COUNTIFS(Tabla_Proyectos[Sistema productivo],"Cebolla",Tabla_Proyectos[Capacidad_consolidada],"&lt;&gt;")</f>
        <v>0</v>
      </c>
      <c r="D18" s="22">
        <f>COUNTIFS(Tabla_Proyectos[Sistema productivo],"Cebolla",Tabla_Proyectos[Capacidad_distintiva],"&lt;&gt;")</f>
        <v>0</v>
      </c>
    </row>
    <row r="19" spans="1:4" ht="18" customHeight="1" x14ac:dyDescent="0.35">
      <c r="A19" s="24" t="s">
        <v>417</v>
      </c>
      <c r="B19" s="25">
        <f>COUNTIFS(Tabla_Proyectos[Sistema productivo],"Yuca",Tabla_Proyectos[Capacidad_emergente],"&lt;&gt;")</f>
        <v>0</v>
      </c>
      <c r="C19" s="25">
        <f>COUNTIFS(Tabla_Proyectos[Sistema productivo],"Yuca",Tabla_Proyectos[Capacidad_consolidada],"&lt;&gt;")</f>
        <v>0</v>
      </c>
      <c r="D19" s="25">
        <f>COUNTIFS(Tabla_Proyectos[Sistema productivo],"Yuca",Tabla_Proyectos[Capacidad_distintiva],"&lt;&gt;")</f>
        <v>0</v>
      </c>
    </row>
    <row r="20" spans="1:4" ht="18" customHeight="1" x14ac:dyDescent="0.35">
      <c r="A20" s="21" t="s">
        <v>618</v>
      </c>
      <c r="B20" s="22">
        <f>COUNTIFS(Tabla_Proyectos[Sistema productivo],"Ganaderia ",Tabla_Proyectos[Capacidad_emergente],"&lt;&gt;")</f>
        <v>0</v>
      </c>
      <c r="C20" s="22">
        <f>COUNTIFS(Tabla_Proyectos[Sistema productivo],"Ganaderia ",Tabla_Proyectos[Capacidad_consolidada],"&lt;&gt;")</f>
        <v>0</v>
      </c>
      <c r="D20" s="22">
        <f>COUNTIFS(Tabla_Proyectos[Sistema productivo],"Ganaderia ",Tabla_Proyectos[Capacidad_distintiva],"&lt;&gt;")</f>
        <v>0</v>
      </c>
    </row>
    <row r="21" spans="1:4" ht="18" customHeight="1" x14ac:dyDescent="0.35">
      <c r="A21" s="24" t="s">
        <v>619</v>
      </c>
      <c r="B21" s="25">
        <f>COUNTIFS(Tabla_Proyectos[Sistema productivo],"Apicola",Tabla_Proyectos[Capacidad_emergente],"&lt;&gt;")</f>
        <v>0</v>
      </c>
      <c r="C21" s="25">
        <f>COUNTIFS(Tabla_Proyectos[Sistema productivo],"Apicola",Tabla_Proyectos[Capacidad_consolidada],"&lt;&gt;")</f>
        <v>0</v>
      </c>
      <c r="D21" s="25">
        <f>COUNTIFS(Tabla_Proyectos[Sistema productivo],"Apicola",Tabla_Proyectos[Capacidad_distintiva],"&lt;&gt;")</f>
        <v>0</v>
      </c>
    </row>
    <row r="22" spans="1:4" ht="18" customHeight="1" x14ac:dyDescent="0.35">
      <c r="A22" s="21" t="s">
        <v>356</v>
      </c>
      <c r="B22" s="22">
        <f>COUNTIFS(Tabla_Proyectos[Sistema productivo],"Maracuya",Tabla_Proyectos[Capacidad_emergente],"&lt;&gt;")</f>
        <v>0</v>
      </c>
      <c r="C22" s="22">
        <f>COUNTIFS(Tabla_Proyectos[Sistema productivo],"Maracuya",Tabla_Proyectos[Capacidad_consolidada],"&lt;&gt;")</f>
        <v>0</v>
      </c>
      <c r="D22" s="22">
        <f>COUNTIFS(Tabla_Proyectos[Sistema productivo],"Maracuya",Tabla_Proyectos[Capacidad_distintiva],"&lt;&gt;")</f>
        <v>0</v>
      </c>
    </row>
    <row r="23" spans="1:4" ht="18" customHeight="1" x14ac:dyDescent="0.35">
      <c r="A23" s="24" t="s">
        <v>179</v>
      </c>
      <c r="B23" s="25">
        <f>COUNTIFS(Tabla_Proyectos[Sistema productivo],"Ají",Tabla_Proyectos[Capacidad_emergente],"&lt;&gt;")</f>
        <v>0</v>
      </c>
      <c r="C23" s="25">
        <f>COUNTIFS(Tabla_Proyectos[Sistema productivo],"Ají",Tabla_Proyectos[Capacidad_consolidada],"&lt;&gt;")</f>
        <v>0</v>
      </c>
      <c r="D23" s="25">
        <f>COUNTIFS(Tabla_Proyectos[Sistema productivo],"Ají",Tabla_Proyectos[Capacidad_distintiva],"&lt;&gt;")</f>
        <v>0</v>
      </c>
    </row>
    <row r="24" spans="1:4" ht="18" customHeight="1" x14ac:dyDescent="0.35">
      <c r="A24" s="21" t="s">
        <v>305</v>
      </c>
      <c r="B24" s="22">
        <f>COUNTIFS(Tabla_Proyectos[Sistema productivo],"Forestal",Tabla_Proyectos[Capacidad_emergente],"&lt;&gt;")</f>
        <v>0</v>
      </c>
      <c r="C24" s="22">
        <f>COUNTIFS(Tabla_Proyectos[Sistema productivo],"Forestal",Tabla_Proyectos[Capacidad_consolidada],"&lt;&gt;")</f>
        <v>0</v>
      </c>
      <c r="D24" s="22">
        <f>COUNTIFS(Tabla_Proyectos[Sistema productivo],"Forestal",Tabla_Proyectos[Capacidad_distintiva],"&lt;&gt;")</f>
        <v>0</v>
      </c>
    </row>
    <row r="25" spans="1:4" ht="18" customHeight="1" x14ac:dyDescent="0.35">
      <c r="A25" s="24" t="s">
        <v>404</v>
      </c>
      <c r="B25" s="25">
        <f>COUNTIFS(Tabla_Proyectos[Sistema productivo],"Quinua",Tabla_Proyectos[Capacidad_emergente],"&lt;&gt;")</f>
        <v>0</v>
      </c>
      <c r="C25" s="25">
        <f>COUNTIFS(Tabla_Proyectos[Sistema productivo],"Quinua",Tabla_Proyectos[Capacidad_consolidada],"&lt;&gt;")</f>
        <v>0</v>
      </c>
      <c r="D25" s="25">
        <f>COUNTIFS(Tabla_Proyectos[Sistema productivo],"Quinua",Tabla_Proyectos[Capacidad_distintiva],"&lt;&gt;")</f>
        <v>0</v>
      </c>
    </row>
    <row r="26" spans="1:4" ht="18" customHeight="1" x14ac:dyDescent="0.35">
      <c r="A26" s="21" t="s">
        <v>620</v>
      </c>
      <c r="B26" s="22">
        <f>COUNTIFS(Tabla_Proyectos[Sistema productivo],"Caña panelera",Tabla_Proyectos[Capacidad_emergente],"&lt;&gt;")</f>
        <v>0</v>
      </c>
      <c r="C26" s="22">
        <f>COUNTIFS(Tabla_Proyectos[Sistema productivo],"Caña panelera",Tabla_Proyectos[Capacidad_consolidada],"&lt;&gt;")</f>
        <v>0</v>
      </c>
      <c r="D26" s="22">
        <f>COUNTIFS(Tabla_Proyectos[Sistema productivo],"Caña panelera",Tabla_Proyectos[Capacidad_distintiva],"&lt;&gt;")</f>
        <v>0</v>
      </c>
    </row>
    <row r="27" spans="1:4" ht="18" customHeight="1" x14ac:dyDescent="0.35">
      <c r="A27" s="24" t="s">
        <v>302</v>
      </c>
      <c r="B27" s="25">
        <f>COUNTIFS(Tabla_Proyectos[Sistema productivo],"Fique",Tabla_Proyectos[Capacidad_emergente],"&lt;&gt;")</f>
        <v>0</v>
      </c>
      <c r="C27" s="25">
        <f>COUNTIFS(Tabla_Proyectos[Sistema productivo],"Fique",Tabla_Proyectos[Capacidad_consolidada],"&lt;&gt;")</f>
        <v>0</v>
      </c>
      <c r="D27" s="25">
        <f>COUNTIFS(Tabla_Proyectos[Sistema productivo],"Fique",Tabla_Proyectos[Capacidad_distintiva],"&lt;&gt;")</f>
        <v>0</v>
      </c>
    </row>
    <row r="28" spans="1:4" ht="18" customHeight="1" x14ac:dyDescent="0.35">
      <c r="A28" s="21" t="s">
        <v>351</v>
      </c>
      <c r="B28" s="22">
        <f>COUNTIFS(Tabla_Proyectos[Sistema productivo],"Limón Pajarito",Tabla_Proyectos[Capacidad_emergente],"&lt;&gt;")</f>
        <v>0</v>
      </c>
      <c r="C28" s="22">
        <f>COUNTIFS(Tabla_Proyectos[Sistema productivo],"Limón Pajarito",Tabla_Proyectos[Capacidad_consolidada],"&lt;&gt;")</f>
        <v>0</v>
      </c>
      <c r="D28" s="22">
        <f>COUNTIFS(Tabla_Proyectos[Sistema productivo],"Limón Pajarito",Tabla_Proyectos[Capacidad_distintiva],"&lt;&gt;")</f>
        <v>0</v>
      </c>
    </row>
    <row r="29" spans="1:4" ht="18" customHeight="1" x14ac:dyDescent="0.35">
      <c r="A29" s="24" t="s">
        <v>363</v>
      </c>
      <c r="B29" s="25">
        <f>COUNTIFS(Tabla_Proyectos[Sistema productivo],"Mora",Tabla_Proyectos[Capacidad_emergente],"&lt;&gt;")</f>
        <v>0</v>
      </c>
      <c r="C29" s="25">
        <f>COUNTIFS(Tabla_Proyectos[Sistema productivo],"Mora",Tabla_Proyectos[Capacidad_consolidada],"&lt;&gt;")</f>
        <v>0</v>
      </c>
      <c r="D29" s="25">
        <f>COUNTIFS(Tabla_Proyectos[Sistema productivo],"Mora",Tabla_Proyectos[Capacidad_distintiva],"&lt;&gt;")</f>
        <v>0</v>
      </c>
    </row>
    <row r="30" spans="1:4" ht="18" customHeight="1" x14ac:dyDescent="0.35">
      <c r="A30" s="21" t="s">
        <v>361</v>
      </c>
      <c r="B30" s="22">
        <f>COUNTIFS(Tabla_Proyectos[Sistema productivo],"Melón",Tabla_Proyectos[Capacidad_emergente],"&lt;&gt;")</f>
        <v>0</v>
      </c>
      <c r="C30" s="22">
        <f>COUNTIFS(Tabla_Proyectos[Sistema productivo],"Melón",Tabla_Proyectos[Capacidad_consolidada],"&lt;&gt;")</f>
        <v>0</v>
      </c>
      <c r="D30" s="22">
        <f>COUNTIFS(Tabla_Proyectos[Sistema productivo],"Melón",Tabla_Proyectos[Capacidad_distintiva],"&lt;&gt;")</f>
        <v>0</v>
      </c>
    </row>
    <row r="31" spans="1:4" ht="18" customHeight="1" x14ac:dyDescent="0.35">
      <c r="A31" s="24" t="s">
        <v>383</v>
      </c>
      <c r="B31" s="25">
        <f>COUNTIFS(Tabla_Proyectos[Sistema productivo],"Palma de aceite Americana",Tabla_Proyectos[Capacidad_emergente],"&lt;&gt;")</f>
        <v>0</v>
      </c>
      <c r="C31" s="25">
        <f>COUNTIFS(Tabla_Proyectos[Sistema productivo],"Palma de aceite Americana",Tabla_Proyectos[Capacidad_consolidada],"&lt;&gt;")</f>
        <v>0</v>
      </c>
      <c r="D31" s="25">
        <f>COUNTIFS(Tabla_Proyectos[Sistema productivo],"Palma de aceite Americana",Tabla_Proyectos[Capacidad_distintiva],"&lt;&gt;")</f>
        <v>0</v>
      </c>
    </row>
    <row r="32" spans="1:4" ht="18" customHeight="1" x14ac:dyDescent="0.35">
      <c r="A32" s="21" t="s">
        <v>378</v>
      </c>
      <c r="B32" s="22">
        <f>COUNTIFS(Tabla_Proyectos[Sistema productivo],"Palma de aceite Africana",Tabla_Proyectos[Capacidad_emergente],"&lt;&gt;")</f>
        <v>0</v>
      </c>
      <c r="C32" s="22">
        <f>COUNTIFS(Tabla_Proyectos[Sistema productivo],"Palma de aceite Africana",Tabla_Proyectos[Capacidad_consolidada],"&lt;&gt;")</f>
        <v>0</v>
      </c>
      <c r="D32" s="22">
        <f>COUNTIFS(Tabla_Proyectos[Sistema productivo],"Palma de aceite Africana",Tabla_Proyectos[Capacidad_distintiva],"&lt;&gt;")</f>
        <v>0</v>
      </c>
    </row>
    <row r="33" spans="1:5" ht="18" customHeight="1" x14ac:dyDescent="0.35">
      <c r="A33" s="24" t="s">
        <v>181</v>
      </c>
      <c r="B33" s="25">
        <f>COUNTIFS(Tabla_Proyectos[Sistema productivo],"Bancos de Germoplasma",Tabla_Proyectos[Capacidad_emergente],"&lt;&gt;")</f>
        <v>0</v>
      </c>
      <c r="C33" s="25">
        <f>COUNTIFS(Tabla_Proyectos[Sistema productivo],"Bancos de Germoplasma",Tabla_Proyectos[Capacidad_consolidada],"&lt;&gt;")</f>
        <v>0</v>
      </c>
      <c r="D33" s="25">
        <f>COUNTIFS(Tabla_Proyectos[Sistema productivo],"Bancos de Germoplasma",Tabla_Proyectos[Capacidad_distintiva],"&lt;&gt;")</f>
        <v>0</v>
      </c>
    </row>
    <row r="34" spans="1:5" ht="18" customHeight="1" x14ac:dyDescent="0.35">
      <c r="A34" s="21" t="s">
        <v>80</v>
      </c>
      <c r="B34" s="22">
        <f>COUNTIFS(Tabla_Proyectos[Sistema productivo],"Agraz",Tabla_Proyectos[Capacidad_emergente],"&lt;&gt;")</f>
        <v>0</v>
      </c>
      <c r="C34" s="22">
        <f>COUNTIFS(Tabla_Proyectos[Sistema productivo],"Agraz",Tabla_Proyectos[Capacidad_consolidada],"&lt;&gt;")</f>
        <v>0</v>
      </c>
      <c r="D34" s="22">
        <f>COUNTIFS(Tabla_Proyectos[Sistema productivo],"Agraz",Tabla_Proyectos[Capacidad_distintiva],"&lt;&gt;")</f>
        <v>0</v>
      </c>
    </row>
    <row r="35" spans="1:5" ht="18" customHeight="1" x14ac:dyDescent="0.35">
      <c r="A35" s="24" t="s">
        <v>395</v>
      </c>
      <c r="B35" s="25">
        <f>COUNTIFS(Tabla_Proyectos[Sistema productivo],"Pitaya Amarilla",Tabla_Proyectos[Capacidad_emergente],"&lt;&gt;")</f>
        <v>0</v>
      </c>
      <c r="C35" s="25">
        <f>COUNTIFS(Tabla_Proyectos[Sistema productivo],"Pitaya Amarilla",Tabla_Proyectos[Capacidad_consolidada],"&lt;&gt;")</f>
        <v>0</v>
      </c>
      <c r="D35" s="25">
        <f>COUNTIFS(Tabla_Proyectos[Sistema productivo],"Pitaya Amarilla",Tabla_Proyectos[Capacidad_distintiva],"&lt;&gt;")</f>
        <v>0</v>
      </c>
    </row>
    <row r="36" spans="1:5" ht="18" customHeight="1" x14ac:dyDescent="0.35">
      <c r="A36" s="21" t="s">
        <v>385</v>
      </c>
      <c r="B36" s="22">
        <f>COUNTIFS(Tabla_Proyectos[Sistema productivo],"Palmaceas",Tabla_Proyectos[Capacidad_emergente],"&lt;&gt;")</f>
        <v>0</v>
      </c>
      <c r="C36" s="22">
        <f>COUNTIFS(Tabla_Proyectos[Sistema productivo],"Palmaceas",Tabla_Proyectos[Capacidad_consolidada],"&lt;&gt;")</f>
        <v>0</v>
      </c>
      <c r="D36" s="22">
        <f>COUNTIFS(Tabla_Proyectos[Sistema productivo],"Palmaceas",Tabla_Proyectos[Capacidad_distintiva],"&lt;&gt;")</f>
        <v>0</v>
      </c>
    </row>
    <row r="37" spans="1:5" ht="18" customHeight="1" x14ac:dyDescent="0.35">
      <c r="A37" s="24" t="s">
        <v>299</v>
      </c>
      <c r="B37" s="25">
        <f>COUNTIFS(Tabla_Proyectos[Sistema productivo],"Coco",Tabla_Proyectos[Capacidad_emergente],"&lt;&gt;")</f>
        <v>0</v>
      </c>
      <c r="C37" s="25">
        <f>COUNTIFS(Tabla_Proyectos[Sistema productivo],"Coco",Tabla_Proyectos[Capacidad_consolidada],"&lt;&gt;")</f>
        <v>0</v>
      </c>
      <c r="D37" s="25">
        <f>COUNTIFS(Tabla_Proyectos[Sistema productivo],"Coco",Tabla_Proyectos[Capacidad_distintiva],"&lt;&gt;")</f>
        <v>0</v>
      </c>
    </row>
    <row r="38" spans="1:5" ht="18" customHeight="1" x14ac:dyDescent="0.35">
      <c r="A38" s="21" t="s">
        <v>156</v>
      </c>
      <c r="B38" s="22">
        <f>COUNTIFS(Tabla_Proyectos[Sistema productivo],"Otro",Tabla_Proyectos[Capacidad_emergente],"&lt;&gt;")</f>
        <v>0</v>
      </c>
      <c r="C38" s="22">
        <f>COUNTIFS(Tabla_Proyectos[Sistema productivo],"Otro",Tabla_Proyectos[Capacidad_consolidada],"&lt;&gt;")</f>
        <v>0</v>
      </c>
      <c r="D38" s="22">
        <f>COUNTIFS(Tabla_Proyectos[Sistema productivo],"Otro",Tabla_Proyectos[Capacidad_distintiva],"&lt;&gt;")</f>
        <v>0</v>
      </c>
    </row>
    <row r="39" spans="1:5" ht="18" customHeight="1" x14ac:dyDescent="0.35">
      <c r="A39" s="29" t="s">
        <v>577</v>
      </c>
      <c r="B39" s="29">
        <f>SUM(B6:B38)</f>
        <v>4</v>
      </c>
      <c r="C39" s="29">
        <f>SUM(C6:C38)</f>
        <v>6</v>
      </c>
      <c r="D39" s="29">
        <f>SUM(D6:D38)</f>
        <v>3</v>
      </c>
    </row>
    <row r="41" spans="1:5" ht="22" customHeight="1" x14ac:dyDescent="0.35">
      <c r="A41" s="62" t="s">
        <v>719</v>
      </c>
      <c r="B41" s="63"/>
      <c r="C41" s="63"/>
      <c r="D41" s="63"/>
      <c r="E41" s="64"/>
    </row>
    <row r="42" spans="1:5" ht="20" customHeight="1" x14ac:dyDescent="0.35">
      <c r="A42" s="7" t="s">
        <v>720</v>
      </c>
      <c r="B42" s="7" t="s">
        <v>438</v>
      </c>
      <c r="C42" s="7" t="s">
        <v>437</v>
      </c>
      <c r="D42" s="7" t="s">
        <v>2</v>
      </c>
      <c r="E42" s="7" t="s">
        <v>1</v>
      </c>
    </row>
    <row r="43" spans="1:5" ht="18" customHeight="1" x14ac:dyDescent="0.35">
      <c r="A43" s="22" t="str">
        <f>IFERROR(IF(Capacidades_CI!A2="","",Capacidades_CI!A2),"")</f>
        <v>CAP-1</v>
      </c>
      <c r="B43" s="21" t="str">
        <f>IFERROR(IF(Capacidades_CI!B2="","",Capacidades_CI!B2),"")</f>
        <v>Indicadores de sostenibilidad ambiental</v>
      </c>
      <c r="C43" s="21" t="str">
        <f>IFERROR(IF(Capacidades_CI!C2="","",Capacidades_CI!C2),"")</f>
        <v>Emergente</v>
      </c>
      <c r="D43" s="21" t="str">
        <f>IFERROR(IF(Capacidades_CI!D2="","",Capacidades_CI!D2),"")</f>
        <v>Fisiología vegetal y nutrición</v>
      </c>
      <c r="E43" s="21" t="str">
        <f>IFERROR(IF(Capacidades_CI!E2="","",Capacidades_CI!E2),"")</f>
        <v>Aguacate Hass</v>
      </c>
    </row>
    <row r="44" spans="1:5" ht="18" customHeight="1" x14ac:dyDescent="0.35">
      <c r="A44" s="25" t="str">
        <f>IFERROR(IF(Capacidades_CI!A3="","",Capacidades_CI!A3),"")</f>
        <v/>
      </c>
      <c r="B44" s="24" t="str">
        <f>IFERROR(IF(Capacidades_CI!B3="","",Capacidades_CI!B3),"")</f>
        <v/>
      </c>
      <c r="C44" s="24" t="str">
        <f>IFERROR(IF(Capacidades_CI!C3="","",Capacidades_CI!C3),"")</f>
        <v/>
      </c>
      <c r="D44" s="24" t="str">
        <f>IFERROR(IF(Capacidades_CI!D3="","",Capacidades_CI!D3),"")</f>
        <v/>
      </c>
      <c r="E44" s="24" t="str">
        <f>IFERROR(IF(Capacidades_CI!E3="","",Capacidades_CI!E3),"")</f>
        <v/>
      </c>
    </row>
    <row r="45" spans="1:5" ht="18" customHeight="1" x14ac:dyDescent="0.35">
      <c r="A45" s="22" t="str">
        <f>IFERROR(IF(Capacidades_CI!A4="","",Capacidades_CI!A4),"")</f>
        <v/>
      </c>
      <c r="B45" s="21" t="str">
        <f>IFERROR(IF(Capacidades_CI!B4="","",Capacidades_CI!B4),"")</f>
        <v/>
      </c>
      <c r="C45" s="21" t="str">
        <f>IFERROR(IF(Capacidades_CI!C4="","",Capacidades_CI!C4),"")</f>
        <v/>
      </c>
      <c r="D45" s="21" t="str">
        <f>IFERROR(IF(Capacidades_CI!D4="","",Capacidades_CI!D4),"")</f>
        <v/>
      </c>
      <c r="E45" s="21" t="str">
        <f>IFERROR(IF(Capacidades_CI!E4="","",Capacidades_CI!E4),"")</f>
        <v/>
      </c>
    </row>
    <row r="46" spans="1:5" ht="18" customHeight="1" x14ac:dyDescent="0.35">
      <c r="A46" s="25" t="str">
        <f>IFERROR(IF(Capacidades_CI!A5="","",Capacidades_CI!A5),"")</f>
        <v/>
      </c>
      <c r="B46" s="24" t="str">
        <f>IFERROR(IF(Capacidades_CI!B5="","",Capacidades_CI!B5),"")</f>
        <v/>
      </c>
      <c r="C46" s="24" t="str">
        <f>IFERROR(IF(Capacidades_CI!C5="","",Capacidades_CI!C5),"")</f>
        <v/>
      </c>
      <c r="D46" s="24" t="str">
        <f>IFERROR(IF(Capacidades_CI!D5="","",Capacidades_CI!D5),"")</f>
        <v/>
      </c>
      <c r="E46" s="24" t="str">
        <f>IFERROR(IF(Capacidades_CI!E5="","",Capacidades_CI!E5),"")</f>
        <v/>
      </c>
    </row>
    <row r="47" spans="1:5" ht="18" customHeight="1" x14ac:dyDescent="0.35">
      <c r="A47" s="22" t="str">
        <f>IFERROR(IF(Capacidades_CI!A6="","",Capacidades_CI!A6),"")</f>
        <v/>
      </c>
      <c r="B47" s="21" t="str">
        <f>IFERROR(IF(Capacidades_CI!B6="","",Capacidades_CI!B6),"")</f>
        <v/>
      </c>
      <c r="C47" s="21" t="str">
        <f>IFERROR(IF(Capacidades_CI!C6="","",Capacidades_CI!C6),"")</f>
        <v/>
      </c>
      <c r="D47" s="21" t="str">
        <f>IFERROR(IF(Capacidades_CI!D6="","",Capacidades_CI!D6),"")</f>
        <v/>
      </c>
      <c r="E47" s="21" t="str">
        <f>IFERROR(IF(Capacidades_CI!E6="","",Capacidades_CI!E6),"")</f>
        <v/>
      </c>
    </row>
    <row r="48" spans="1:5" ht="18" customHeight="1" x14ac:dyDescent="0.35">
      <c r="A48" s="25" t="str">
        <f>IFERROR(IF(Capacidades_CI!A7="","",Capacidades_CI!A7),"")</f>
        <v/>
      </c>
      <c r="B48" s="24" t="str">
        <f>IFERROR(IF(Capacidades_CI!B7="","",Capacidades_CI!B7),"")</f>
        <v/>
      </c>
      <c r="C48" s="24" t="str">
        <f>IFERROR(IF(Capacidades_CI!C7="","",Capacidades_CI!C7),"")</f>
        <v/>
      </c>
      <c r="D48" s="24" t="str">
        <f>IFERROR(IF(Capacidades_CI!D7="","",Capacidades_CI!D7),"")</f>
        <v/>
      </c>
      <c r="E48" s="24" t="str">
        <f>IFERROR(IF(Capacidades_CI!E7="","",Capacidades_CI!E7),"")</f>
        <v/>
      </c>
    </row>
    <row r="49" spans="1:5" ht="18" customHeight="1" x14ac:dyDescent="0.35">
      <c r="A49" s="22" t="str">
        <f>IFERROR(IF(Capacidades_CI!A8="","",Capacidades_CI!A8),"")</f>
        <v/>
      </c>
      <c r="B49" s="21" t="str">
        <f>IFERROR(IF(Capacidades_CI!B8="","",Capacidades_CI!B8),"")</f>
        <v/>
      </c>
      <c r="C49" s="21" t="str">
        <f>IFERROR(IF(Capacidades_CI!C8="","",Capacidades_CI!C8),"")</f>
        <v/>
      </c>
      <c r="D49" s="21" t="str">
        <f>IFERROR(IF(Capacidades_CI!D8="","",Capacidades_CI!D8),"")</f>
        <v/>
      </c>
      <c r="E49" s="21" t="str">
        <f>IFERROR(IF(Capacidades_CI!E8="","",Capacidades_CI!E8),"")</f>
        <v/>
      </c>
    </row>
    <row r="50" spans="1:5" ht="18" customHeight="1" x14ac:dyDescent="0.35">
      <c r="A50" s="25" t="str">
        <f>IFERROR(IF(Capacidades_CI!A9="","",Capacidades_CI!A9),"")</f>
        <v/>
      </c>
      <c r="B50" s="24" t="str">
        <f>IFERROR(IF(Capacidades_CI!B9="","",Capacidades_CI!B9),"")</f>
        <v/>
      </c>
      <c r="C50" s="24" t="str">
        <f>IFERROR(IF(Capacidades_CI!C9="","",Capacidades_CI!C9),"")</f>
        <v/>
      </c>
      <c r="D50" s="24" t="str">
        <f>IFERROR(IF(Capacidades_CI!D9="","",Capacidades_CI!D9),"")</f>
        <v/>
      </c>
      <c r="E50" s="24" t="str">
        <f>IFERROR(IF(Capacidades_CI!E9="","",Capacidades_CI!E9),"")</f>
        <v/>
      </c>
    </row>
    <row r="51" spans="1:5" ht="18" customHeight="1" x14ac:dyDescent="0.35">
      <c r="A51" s="22" t="str">
        <f>IFERROR(IF(Capacidades_CI!A10="","",Capacidades_CI!A10),"")</f>
        <v/>
      </c>
      <c r="B51" s="21" t="str">
        <f>IFERROR(IF(Capacidades_CI!B10="","",Capacidades_CI!B10),"")</f>
        <v/>
      </c>
      <c r="C51" s="21" t="str">
        <f>IFERROR(IF(Capacidades_CI!C10="","",Capacidades_CI!C10),"")</f>
        <v/>
      </c>
      <c r="D51" s="21" t="str">
        <f>IFERROR(IF(Capacidades_CI!D10="","",Capacidades_CI!D10),"")</f>
        <v/>
      </c>
      <c r="E51" s="21" t="str">
        <f>IFERROR(IF(Capacidades_CI!E10="","",Capacidades_CI!E10),"")</f>
        <v/>
      </c>
    </row>
    <row r="52" spans="1:5" ht="18" customHeight="1" x14ac:dyDescent="0.35">
      <c r="A52" s="25" t="str">
        <f>IFERROR(IF(Capacidades_CI!A11="","",Capacidades_CI!A11),"")</f>
        <v/>
      </c>
      <c r="B52" s="24" t="str">
        <f>IFERROR(IF(Capacidades_CI!B11="","",Capacidades_CI!B11),"")</f>
        <v/>
      </c>
      <c r="C52" s="24" t="str">
        <f>IFERROR(IF(Capacidades_CI!C11="","",Capacidades_CI!C11),"")</f>
        <v/>
      </c>
      <c r="D52" s="24" t="str">
        <f>IFERROR(IF(Capacidades_CI!D11="","",Capacidades_CI!D11),"")</f>
        <v/>
      </c>
      <c r="E52" s="24" t="str">
        <f>IFERROR(IF(Capacidades_CI!E11="","",Capacidades_CI!E11),"")</f>
        <v/>
      </c>
    </row>
    <row r="53" spans="1:5" ht="18" customHeight="1" x14ac:dyDescent="0.35">
      <c r="A53" s="22" t="str">
        <f>IFERROR(IF(Capacidades_CI!A12="","",Capacidades_CI!A12),"")</f>
        <v/>
      </c>
      <c r="B53" s="21" t="str">
        <f>IFERROR(IF(Capacidades_CI!B12="","",Capacidades_CI!B12),"")</f>
        <v/>
      </c>
      <c r="C53" s="21" t="str">
        <f>IFERROR(IF(Capacidades_CI!C12="","",Capacidades_CI!C12),"")</f>
        <v/>
      </c>
      <c r="D53" s="21" t="str">
        <f>IFERROR(IF(Capacidades_CI!D12="","",Capacidades_CI!D12),"")</f>
        <v/>
      </c>
      <c r="E53" s="21" t="str">
        <f>IFERROR(IF(Capacidades_CI!E12="","",Capacidades_CI!E12),"")</f>
        <v/>
      </c>
    </row>
    <row r="54" spans="1:5" ht="18" customHeight="1" x14ac:dyDescent="0.35">
      <c r="A54" s="25" t="str">
        <f>IFERROR(IF(Capacidades_CI!A13="","",Capacidades_CI!A13),"")</f>
        <v/>
      </c>
      <c r="B54" s="24" t="str">
        <f>IFERROR(IF(Capacidades_CI!B13="","",Capacidades_CI!B13),"")</f>
        <v/>
      </c>
      <c r="C54" s="24" t="str">
        <f>IFERROR(IF(Capacidades_CI!C13="","",Capacidades_CI!C13),"")</f>
        <v/>
      </c>
      <c r="D54" s="24" t="str">
        <f>IFERROR(IF(Capacidades_CI!D13="","",Capacidades_CI!D13),"")</f>
        <v/>
      </c>
      <c r="E54" s="24" t="str">
        <f>IFERROR(IF(Capacidades_CI!E13="","",Capacidades_CI!E13),"")</f>
        <v/>
      </c>
    </row>
    <row r="55" spans="1:5" ht="18" customHeight="1" x14ac:dyDescent="0.35">
      <c r="A55" s="22" t="str">
        <f>IFERROR(IF(Capacidades_CI!A14="","",Capacidades_CI!A14),"")</f>
        <v/>
      </c>
      <c r="B55" s="21" t="str">
        <f>IFERROR(IF(Capacidades_CI!B14="","",Capacidades_CI!B14),"")</f>
        <v/>
      </c>
      <c r="C55" s="21" t="str">
        <f>IFERROR(IF(Capacidades_CI!C14="","",Capacidades_CI!C14),"")</f>
        <v/>
      </c>
      <c r="D55" s="21" t="str">
        <f>IFERROR(IF(Capacidades_CI!D14="","",Capacidades_CI!D14),"")</f>
        <v/>
      </c>
      <c r="E55" s="21" t="str">
        <f>IFERROR(IF(Capacidades_CI!E14="","",Capacidades_CI!E14),"")</f>
        <v/>
      </c>
    </row>
    <row r="56" spans="1:5" ht="18" customHeight="1" x14ac:dyDescent="0.35">
      <c r="A56" s="25" t="str">
        <f>IFERROR(IF(Capacidades_CI!A15="","",Capacidades_CI!A15),"")</f>
        <v/>
      </c>
      <c r="B56" s="24" t="str">
        <f>IFERROR(IF(Capacidades_CI!B15="","",Capacidades_CI!B15),"")</f>
        <v/>
      </c>
      <c r="C56" s="24" t="str">
        <f>IFERROR(IF(Capacidades_CI!C15="","",Capacidades_CI!C15),"")</f>
        <v/>
      </c>
      <c r="D56" s="24" t="str">
        <f>IFERROR(IF(Capacidades_CI!D15="","",Capacidades_CI!D15),"")</f>
        <v/>
      </c>
      <c r="E56" s="24" t="str">
        <f>IFERROR(IF(Capacidades_CI!E15="","",Capacidades_CI!E15),"")</f>
        <v/>
      </c>
    </row>
    <row r="57" spans="1:5" ht="18" customHeight="1" x14ac:dyDescent="0.35">
      <c r="A57" s="22" t="str">
        <f>IFERROR(IF(Capacidades_CI!A16="","",Capacidades_CI!A16),"")</f>
        <v/>
      </c>
      <c r="B57" s="21" t="str">
        <f>IFERROR(IF(Capacidades_CI!B16="","",Capacidades_CI!B16),"")</f>
        <v/>
      </c>
      <c r="C57" s="21" t="str">
        <f>IFERROR(IF(Capacidades_CI!C16="","",Capacidades_CI!C16),"")</f>
        <v/>
      </c>
      <c r="D57" s="21" t="str">
        <f>IFERROR(IF(Capacidades_CI!D16="","",Capacidades_CI!D16),"")</f>
        <v/>
      </c>
      <c r="E57" s="21" t="str">
        <f>IFERROR(IF(Capacidades_CI!E16="","",Capacidades_CI!E16),"")</f>
        <v/>
      </c>
    </row>
    <row r="58" spans="1:5" ht="18" customHeight="1" x14ac:dyDescent="0.35">
      <c r="A58" s="25" t="str">
        <f>IFERROR(IF(Capacidades_CI!A17="","",Capacidades_CI!A17),"")</f>
        <v>CAP-16</v>
      </c>
      <c r="B58" s="24" t="str">
        <f>IFERROR(IF(Capacidades_CI!B17="","",Capacidades_CI!B17),"")</f>
        <v>Indicadores de sostenibilidad ambiental</v>
      </c>
      <c r="C58" s="24" t="str">
        <f>IFERROR(IF(Capacidades_CI!C17="","",Capacidades_CI!C17),"")</f>
        <v>Emergente</v>
      </c>
      <c r="D58" s="24" t="str">
        <f>IFERROR(IF(Capacidades_CI!D17="","",Capacidades_CI!D17),"")</f>
        <v>Fisiología vegetal y nutrición</v>
      </c>
      <c r="E58" s="24" t="str">
        <f>IFERROR(IF(Capacidades_CI!E17="","",Capacidades_CI!E17),"")</f>
        <v>Aguacate Hass</v>
      </c>
    </row>
    <row r="59" spans="1:5" ht="18" customHeight="1" x14ac:dyDescent="0.35">
      <c r="A59" s="22" t="str">
        <f>IFERROR(IF(Capacidades_CI!A18="","",Capacidades_CI!A18),"")</f>
        <v>CAP-17</v>
      </c>
      <c r="B59" s="21" t="str">
        <f>IFERROR(IF(Capacidades_CI!B18="","",Capacidades_CI!B18),"")</f>
        <v>Fertilización por sitio específico</v>
      </c>
      <c r="C59" s="21" t="str">
        <f>IFERROR(IF(Capacidades_CI!C18="","",Capacidades_CI!C18),"")</f>
        <v>Consolidada</v>
      </c>
      <c r="D59" s="21" t="str">
        <f>IFERROR(IF(Capacidades_CI!D18="","",Capacidades_CI!D18),"")</f>
        <v>Fisiología vegetal y nutrición</v>
      </c>
      <c r="E59" s="21" t="str">
        <f>IFERROR(IF(Capacidades_CI!E18="","",Capacidades_CI!E18),"")</f>
        <v>Aguacate Hass</v>
      </c>
    </row>
    <row r="60" spans="1:5" ht="18" customHeight="1" x14ac:dyDescent="0.35">
      <c r="A60" s="25" t="str">
        <f>IFERROR(IF(Capacidades_CI!A19="","",Capacidades_CI!A19),"")</f>
        <v/>
      </c>
      <c r="B60" s="24" t="str">
        <f>IFERROR(IF(Capacidades_CI!B19="","",Capacidades_CI!B19),"")</f>
        <v/>
      </c>
      <c r="C60" s="24" t="str">
        <f>IFERROR(IF(Capacidades_CI!C19="","",Capacidades_CI!C19),"")</f>
        <v/>
      </c>
      <c r="D60" s="24" t="str">
        <f>IFERROR(IF(Capacidades_CI!D19="","",Capacidades_CI!D19),"")</f>
        <v/>
      </c>
      <c r="E60" s="24" t="str">
        <f>IFERROR(IF(Capacidades_CI!E19="","",Capacidades_CI!E19),"")</f>
        <v/>
      </c>
    </row>
    <row r="61" spans="1:5" ht="18" customHeight="1" x14ac:dyDescent="0.35">
      <c r="A61" s="22" t="str">
        <f>IFERROR(IF(Capacidades_CI!A20="","",Capacidades_CI!A20),"")</f>
        <v>CAP-19</v>
      </c>
      <c r="B61" s="21" t="str">
        <f>IFERROR(IF(Capacidades_CI!B20="","",Capacidades_CI!B20),"")</f>
        <v>Nutrición y riego para aguacate de consumo interno (Lorena)</v>
      </c>
      <c r="C61" s="21" t="str">
        <f>IFERROR(IF(Capacidades_CI!C20="","",Capacidades_CI!C20),"")</f>
        <v>Emergente</v>
      </c>
      <c r="D61" s="21" t="str">
        <f>IFERROR(IF(Capacidades_CI!D20="","",Capacidades_CI!D20),"")</f>
        <v>Fisiología vegetal y nutrición</v>
      </c>
      <c r="E61" s="21" t="str">
        <f>IFERROR(IF(Capacidades_CI!E20="","",Capacidades_CI!E20),"")</f>
        <v>Aguacate Hass</v>
      </c>
    </row>
    <row r="62" spans="1:5" ht="18" customHeight="1" x14ac:dyDescent="0.35">
      <c r="A62" s="25" t="str">
        <f>IFERROR(IF(Capacidades_CI!A21="","",Capacidades_CI!A21),"")</f>
        <v>CAP-20</v>
      </c>
      <c r="B62" s="24" t="str">
        <f>IFERROR(IF(Capacidades_CI!B21="","",Capacidades_CI!B21),"")</f>
        <v>Fertilización por sitio específico (IBN) y riego por balance hídrico</v>
      </c>
      <c r="C62" s="24" t="str">
        <f>IFERROR(IF(Capacidades_CI!C21="","",Capacidades_CI!C21),"")</f>
        <v>Consolidada</v>
      </c>
      <c r="D62" s="24" t="str">
        <f>IFERROR(IF(Capacidades_CI!D21="","",Capacidades_CI!D21),"")</f>
        <v>Fisiología vegetal y nutrición</v>
      </c>
      <c r="E62" s="24" t="str">
        <f>IFERROR(IF(Capacidades_CI!E21="","",Capacidades_CI!E21),"")</f>
        <v>Aguacate Hass</v>
      </c>
    </row>
    <row r="63" spans="1:5" ht="18" customHeight="1" x14ac:dyDescent="0.35">
      <c r="A63" s="22" t="str">
        <f>IFERROR(IF(Capacidades_CI!A22="","",Capacidades_CI!A22),"")</f>
        <v/>
      </c>
      <c r="B63" s="21" t="str">
        <f>IFERROR(IF(Capacidades_CI!B22="","",Capacidades_CI!B22),"")</f>
        <v/>
      </c>
      <c r="C63" s="21" t="str">
        <f>IFERROR(IF(Capacidades_CI!C22="","",Capacidades_CI!C22),"")</f>
        <v/>
      </c>
      <c r="D63" s="21" t="str">
        <f>IFERROR(IF(Capacidades_CI!D22="","",Capacidades_CI!D22),"")</f>
        <v/>
      </c>
      <c r="E63" s="21" t="str">
        <f>IFERROR(IF(Capacidades_CI!E22="","",Capacidades_CI!E22),"")</f>
        <v/>
      </c>
    </row>
    <row r="64" spans="1:5" ht="18" customHeight="1" x14ac:dyDescent="0.35">
      <c r="A64" s="25" t="str">
        <f>IFERROR(IF(Capacidades_CI!A23="","",Capacidades_CI!A23),"")</f>
        <v>CAP-22</v>
      </c>
      <c r="B64" s="24" t="str">
        <f>IFERROR(IF(Capacidades_CI!B23="","",Capacidades_CI!B23),"")</f>
        <v>Modelación fenológica con acumulación térmica (GDD) en sistemas frutícolas altoandinos</v>
      </c>
      <c r="C64" s="24" t="str">
        <f>IFERROR(IF(Capacidades_CI!C23="","",Capacidades_CI!C23),"")</f>
        <v>Emergente</v>
      </c>
      <c r="D64" s="24" t="str">
        <f>IFERROR(IF(Capacidades_CI!D23="","",Capacidades_CI!D23),"")</f>
        <v>Fisiología vegetal y nutrición</v>
      </c>
      <c r="E64" s="24" t="str">
        <f>IFERROR(IF(Capacidades_CI!E23="","",Capacidades_CI!E23),"")</f>
        <v>Aguacate Hass</v>
      </c>
    </row>
    <row r="65" spans="1:5" ht="18" customHeight="1" x14ac:dyDescent="0.35">
      <c r="A65" s="22" t="str">
        <f>IFERROR(IF(Capacidades_CI!A24="","",Capacidades_CI!A24),"")</f>
        <v>CAP-23</v>
      </c>
      <c r="B65" s="21" t="str">
        <f>IFERROR(IF(Capacidades_CI!B24="","",Capacidades_CI!B24),"")</f>
        <v>Fertilización por sitio específico</v>
      </c>
      <c r="C65" s="21" t="str">
        <f>IFERROR(IF(Capacidades_CI!C24="","",Capacidades_CI!C24),"")</f>
        <v>Consolidada</v>
      </c>
      <c r="D65" s="21" t="str">
        <f>IFERROR(IF(Capacidades_CI!D24="","",Capacidades_CI!D24),"")</f>
        <v>Fisiología vegetal y nutrición</v>
      </c>
      <c r="E65" s="21" t="str">
        <f>IFERROR(IF(Capacidades_CI!E24="","",Capacidades_CI!E24),"")</f>
        <v>Aguacate Hass</v>
      </c>
    </row>
    <row r="66" spans="1:5" ht="18" customHeight="1" x14ac:dyDescent="0.35">
      <c r="A66" s="25" t="str">
        <f>IFERROR(IF(Capacidades_CI!A25="","",Capacidades_CI!A25),"")</f>
        <v/>
      </c>
      <c r="B66" s="24" t="str">
        <f>IFERROR(IF(Capacidades_CI!B25="","",Capacidades_CI!B25),"")</f>
        <v/>
      </c>
      <c r="C66" s="24" t="str">
        <f>IFERROR(IF(Capacidades_CI!C25="","",Capacidades_CI!C25),"")</f>
        <v/>
      </c>
      <c r="D66" s="24" t="str">
        <f>IFERROR(IF(Capacidades_CI!D25="","",Capacidades_CI!D25),"")</f>
        <v/>
      </c>
      <c r="E66" s="24" t="str">
        <f>IFERROR(IF(Capacidades_CI!E25="","",Capacidades_CI!E25),"")</f>
        <v/>
      </c>
    </row>
    <row r="67" spans="1:5" ht="18" customHeight="1" x14ac:dyDescent="0.35">
      <c r="A67" s="22" t="str">
        <f>IFERROR(IF(Capacidades_CI!A26="","",Capacidades_CI!A26),"")</f>
        <v/>
      </c>
      <c r="B67" s="21" t="str">
        <f>IFERROR(IF(Capacidades_CI!B26="","",Capacidades_CI!B26),"")</f>
        <v/>
      </c>
      <c r="C67" s="21" t="str">
        <f>IFERROR(IF(Capacidades_CI!C26="","",Capacidades_CI!C26),"")</f>
        <v/>
      </c>
      <c r="D67" s="21" t="str">
        <f>IFERROR(IF(Capacidades_CI!D26="","",Capacidades_CI!D26),"")</f>
        <v/>
      </c>
      <c r="E67" s="21" t="str">
        <f>IFERROR(IF(Capacidades_CI!E26="","",Capacidades_CI!E26),"")</f>
        <v/>
      </c>
    </row>
    <row r="68" spans="1:5" ht="18" customHeight="1" x14ac:dyDescent="0.35">
      <c r="A68" s="25" t="str">
        <f>IFERROR(IF(Capacidades_CI!A27="","",Capacidades_CI!A27),"")</f>
        <v/>
      </c>
      <c r="B68" s="24" t="str">
        <f>IFERROR(IF(Capacidades_CI!B27="","",Capacidades_CI!B27),"")</f>
        <v/>
      </c>
      <c r="C68" s="24" t="str">
        <f>IFERROR(IF(Capacidades_CI!C27="","",Capacidades_CI!C27),"")</f>
        <v/>
      </c>
      <c r="D68" s="24" t="str">
        <f>IFERROR(IF(Capacidades_CI!D27="","",Capacidades_CI!D27),"")</f>
        <v/>
      </c>
      <c r="E68" s="24" t="str">
        <f>IFERROR(IF(Capacidades_CI!E27="","",Capacidades_CI!E27),"")</f>
        <v/>
      </c>
    </row>
    <row r="69" spans="1:5" ht="18" customHeight="1" x14ac:dyDescent="0.35">
      <c r="A69" s="22" t="str">
        <f>IFERROR(IF(Capacidades_CI!A28="","",Capacidades_CI!A28),"")</f>
        <v/>
      </c>
      <c r="B69" s="21" t="str">
        <f>IFERROR(IF(Capacidades_CI!B28="","",Capacidades_CI!B28),"")</f>
        <v/>
      </c>
      <c r="C69" s="21" t="str">
        <f>IFERROR(IF(Capacidades_CI!C28="","",Capacidades_CI!C28),"")</f>
        <v/>
      </c>
      <c r="D69" s="21" t="str">
        <f>IFERROR(IF(Capacidades_CI!D28="","",Capacidades_CI!D28),"")</f>
        <v/>
      </c>
      <c r="E69" s="21" t="str">
        <f>IFERROR(IF(Capacidades_CI!E28="","",Capacidades_CI!E28),"")</f>
        <v/>
      </c>
    </row>
    <row r="70" spans="1:5" ht="18" customHeight="1" x14ac:dyDescent="0.35">
      <c r="A70" s="25" t="str">
        <f>IFERROR(IF(Capacidades_CI!A29="","",Capacidades_CI!A29),"")</f>
        <v/>
      </c>
      <c r="B70" s="24" t="str">
        <f>IFERROR(IF(Capacidades_CI!B29="","",Capacidades_CI!B29),"")</f>
        <v/>
      </c>
      <c r="C70" s="24" t="str">
        <f>IFERROR(IF(Capacidades_CI!C29="","",Capacidades_CI!C29),"")</f>
        <v/>
      </c>
      <c r="D70" s="24" t="str">
        <f>IFERROR(IF(Capacidades_CI!D29="","",Capacidades_CI!D29),"")</f>
        <v/>
      </c>
      <c r="E70" s="24" t="str">
        <f>IFERROR(IF(Capacidades_CI!E29="","",Capacidades_CI!E29),"")</f>
        <v/>
      </c>
    </row>
    <row r="71" spans="1:5" ht="18" customHeight="1" x14ac:dyDescent="0.35">
      <c r="A71" s="22" t="str">
        <f>IFERROR(IF(Capacidades_CI!A30="","",Capacidades_CI!A30),"")</f>
        <v/>
      </c>
      <c r="B71" s="21" t="str">
        <f>IFERROR(IF(Capacidades_CI!B30="","",Capacidades_CI!B30),"")</f>
        <v/>
      </c>
      <c r="C71" s="21" t="str">
        <f>IFERROR(IF(Capacidades_CI!C30="","",Capacidades_CI!C30),"")</f>
        <v/>
      </c>
      <c r="D71" s="21" t="str">
        <f>IFERROR(IF(Capacidades_CI!D30="","",Capacidades_CI!D30),"")</f>
        <v/>
      </c>
      <c r="E71" s="21" t="str">
        <f>IFERROR(IF(Capacidades_CI!E30="","",Capacidades_CI!E30),"")</f>
        <v/>
      </c>
    </row>
    <row r="72" spans="1:5" ht="18" customHeight="1" x14ac:dyDescent="0.35">
      <c r="A72" s="25" t="str">
        <f>IFERROR(IF(Capacidades_CI!A31="","",Capacidades_CI!A31),"")</f>
        <v/>
      </c>
      <c r="B72" s="24" t="str">
        <f>IFERROR(IF(Capacidades_CI!B31="","",Capacidades_CI!B31),"")</f>
        <v/>
      </c>
      <c r="C72" s="24" t="str">
        <f>IFERROR(IF(Capacidades_CI!C31="","",Capacidades_CI!C31),"")</f>
        <v/>
      </c>
      <c r="D72" s="24" t="str">
        <f>IFERROR(IF(Capacidades_CI!D31="","",Capacidades_CI!D31),"")</f>
        <v/>
      </c>
      <c r="E72" s="24" t="str">
        <f>IFERROR(IF(Capacidades_CI!E31="","",Capacidades_CI!E31),"")</f>
        <v/>
      </c>
    </row>
  </sheetData>
  <mergeCells count="5">
    <mergeCell ref="A1:G1"/>
    <mergeCell ref="A4:D4"/>
    <mergeCell ref="F4:I4"/>
    <mergeCell ref="A41:E41"/>
    <mergeCell ref="A2:G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55A11"/>
  </sheetPr>
  <dimension ref="A1:F57"/>
  <sheetViews>
    <sheetView workbookViewId="0">
      <pane ySplit="5" topLeftCell="A6" activePane="bottomLeft" state="frozen"/>
      <selection pane="bottomLeft" sqref="A1:F1"/>
    </sheetView>
  </sheetViews>
  <sheetFormatPr baseColWidth="10" defaultColWidth="8.6640625" defaultRowHeight="14.5" x14ac:dyDescent="0.35"/>
  <cols>
    <col min="1" max="1" width="34" customWidth="1"/>
    <col min="2" max="2" width="20" customWidth="1"/>
    <col min="3" max="4" width="22" customWidth="1"/>
    <col min="5" max="5" width="38" customWidth="1"/>
    <col min="6" max="6" width="18" customWidth="1"/>
  </cols>
  <sheetData>
    <row r="1" spans="1:6" ht="30.05" customHeight="1" x14ac:dyDescent="0.35">
      <c r="A1" s="66" t="s">
        <v>721</v>
      </c>
      <c r="B1" s="53"/>
      <c r="C1" s="53"/>
      <c r="D1" s="53"/>
      <c r="E1" s="53"/>
      <c r="F1" s="54"/>
    </row>
    <row r="2" spans="1:6" ht="28.05" customHeight="1" x14ac:dyDescent="0.35">
      <c r="A2" s="59" t="s">
        <v>722</v>
      </c>
      <c r="B2" s="60"/>
      <c r="C2" s="60"/>
      <c r="D2" s="60"/>
      <c r="E2" s="60"/>
      <c r="F2" s="60"/>
    </row>
    <row r="4" spans="1:6" ht="22" customHeight="1" x14ac:dyDescent="0.35">
      <c r="A4" s="62" t="s">
        <v>723</v>
      </c>
      <c r="B4" s="63"/>
      <c r="C4" s="63"/>
      <c r="D4" s="64"/>
      <c r="E4" s="62" t="s">
        <v>724</v>
      </c>
      <c r="F4" s="64"/>
    </row>
    <row r="5" spans="1:6" ht="20" customHeight="1" x14ac:dyDescent="0.35">
      <c r="A5" s="7" t="s">
        <v>1</v>
      </c>
      <c r="B5" s="7" t="s">
        <v>725</v>
      </c>
      <c r="C5" s="7" t="s">
        <v>726</v>
      </c>
      <c r="D5" s="7" t="s">
        <v>727</v>
      </c>
      <c r="E5" s="7" t="s">
        <v>622</v>
      </c>
      <c r="F5" s="7" t="s">
        <v>623</v>
      </c>
    </row>
    <row r="6" spans="1:6" ht="18" customHeight="1" x14ac:dyDescent="0.35">
      <c r="A6" s="21" t="s">
        <v>45</v>
      </c>
      <c r="B6" s="22">
        <f>COUNTIFS(Tabla_Proyectos[Sistema productivo],"Aguacate Hass",Tabla_Proyectos[Publicaciones],"&lt;&gt;")</f>
        <v>4</v>
      </c>
      <c r="C6" s="22">
        <f>COUNTIFS(Tabla_Proyectos[Sistema productivo],"Aguacate Hass",Tabla_Proyectos[Productos generados],"&lt;&gt;")</f>
        <v>4</v>
      </c>
      <c r="D6" s="22">
        <f>COUNTIFS(Tabla_Proyectos[Sistema productivo],"Aguacate Hass",Tabla_Proyectos[Oferta tecnológica],"&lt;&gt;")</f>
        <v>3</v>
      </c>
      <c r="E6" s="21" t="s">
        <v>728</v>
      </c>
      <c r="F6" s="27">
        <f>COUNTIF(Tabla_Proyectos[Publicaciones],"&lt;&gt;")</f>
        <v>6</v>
      </c>
    </row>
    <row r="7" spans="1:6" ht="18" customHeight="1" x14ac:dyDescent="0.35">
      <c r="A7" s="24" t="s">
        <v>342</v>
      </c>
      <c r="B7" s="25">
        <f>COUNTIFS(Tabla_Proyectos[Sistema productivo],"Lima Acida Tahití",Tabla_Proyectos[Publicaciones],"&lt;&gt;")</f>
        <v>0</v>
      </c>
      <c r="C7" s="25">
        <f>COUNTIFS(Tabla_Proyectos[Sistema productivo],"Lima Acida Tahití",Tabla_Proyectos[Productos generados],"&lt;&gt;")</f>
        <v>0</v>
      </c>
      <c r="D7" s="25">
        <f>COUNTIFS(Tabla_Proyectos[Sistema productivo],"Lima Acida Tahití",Tabla_Proyectos[Oferta tecnológica],"&lt;&gt;")</f>
        <v>0</v>
      </c>
      <c r="E7" s="24" t="s">
        <v>729</v>
      </c>
      <c r="F7" s="28">
        <f>COUNTIF(Tabla_Proyectos[Productos generados],"&lt;&gt;")</f>
        <v>8</v>
      </c>
    </row>
    <row r="8" spans="1:6" ht="18" customHeight="1" x14ac:dyDescent="0.35">
      <c r="A8" s="21" t="s">
        <v>183</v>
      </c>
      <c r="B8" s="22">
        <f>COUNTIFS(Tabla_Proyectos[Sistema productivo],"Cacao",Tabla_Proyectos[Publicaciones],"&lt;&gt;")</f>
        <v>2</v>
      </c>
      <c r="C8" s="22">
        <f>COUNTIFS(Tabla_Proyectos[Sistema productivo],"Cacao",Tabla_Proyectos[Productos generados],"&lt;&gt;")</f>
        <v>4</v>
      </c>
      <c r="D8" s="22">
        <f>COUNTIFS(Tabla_Proyectos[Sistema productivo],"Cacao",Tabla_Proyectos[Oferta tecnológica],"&lt;&gt;")</f>
        <v>3</v>
      </c>
      <c r="E8" s="21" t="s">
        <v>730</v>
      </c>
      <c r="F8" s="27">
        <f>COUNTIF(Tabla_Proyectos[Oferta tecnológica],"&lt;&gt;")</f>
        <v>6</v>
      </c>
    </row>
    <row r="9" spans="1:6" ht="18" customHeight="1" x14ac:dyDescent="0.35">
      <c r="A9" s="24" t="s">
        <v>387</v>
      </c>
      <c r="B9" s="25">
        <f>COUNTIFS(Tabla_Proyectos[Sistema productivo],"Piña",Tabla_Proyectos[Publicaciones],"&lt;&gt;")</f>
        <v>0</v>
      </c>
      <c r="C9" s="25">
        <f>COUNTIFS(Tabla_Proyectos[Sistema productivo],"Piña",Tabla_Proyectos[Productos generados],"&lt;&gt;")</f>
        <v>0</v>
      </c>
      <c r="D9" s="25">
        <f>COUNTIFS(Tabla_Proyectos[Sistema productivo],"Piña",Tabla_Proyectos[Oferta tecnológica],"&lt;&gt;")</f>
        <v>0</v>
      </c>
      <c r="E9" s="24" t="s">
        <v>731</v>
      </c>
      <c r="F9" s="28">
        <f>COUNTIF(Tabla_Proyectos[Activos generados],"&lt;&gt;")</f>
        <v>7</v>
      </c>
    </row>
    <row r="10" spans="1:6" ht="18" customHeight="1" x14ac:dyDescent="0.35">
      <c r="A10" s="21" t="s">
        <v>398</v>
      </c>
      <c r="B10" s="22">
        <f>COUNTIFS(Tabla_Proyectos[Sistema productivo],"Platano",Tabla_Proyectos[Publicaciones],"&lt;&gt;")</f>
        <v>0</v>
      </c>
      <c r="C10" s="22">
        <f>COUNTIFS(Tabla_Proyectos[Sistema productivo],"Platano",Tabla_Proyectos[Productos generados],"&lt;&gt;")</f>
        <v>0</v>
      </c>
      <c r="D10" s="22">
        <f>COUNTIFS(Tabla_Proyectos[Sistema productivo],"Platano",Tabla_Proyectos[Oferta tecnológica],"&lt;&gt;")</f>
        <v>0</v>
      </c>
      <c r="E10" s="21" t="s">
        <v>732</v>
      </c>
      <c r="F10" s="27">
        <f>COUNTIF(Tabla_Proyectos[Estado propiedad intelectual],"&lt;&gt;")</f>
        <v>1</v>
      </c>
    </row>
    <row r="11" spans="1:6" ht="18" customHeight="1" x14ac:dyDescent="0.35">
      <c r="A11" s="24" t="s">
        <v>293</v>
      </c>
      <c r="B11" s="25">
        <f>COUNTIFS(Tabla_Proyectos[Sistema productivo],"Chontaduro",Tabla_Proyectos[Publicaciones],"&lt;&gt;")</f>
        <v>0</v>
      </c>
      <c r="C11" s="25">
        <f>COUNTIFS(Tabla_Proyectos[Sistema productivo],"Chontaduro",Tabla_Proyectos[Productos generados],"&lt;&gt;")</f>
        <v>0</v>
      </c>
      <c r="D11" s="25">
        <f>COUNTIFS(Tabla_Proyectos[Sistema productivo],"Chontaduro",Tabla_Proyectos[Oferta tecnológica],"&lt;&gt;")</f>
        <v>0</v>
      </c>
      <c r="E11" s="24" t="s">
        <v>733</v>
      </c>
      <c r="F11" s="26">
        <f>IFERROR(COUNTIFS(Tabla_Proyectos[Publicaciones],"&lt;&gt;")/ COUNTA(Tabla_Proyectos[Nombre del proyecto]),0)</f>
        <v>4.5454545454545456E-2</v>
      </c>
    </row>
    <row r="12" spans="1:6" ht="18" customHeight="1" x14ac:dyDescent="0.35">
      <c r="A12" s="21" t="s">
        <v>318</v>
      </c>
      <c r="B12" s="22">
        <f>COUNTIFS(Tabla_Proyectos[Sistema productivo],"Guanábana",Tabla_Proyectos[Publicaciones],"&lt;&gt;")</f>
        <v>0</v>
      </c>
      <c r="C12" s="22">
        <f>COUNTIFS(Tabla_Proyectos[Sistema productivo],"Guanábana",Tabla_Proyectos[Productos generados],"&lt;&gt;")</f>
        <v>0</v>
      </c>
      <c r="D12" s="22">
        <f>COUNTIFS(Tabla_Proyectos[Sistema productivo],"Guanábana",Tabla_Proyectos[Oferta tecnológica],"&lt;&gt;")</f>
        <v>0</v>
      </c>
    </row>
    <row r="13" spans="1:6" ht="18" customHeight="1" x14ac:dyDescent="0.35">
      <c r="A13" s="24" t="s">
        <v>322</v>
      </c>
      <c r="B13" s="25">
        <f>COUNTIFS(Tabla_Proyectos[Sistema productivo],"Guayaba",Tabla_Proyectos[Publicaciones],"&lt;&gt;")</f>
        <v>0</v>
      </c>
      <c r="C13" s="25">
        <f>COUNTIFS(Tabla_Proyectos[Sistema productivo],"Guayaba",Tabla_Proyectos[Productos generados],"&lt;&gt;")</f>
        <v>0</v>
      </c>
      <c r="D13" s="25">
        <f>COUNTIFS(Tabla_Proyectos[Sistema productivo],"Guayaba",Tabla_Proyectos[Oferta tecnológica],"&lt;&gt;")</f>
        <v>0</v>
      </c>
    </row>
    <row r="14" spans="1:6" ht="18" customHeight="1" x14ac:dyDescent="0.35">
      <c r="A14" s="21" t="s">
        <v>365</v>
      </c>
      <c r="B14" s="22">
        <f>COUNTIFS(Tabla_Proyectos[Sistema productivo],"Naranjas",Tabla_Proyectos[Publicaciones],"&lt;&gt;")</f>
        <v>0</v>
      </c>
      <c r="C14" s="22">
        <f>COUNTIFS(Tabla_Proyectos[Sistema productivo],"Naranjas",Tabla_Proyectos[Productos generados],"&lt;&gt;")</f>
        <v>0</v>
      </c>
      <c r="D14" s="22">
        <f>COUNTIFS(Tabla_Proyectos[Sistema productivo],"Naranjas",Tabla_Proyectos[Oferta tecnológica],"&lt;&gt;")</f>
        <v>0</v>
      </c>
    </row>
    <row r="15" spans="1:6" ht="18" customHeight="1" x14ac:dyDescent="0.35">
      <c r="A15" s="24" t="s">
        <v>580</v>
      </c>
      <c r="B15" s="25">
        <f>COUNTIFS(Tabla_Proyectos[Sistema productivo],"Banano",Tabla_Proyectos[Publicaciones],"&lt;&gt;")</f>
        <v>0</v>
      </c>
      <c r="C15" s="25">
        <f>COUNTIFS(Tabla_Proyectos[Sistema productivo],"Banano",Tabla_Proyectos[Productos generados],"&lt;&gt;")</f>
        <v>0</v>
      </c>
      <c r="D15" s="25">
        <f>COUNTIFS(Tabla_Proyectos[Sistema productivo],"Banano",Tabla_Proyectos[Oferta tecnológica],"&lt;&gt;")</f>
        <v>0</v>
      </c>
    </row>
    <row r="16" spans="1:6" ht="18" customHeight="1" x14ac:dyDescent="0.35">
      <c r="A16" s="21" t="s">
        <v>615</v>
      </c>
      <c r="B16" s="22">
        <f>COUNTIFS(Tabla_Proyectos[Sistema productivo],"Maiz",Tabla_Proyectos[Publicaciones],"&lt;&gt;")</f>
        <v>0</v>
      </c>
      <c r="C16" s="22">
        <f>COUNTIFS(Tabla_Proyectos[Sistema productivo],"Maiz",Tabla_Proyectos[Productos generados],"&lt;&gt;")</f>
        <v>0</v>
      </c>
      <c r="D16" s="22">
        <f>COUNTIFS(Tabla_Proyectos[Sistema productivo],"Maiz",Tabla_Proyectos[Oferta tecnológica],"&lt;&gt;")</f>
        <v>0</v>
      </c>
    </row>
    <row r="17" spans="1:4" ht="18" customHeight="1" x14ac:dyDescent="0.35">
      <c r="A17" s="24" t="s">
        <v>616</v>
      </c>
      <c r="B17" s="25">
        <f>COUNTIFS(Tabla_Proyectos[Sistema productivo],"Frijol",Tabla_Proyectos[Publicaciones],"&lt;&gt;")</f>
        <v>0</v>
      </c>
      <c r="C17" s="25">
        <f>COUNTIFS(Tabla_Proyectos[Sistema productivo],"Frijol",Tabla_Proyectos[Productos generados],"&lt;&gt;")</f>
        <v>0</v>
      </c>
      <c r="D17" s="25">
        <f>COUNTIFS(Tabla_Proyectos[Sistema productivo],"Frijol",Tabla_Proyectos[Oferta tecnológica],"&lt;&gt;")</f>
        <v>0</v>
      </c>
    </row>
    <row r="18" spans="1:4" ht="18" customHeight="1" x14ac:dyDescent="0.35">
      <c r="A18" s="21" t="s">
        <v>617</v>
      </c>
      <c r="B18" s="22">
        <f>COUNTIFS(Tabla_Proyectos[Sistema productivo],"Cebolla",Tabla_Proyectos[Publicaciones],"&lt;&gt;")</f>
        <v>0</v>
      </c>
      <c r="C18" s="22">
        <f>COUNTIFS(Tabla_Proyectos[Sistema productivo],"Cebolla",Tabla_Proyectos[Productos generados],"&lt;&gt;")</f>
        <v>0</v>
      </c>
      <c r="D18" s="22">
        <f>COUNTIFS(Tabla_Proyectos[Sistema productivo],"Cebolla",Tabla_Proyectos[Oferta tecnológica],"&lt;&gt;")</f>
        <v>0</v>
      </c>
    </row>
    <row r="19" spans="1:4" ht="18" customHeight="1" x14ac:dyDescent="0.35">
      <c r="A19" s="24" t="s">
        <v>417</v>
      </c>
      <c r="B19" s="25">
        <f>COUNTIFS(Tabla_Proyectos[Sistema productivo],"Yuca",Tabla_Proyectos[Publicaciones],"&lt;&gt;")</f>
        <v>0</v>
      </c>
      <c r="C19" s="25">
        <f>COUNTIFS(Tabla_Proyectos[Sistema productivo],"Yuca",Tabla_Proyectos[Productos generados],"&lt;&gt;")</f>
        <v>0</v>
      </c>
      <c r="D19" s="25">
        <f>COUNTIFS(Tabla_Proyectos[Sistema productivo],"Yuca",Tabla_Proyectos[Oferta tecnológica],"&lt;&gt;")</f>
        <v>0</v>
      </c>
    </row>
    <row r="20" spans="1:4" ht="18" customHeight="1" x14ac:dyDescent="0.35">
      <c r="A20" s="21" t="s">
        <v>618</v>
      </c>
      <c r="B20" s="22">
        <f>COUNTIFS(Tabla_Proyectos[Sistema productivo],"Ganaderia ",Tabla_Proyectos[Publicaciones],"&lt;&gt;")</f>
        <v>0</v>
      </c>
      <c r="C20" s="22">
        <f>COUNTIFS(Tabla_Proyectos[Sistema productivo],"Ganaderia ",Tabla_Proyectos[Productos generados],"&lt;&gt;")</f>
        <v>0</v>
      </c>
      <c r="D20" s="22">
        <f>COUNTIFS(Tabla_Proyectos[Sistema productivo],"Ganaderia ",Tabla_Proyectos[Oferta tecnológica],"&lt;&gt;")</f>
        <v>0</v>
      </c>
    </row>
    <row r="21" spans="1:4" ht="18" customHeight="1" x14ac:dyDescent="0.35">
      <c r="A21" s="24" t="s">
        <v>619</v>
      </c>
      <c r="B21" s="25">
        <f>COUNTIFS(Tabla_Proyectos[Sistema productivo],"Apicola",Tabla_Proyectos[Publicaciones],"&lt;&gt;")</f>
        <v>0</v>
      </c>
      <c r="C21" s="25">
        <f>COUNTIFS(Tabla_Proyectos[Sistema productivo],"Apicola",Tabla_Proyectos[Productos generados],"&lt;&gt;")</f>
        <v>0</v>
      </c>
      <c r="D21" s="25">
        <f>COUNTIFS(Tabla_Proyectos[Sistema productivo],"Apicola",Tabla_Proyectos[Oferta tecnológica],"&lt;&gt;")</f>
        <v>0</v>
      </c>
    </row>
    <row r="22" spans="1:4" ht="18" customHeight="1" x14ac:dyDescent="0.35">
      <c r="A22" s="21" t="s">
        <v>356</v>
      </c>
      <c r="B22" s="22">
        <f>COUNTIFS(Tabla_Proyectos[Sistema productivo],"Maracuya",Tabla_Proyectos[Publicaciones],"&lt;&gt;")</f>
        <v>0</v>
      </c>
      <c r="C22" s="22">
        <f>COUNTIFS(Tabla_Proyectos[Sistema productivo],"Maracuya",Tabla_Proyectos[Productos generados],"&lt;&gt;")</f>
        <v>0</v>
      </c>
      <c r="D22" s="22">
        <f>COUNTIFS(Tabla_Proyectos[Sistema productivo],"Maracuya",Tabla_Proyectos[Oferta tecnológica],"&lt;&gt;")</f>
        <v>0</v>
      </c>
    </row>
    <row r="23" spans="1:4" ht="18" customHeight="1" x14ac:dyDescent="0.35">
      <c r="A23" s="24" t="s">
        <v>179</v>
      </c>
      <c r="B23" s="25">
        <f>COUNTIFS(Tabla_Proyectos[Sistema productivo],"Ají",Tabla_Proyectos[Publicaciones],"&lt;&gt;")</f>
        <v>0</v>
      </c>
      <c r="C23" s="25">
        <f>COUNTIFS(Tabla_Proyectos[Sistema productivo],"Ají",Tabla_Proyectos[Productos generados],"&lt;&gt;")</f>
        <v>0</v>
      </c>
      <c r="D23" s="25">
        <f>COUNTIFS(Tabla_Proyectos[Sistema productivo],"Ají",Tabla_Proyectos[Oferta tecnológica],"&lt;&gt;")</f>
        <v>0</v>
      </c>
    </row>
    <row r="24" spans="1:4" ht="18" customHeight="1" x14ac:dyDescent="0.35">
      <c r="A24" s="21" t="s">
        <v>305</v>
      </c>
      <c r="B24" s="22">
        <f>COUNTIFS(Tabla_Proyectos[Sistema productivo],"Forestal",Tabla_Proyectos[Publicaciones],"&lt;&gt;")</f>
        <v>0</v>
      </c>
      <c r="C24" s="22">
        <f>COUNTIFS(Tabla_Proyectos[Sistema productivo],"Forestal",Tabla_Proyectos[Productos generados],"&lt;&gt;")</f>
        <v>0</v>
      </c>
      <c r="D24" s="22">
        <f>COUNTIFS(Tabla_Proyectos[Sistema productivo],"Forestal",Tabla_Proyectos[Oferta tecnológica],"&lt;&gt;")</f>
        <v>0</v>
      </c>
    </row>
    <row r="25" spans="1:4" ht="18" customHeight="1" x14ac:dyDescent="0.35">
      <c r="A25" s="24" t="s">
        <v>404</v>
      </c>
      <c r="B25" s="25">
        <f>COUNTIFS(Tabla_Proyectos[Sistema productivo],"Quinua",Tabla_Proyectos[Publicaciones],"&lt;&gt;")</f>
        <v>0</v>
      </c>
      <c r="C25" s="25">
        <f>COUNTIFS(Tabla_Proyectos[Sistema productivo],"Quinua",Tabla_Proyectos[Productos generados],"&lt;&gt;")</f>
        <v>0</v>
      </c>
      <c r="D25" s="25">
        <f>COUNTIFS(Tabla_Proyectos[Sistema productivo],"Quinua",Tabla_Proyectos[Oferta tecnológica],"&lt;&gt;")</f>
        <v>0</v>
      </c>
    </row>
    <row r="26" spans="1:4" ht="18" customHeight="1" x14ac:dyDescent="0.35">
      <c r="A26" s="21" t="s">
        <v>620</v>
      </c>
      <c r="B26" s="22">
        <f>COUNTIFS(Tabla_Proyectos[Sistema productivo],"Caña panelera",Tabla_Proyectos[Publicaciones],"&lt;&gt;")</f>
        <v>0</v>
      </c>
      <c r="C26" s="22">
        <f>COUNTIFS(Tabla_Proyectos[Sistema productivo],"Caña panelera",Tabla_Proyectos[Productos generados],"&lt;&gt;")</f>
        <v>0</v>
      </c>
      <c r="D26" s="22">
        <f>COUNTIFS(Tabla_Proyectos[Sistema productivo],"Caña panelera",Tabla_Proyectos[Oferta tecnológica],"&lt;&gt;")</f>
        <v>0</v>
      </c>
    </row>
    <row r="27" spans="1:4" ht="18" customHeight="1" x14ac:dyDescent="0.35">
      <c r="A27" s="24" t="s">
        <v>302</v>
      </c>
      <c r="B27" s="25">
        <f>COUNTIFS(Tabla_Proyectos[Sistema productivo],"Fique",Tabla_Proyectos[Publicaciones],"&lt;&gt;")</f>
        <v>0</v>
      </c>
      <c r="C27" s="25">
        <f>COUNTIFS(Tabla_Proyectos[Sistema productivo],"Fique",Tabla_Proyectos[Productos generados],"&lt;&gt;")</f>
        <v>0</v>
      </c>
      <c r="D27" s="25">
        <f>COUNTIFS(Tabla_Proyectos[Sistema productivo],"Fique",Tabla_Proyectos[Oferta tecnológica],"&lt;&gt;")</f>
        <v>0</v>
      </c>
    </row>
    <row r="28" spans="1:4" ht="18" customHeight="1" x14ac:dyDescent="0.35">
      <c r="A28" s="21" t="s">
        <v>351</v>
      </c>
      <c r="B28" s="22">
        <f>COUNTIFS(Tabla_Proyectos[Sistema productivo],"Limón Pajarito",Tabla_Proyectos[Publicaciones],"&lt;&gt;")</f>
        <v>0</v>
      </c>
      <c r="C28" s="22">
        <f>COUNTIFS(Tabla_Proyectos[Sistema productivo],"Limón Pajarito",Tabla_Proyectos[Productos generados],"&lt;&gt;")</f>
        <v>0</v>
      </c>
      <c r="D28" s="22">
        <f>COUNTIFS(Tabla_Proyectos[Sistema productivo],"Limón Pajarito",Tabla_Proyectos[Oferta tecnológica],"&lt;&gt;")</f>
        <v>0</v>
      </c>
    </row>
    <row r="29" spans="1:4" ht="18" customHeight="1" x14ac:dyDescent="0.35">
      <c r="A29" s="24" t="s">
        <v>363</v>
      </c>
      <c r="B29" s="25">
        <f>COUNTIFS(Tabla_Proyectos[Sistema productivo],"Mora",Tabla_Proyectos[Publicaciones],"&lt;&gt;")</f>
        <v>0</v>
      </c>
      <c r="C29" s="25">
        <f>COUNTIFS(Tabla_Proyectos[Sistema productivo],"Mora",Tabla_Proyectos[Productos generados],"&lt;&gt;")</f>
        <v>0</v>
      </c>
      <c r="D29" s="25">
        <f>COUNTIFS(Tabla_Proyectos[Sistema productivo],"Mora",Tabla_Proyectos[Oferta tecnológica],"&lt;&gt;")</f>
        <v>0</v>
      </c>
    </row>
    <row r="30" spans="1:4" ht="18" customHeight="1" x14ac:dyDescent="0.35">
      <c r="A30" s="21" t="s">
        <v>361</v>
      </c>
      <c r="B30" s="22">
        <f>COUNTIFS(Tabla_Proyectos[Sistema productivo],"Melón",Tabla_Proyectos[Publicaciones],"&lt;&gt;")</f>
        <v>0</v>
      </c>
      <c r="C30" s="22">
        <f>COUNTIFS(Tabla_Proyectos[Sistema productivo],"Melón",Tabla_Proyectos[Productos generados],"&lt;&gt;")</f>
        <v>0</v>
      </c>
      <c r="D30" s="22">
        <f>COUNTIFS(Tabla_Proyectos[Sistema productivo],"Melón",Tabla_Proyectos[Oferta tecnológica],"&lt;&gt;")</f>
        <v>0</v>
      </c>
    </row>
    <row r="31" spans="1:4" ht="18" customHeight="1" x14ac:dyDescent="0.35">
      <c r="A31" s="24" t="s">
        <v>383</v>
      </c>
      <c r="B31" s="25">
        <f>COUNTIFS(Tabla_Proyectos[Sistema productivo],"Palma de aceite Americana",Tabla_Proyectos[Publicaciones],"&lt;&gt;")</f>
        <v>0</v>
      </c>
      <c r="C31" s="25">
        <f>COUNTIFS(Tabla_Proyectos[Sistema productivo],"Palma de aceite Americana",Tabla_Proyectos[Productos generados],"&lt;&gt;")</f>
        <v>0</v>
      </c>
      <c r="D31" s="25">
        <f>COUNTIFS(Tabla_Proyectos[Sistema productivo],"Palma de aceite Americana",Tabla_Proyectos[Oferta tecnológica],"&lt;&gt;")</f>
        <v>0</v>
      </c>
    </row>
    <row r="32" spans="1:4" ht="18" customHeight="1" x14ac:dyDescent="0.35">
      <c r="A32" s="21" t="s">
        <v>378</v>
      </c>
      <c r="B32" s="22">
        <f>COUNTIFS(Tabla_Proyectos[Sistema productivo],"Palma de aceite Africana",Tabla_Proyectos[Publicaciones],"&lt;&gt;")</f>
        <v>0</v>
      </c>
      <c r="C32" s="22">
        <f>COUNTIFS(Tabla_Proyectos[Sistema productivo],"Palma de aceite Africana",Tabla_Proyectos[Productos generados],"&lt;&gt;")</f>
        <v>0</v>
      </c>
      <c r="D32" s="22">
        <f>COUNTIFS(Tabla_Proyectos[Sistema productivo],"Palma de aceite Africana",Tabla_Proyectos[Oferta tecnológica],"&lt;&gt;")</f>
        <v>0</v>
      </c>
    </row>
    <row r="33" spans="1:4" ht="18" customHeight="1" x14ac:dyDescent="0.35">
      <c r="A33" s="24" t="s">
        <v>181</v>
      </c>
      <c r="B33" s="25">
        <f>COUNTIFS(Tabla_Proyectos[Sistema productivo],"Bancos de Germoplasma",Tabla_Proyectos[Publicaciones],"&lt;&gt;")</f>
        <v>0</v>
      </c>
      <c r="C33" s="25">
        <f>COUNTIFS(Tabla_Proyectos[Sistema productivo],"Bancos de Germoplasma",Tabla_Proyectos[Productos generados],"&lt;&gt;")</f>
        <v>0</v>
      </c>
      <c r="D33" s="25">
        <f>COUNTIFS(Tabla_Proyectos[Sistema productivo],"Bancos de Germoplasma",Tabla_Proyectos[Oferta tecnológica],"&lt;&gt;")</f>
        <v>0</v>
      </c>
    </row>
    <row r="34" spans="1:4" ht="18" customHeight="1" x14ac:dyDescent="0.35">
      <c r="A34" s="21" t="s">
        <v>80</v>
      </c>
      <c r="B34" s="22">
        <f>COUNTIFS(Tabla_Proyectos[Sistema productivo],"Agraz",Tabla_Proyectos[Publicaciones],"&lt;&gt;")</f>
        <v>0</v>
      </c>
      <c r="C34" s="22">
        <f>COUNTIFS(Tabla_Proyectos[Sistema productivo],"Agraz",Tabla_Proyectos[Productos generados],"&lt;&gt;")</f>
        <v>0</v>
      </c>
      <c r="D34" s="22">
        <f>COUNTIFS(Tabla_Proyectos[Sistema productivo],"Agraz",Tabla_Proyectos[Oferta tecnológica],"&lt;&gt;")</f>
        <v>0</v>
      </c>
    </row>
    <row r="35" spans="1:4" ht="18" customHeight="1" x14ac:dyDescent="0.35">
      <c r="A35" s="24" t="s">
        <v>395</v>
      </c>
      <c r="B35" s="25">
        <f>COUNTIFS(Tabla_Proyectos[Sistema productivo],"Pitaya Amarilla",Tabla_Proyectos[Publicaciones],"&lt;&gt;")</f>
        <v>0</v>
      </c>
      <c r="C35" s="25">
        <f>COUNTIFS(Tabla_Proyectos[Sistema productivo],"Pitaya Amarilla",Tabla_Proyectos[Productos generados],"&lt;&gt;")</f>
        <v>0</v>
      </c>
      <c r="D35" s="25">
        <f>COUNTIFS(Tabla_Proyectos[Sistema productivo],"Pitaya Amarilla",Tabla_Proyectos[Oferta tecnológica],"&lt;&gt;")</f>
        <v>0</v>
      </c>
    </row>
    <row r="36" spans="1:4" ht="18" customHeight="1" x14ac:dyDescent="0.35">
      <c r="A36" s="21" t="s">
        <v>385</v>
      </c>
      <c r="B36" s="22">
        <f>COUNTIFS(Tabla_Proyectos[Sistema productivo],"Palmaceas",Tabla_Proyectos[Publicaciones],"&lt;&gt;")</f>
        <v>0</v>
      </c>
      <c r="C36" s="22">
        <f>COUNTIFS(Tabla_Proyectos[Sistema productivo],"Palmaceas",Tabla_Proyectos[Productos generados],"&lt;&gt;")</f>
        <v>0</v>
      </c>
      <c r="D36" s="22">
        <f>COUNTIFS(Tabla_Proyectos[Sistema productivo],"Palmaceas",Tabla_Proyectos[Oferta tecnológica],"&lt;&gt;")</f>
        <v>0</v>
      </c>
    </row>
    <row r="37" spans="1:4" ht="18" customHeight="1" x14ac:dyDescent="0.35">
      <c r="A37" s="24" t="s">
        <v>299</v>
      </c>
      <c r="B37" s="25">
        <f>COUNTIFS(Tabla_Proyectos[Sistema productivo],"Coco",Tabla_Proyectos[Publicaciones],"&lt;&gt;")</f>
        <v>0</v>
      </c>
      <c r="C37" s="25">
        <f>COUNTIFS(Tabla_Proyectos[Sistema productivo],"Coco",Tabla_Proyectos[Productos generados],"&lt;&gt;")</f>
        <v>0</v>
      </c>
      <c r="D37" s="25">
        <f>COUNTIFS(Tabla_Proyectos[Sistema productivo],"Coco",Tabla_Proyectos[Oferta tecnológica],"&lt;&gt;")</f>
        <v>0</v>
      </c>
    </row>
    <row r="38" spans="1:4" ht="18" customHeight="1" x14ac:dyDescent="0.35">
      <c r="A38" s="21" t="s">
        <v>156</v>
      </c>
      <c r="B38" s="22">
        <f>COUNTIFS(Tabla_Proyectos[Sistema productivo],"Otro",Tabla_Proyectos[Publicaciones],"&lt;&gt;")</f>
        <v>0</v>
      </c>
      <c r="C38" s="22">
        <f>COUNTIFS(Tabla_Proyectos[Sistema productivo],"Otro",Tabla_Proyectos[Productos generados],"&lt;&gt;")</f>
        <v>0</v>
      </c>
      <c r="D38" s="22">
        <f>COUNTIFS(Tabla_Proyectos[Sistema productivo],"Otro",Tabla_Proyectos[Oferta tecnológica],"&lt;&gt;")</f>
        <v>0</v>
      </c>
    </row>
    <row r="39" spans="1:4" ht="18" customHeight="1" x14ac:dyDescent="0.35">
      <c r="A39" s="29" t="s">
        <v>577</v>
      </c>
      <c r="B39" s="29">
        <f>SUM(B6:B38)</f>
        <v>6</v>
      </c>
      <c r="C39" s="29">
        <f>SUM(C6:C38)</f>
        <v>8</v>
      </c>
      <c r="D39" s="29">
        <f>SUM(D6:D38)</f>
        <v>6</v>
      </c>
    </row>
    <row r="41" spans="1:4" ht="22" customHeight="1" x14ac:dyDescent="0.35">
      <c r="A41" s="62" t="s">
        <v>734</v>
      </c>
      <c r="B41" s="63"/>
      <c r="C41" s="64"/>
    </row>
    <row r="42" spans="1:4" ht="20" customHeight="1" x14ac:dyDescent="0.35">
      <c r="A42" s="7" t="s">
        <v>735</v>
      </c>
      <c r="B42" s="7" t="s">
        <v>565</v>
      </c>
      <c r="C42" s="7" t="s">
        <v>566</v>
      </c>
    </row>
    <row r="43" spans="1:4" ht="18" customHeight="1" x14ac:dyDescent="0.35">
      <c r="A43" s="21" t="s">
        <v>736</v>
      </c>
      <c r="B43" s="22">
        <f>COUNTIF(Tabla_Proyectos[Estado propiedad intelectual],"*Con registro*")</f>
        <v>0</v>
      </c>
      <c r="C43" s="23">
        <f>IFERROR(B43/COUNTA(Tabla_Proyectos[Nombre del proyecto]),0)</f>
        <v>0</v>
      </c>
    </row>
    <row r="44" spans="1:4" ht="18" customHeight="1" x14ac:dyDescent="0.35">
      <c r="A44" s="24" t="s">
        <v>737</v>
      </c>
      <c r="B44" s="25">
        <f>COUNTIF(Tabla_Proyectos[Estado propiedad intelectual],"*En trámite*")</f>
        <v>0</v>
      </c>
      <c r="C44" s="26">
        <f>IFERROR(B44/COUNTA(Tabla_Proyectos[Nombre del proyecto]),0)</f>
        <v>0</v>
      </c>
    </row>
    <row r="45" spans="1:4" ht="18" customHeight="1" x14ac:dyDescent="0.35">
      <c r="A45" s="21" t="s">
        <v>738</v>
      </c>
      <c r="B45" s="22">
        <f>COUNTIF(Tabla_Proyectos[Estado propiedad intelectual],"*Sin PI*")</f>
        <v>0</v>
      </c>
      <c r="C45" s="23">
        <f>IFERROR(B45/COUNTA(Tabla_Proyectos[Nombre del proyecto]),0)</f>
        <v>0</v>
      </c>
    </row>
    <row r="46" spans="1:4" ht="18" customHeight="1" x14ac:dyDescent="0.35">
      <c r="A46" s="24" t="s">
        <v>739</v>
      </c>
      <c r="B46" s="25">
        <f>COUNTIF(Tabla_Proyectos[Estado propiedad intelectual],"*No aplica*")</f>
        <v>0</v>
      </c>
      <c r="C46" s="26">
        <f>IFERROR(B46/COUNTA(Tabla_Proyectos[Nombre del proyecto]),0)</f>
        <v>0</v>
      </c>
    </row>
    <row r="47" spans="1:4" x14ac:dyDescent="0.35">
      <c r="A47" s="34" t="s">
        <v>740</v>
      </c>
      <c r="B47" s="29">
        <f>COUNTIF(Tabla_Proyectos[Estado propiedad intelectual],"&lt;&gt;")</f>
        <v>1</v>
      </c>
    </row>
    <row r="50" spans="1:3" ht="22" customHeight="1" x14ac:dyDescent="0.35">
      <c r="A50" s="62" t="s">
        <v>741</v>
      </c>
      <c r="B50" s="63"/>
      <c r="C50" s="64"/>
    </row>
    <row r="51" spans="1:3" ht="20" customHeight="1" x14ac:dyDescent="0.35">
      <c r="A51" s="7" t="s">
        <v>20</v>
      </c>
      <c r="B51" s="7" t="s">
        <v>565</v>
      </c>
      <c r="C51" s="7" t="s">
        <v>566</v>
      </c>
    </row>
    <row r="52" spans="1:3" ht="18" customHeight="1" x14ac:dyDescent="0.35">
      <c r="A52" s="21" t="s">
        <v>742</v>
      </c>
      <c r="B52" s="22">
        <f>COUNTIF(Tabla_Proyectos[Tipo de tecnología],"*Variedad*")</f>
        <v>0</v>
      </c>
      <c r="C52" s="23">
        <f>IFERROR(B52/COUNTA(Tabla_Proyectos[Nombre del proyecto]),0)</f>
        <v>0</v>
      </c>
    </row>
    <row r="53" spans="1:3" ht="18" customHeight="1" x14ac:dyDescent="0.35">
      <c r="A53" s="24" t="s">
        <v>743</v>
      </c>
      <c r="B53" s="25">
        <f>COUNTIF(Tabla_Proyectos[Tipo de tecnología],"*Protocolo*")</f>
        <v>3</v>
      </c>
      <c r="C53" s="26">
        <f>IFERROR(B53/COUNTA(Tabla_Proyectos[Nombre del proyecto]),0)</f>
        <v>2.2727272727272728E-2</v>
      </c>
    </row>
    <row r="54" spans="1:3" ht="18" customHeight="1" x14ac:dyDescent="0.35">
      <c r="A54" s="21" t="s">
        <v>744</v>
      </c>
      <c r="B54" s="22">
        <f>COUNTIF(Tabla_Proyectos[Tipo de tecnología],"*Modelo*")</f>
        <v>0</v>
      </c>
      <c r="C54" s="23">
        <f>IFERROR(B54/COUNTA(Tabla_Proyectos[Nombre del proyecto]),0)</f>
        <v>0</v>
      </c>
    </row>
    <row r="55" spans="1:3" ht="18" customHeight="1" x14ac:dyDescent="0.35">
      <c r="A55" s="24" t="s">
        <v>208</v>
      </c>
      <c r="B55" s="25">
        <f>COUNTIF(Tabla_Proyectos[Tipo de tecnología],"*Software*")</f>
        <v>1</v>
      </c>
      <c r="C55" s="26">
        <f>IFERROR(B55/COUNTA(Tabla_Proyectos[Nombre del proyecto]),0)</f>
        <v>7.575757575757576E-3</v>
      </c>
    </row>
    <row r="56" spans="1:3" ht="18" customHeight="1" x14ac:dyDescent="0.35">
      <c r="A56" s="21" t="s">
        <v>745</v>
      </c>
      <c r="B56" s="22">
        <f>COUNTIF(Tabla_Proyectos[Tipo de tecnología],"*Servicio*")</f>
        <v>0</v>
      </c>
      <c r="C56" s="23">
        <f>IFERROR(B56/COUNTA(Tabla_Proyectos[Nombre del proyecto]),0)</f>
        <v>0</v>
      </c>
    </row>
    <row r="57" spans="1:3" ht="18" customHeight="1" x14ac:dyDescent="0.35">
      <c r="A57" s="24" t="s">
        <v>156</v>
      </c>
      <c r="B57" s="25">
        <f>COUNTIF(Tabla_Proyectos[Tipo de tecnología],"*Otro*")</f>
        <v>0</v>
      </c>
      <c r="C57" s="26">
        <f>IFERROR(B57/COUNTA(Tabla_Proyectos[Nombre del proyecto]),0)</f>
        <v>0</v>
      </c>
    </row>
  </sheetData>
  <mergeCells count="6">
    <mergeCell ref="A1:F1"/>
    <mergeCell ref="A50:C50"/>
    <mergeCell ref="A2:F2"/>
    <mergeCell ref="E4:F4"/>
    <mergeCell ref="A41:C41"/>
    <mergeCell ref="A4:D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D58"/>
  <sheetViews>
    <sheetView workbookViewId="0">
      <pane ySplit="4" topLeftCell="A5" activePane="bottomLeft" state="frozen"/>
      <selection pane="bottomLeft"/>
    </sheetView>
  </sheetViews>
  <sheetFormatPr baseColWidth="10" defaultColWidth="8.6640625" defaultRowHeight="14.5" x14ac:dyDescent="0.35"/>
  <cols>
    <col min="1" max="1" width="30" customWidth="1"/>
    <col min="2" max="2" width="28" customWidth="1"/>
    <col min="3" max="3" width="4" customWidth="1"/>
    <col min="4" max="4" width="28" customWidth="1"/>
  </cols>
  <sheetData>
    <row r="1" spans="1:4" ht="30.05" customHeight="1" x14ac:dyDescent="0.35">
      <c r="A1" s="66" t="s">
        <v>746</v>
      </c>
      <c r="B1" s="53"/>
      <c r="C1" s="53"/>
      <c r="D1" s="54"/>
    </row>
    <row r="2" spans="1:4" ht="32.049999999999997" customHeight="1" x14ac:dyDescent="0.35">
      <c r="A2" s="59" t="s">
        <v>747</v>
      </c>
      <c r="B2" s="60"/>
      <c r="C2" s="60"/>
      <c r="D2" s="60"/>
    </row>
    <row r="3" spans="1:4" ht="18" customHeight="1" x14ac:dyDescent="0.35">
      <c r="A3" s="41" t="s">
        <v>748</v>
      </c>
      <c r="C3" s="42">
        <f>COUNTA(Tabla_Proyectos[Nombre del proyecto])</f>
        <v>132</v>
      </c>
    </row>
    <row r="4" spans="1:4" ht="24" customHeight="1" x14ac:dyDescent="0.35">
      <c r="A4" s="69" t="s">
        <v>749</v>
      </c>
      <c r="B4" s="60"/>
      <c r="C4" s="35">
        <v>1</v>
      </c>
      <c r="D4" s="6" t="s">
        <v>750</v>
      </c>
    </row>
    <row r="6" spans="1:4" ht="20" customHeight="1" x14ac:dyDescent="0.35">
      <c r="A6" s="68" t="s">
        <v>751</v>
      </c>
      <c r="B6" s="53"/>
      <c r="C6" s="53"/>
      <c r="D6" s="54"/>
    </row>
    <row r="7" spans="1:4" ht="30.05" customHeight="1" x14ac:dyDescent="0.35">
      <c r="A7" s="36" t="s">
        <v>1</v>
      </c>
      <c r="B7" s="57" t="str">
        <f>IFERROR(IF(INDEX(Tabla_Proyectos[Sistema productivo],$C$4)="","(sin dato)",INDEX(Tabla_Proyectos[Sistema productivo],$C$4)),"(sin dato)")</f>
        <v>Aguacate Hass</v>
      </c>
      <c r="C7" s="58"/>
      <c r="D7" s="56"/>
    </row>
    <row r="8" spans="1:4" ht="30.05" customHeight="1" x14ac:dyDescent="0.35">
      <c r="A8" s="36" t="s">
        <v>0</v>
      </c>
      <c r="B8" s="57" t="str">
        <f>IFERROR(IF(INDEX(Tabla_Proyectos[Programa estratégico],$C$4)="","(sin dato)",INDEX(Tabla_Proyectos[Programa estratégico],$C$4)),"(sin dato)")</f>
        <v>Bioeconomía: Prácticas de agricultura sostenible</v>
      </c>
      <c r="C8" s="58"/>
      <c r="D8" s="56"/>
    </row>
    <row r="9" spans="1:4" ht="30.05" customHeight="1" x14ac:dyDescent="0.35">
      <c r="A9" s="36" t="s">
        <v>2</v>
      </c>
      <c r="B9" s="57" t="str">
        <f>IFERROR(IF(INDEX(Tabla_Proyectos[Área temática],$C$4)="","(sin dato)",INDEX(Tabla_Proyectos[Área temática],$C$4)),"(sin dato)")</f>
        <v>Fisiología vegetal y nutrición</v>
      </c>
      <c r="C9" s="58"/>
      <c r="D9" s="56"/>
    </row>
    <row r="10" spans="1:4" ht="30.05" customHeight="1" x14ac:dyDescent="0.35">
      <c r="A10" s="36" t="s">
        <v>3</v>
      </c>
      <c r="B10" s="57" t="str">
        <f>IFERROR(IF(INDEX(Tabla_Proyectos[Nombre del proyecto],$C$4)="","(sin dato)",INDEX(Tabla_Proyectos[Nombre del proyecto],$C$4)),"(sin dato)")</f>
        <v xml:space="preserve">Convenio 1790. Manejo integrado del cultivo </v>
      </c>
      <c r="C10" s="58"/>
      <c r="D10" s="56"/>
    </row>
    <row r="11" spans="1:4" ht="30.05" customHeight="1" x14ac:dyDescent="0.35">
      <c r="A11" s="36" t="s">
        <v>4</v>
      </c>
      <c r="B11" s="57" t="str">
        <f>IFERROR(IF(INDEX(Tabla_Proyectos[Investigador líder],$C$4)="","(sin dato)",INDEX(Tabla_Proyectos[Investigador líder],$C$4)),"(sin dato)")</f>
        <v>Alexander Rebolledo Roa</v>
      </c>
      <c r="C11" s="58"/>
      <c r="D11" s="56"/>
    </row>
    <row r="12" spans="1:4" ht="30.05" customHeight="1" x14ac:dyDescent="0.35">
      <c r="A12" s="36" t="s">
        <v>5</v>
      </c>
      <c r="B12" s="57" t="str">
        <f>IFERROR(IF(INDEX(Tabla_Proyectos[Rol CI Palmira],$C$4)="","(sin dato)",INDEX(Tabla_Proyectos[Rol CI Palmira],$C$4)),"(sin dato)")</f>
        <v>Ejecutor</v>
      </c>
      <c r="C12" s="58"/>
      <c r="D12" s="56"/>
    </row>
    <row r="13" spans="1:4" ht="30.05" customHeight="1" x14ac:dyDescent="0.35">
      <c r="A13" s="36" t="s">
        <v>6</v>
      </c>
      <c r="B13" s="57" t="str">
        <f>IFERROR(IF(INDEX(Tabla_Proyectos[Institución ejecutora],$C$4)="","(sin dato)",INDEX(Tabla_Proyectos[Institución ejecutora],$C$4)),"(sin dato)")</f>
        <v>AGROSAVIA</v>
      </c>
      <c r="C13" s="58"/>
      <c r="D13" s="56"/>
    </row>
    <row r="14" spans="1:4" ht="30.05" customHeight="1" x14ac:dyDescent="0.35">
      <c r="A14" s="36" t="s">
        <v>40</v>
      </c>
      <c r="B14" s="57" t="str">
        <f>IFERROR(IF(INDEX(Tabla_Proyectos[Estado del proyecto],$C$4)="","(sin dato)",INDEX(Tabla_Proyectos[Estado del proyecto],$C$4)),"(sin dato)")</f>
        <v>Finalizado</v>
      </c>
      <c r="C14" s="58"/>
      <c r="D14" s="56"/>
    </row>
    <row r="15" spans="1:4" ht="30.05" customHeight="1" x14ac:dyDescent="0.35">
      <c r="A15" s="36" t="s">
        <v>38</v>
      </c>
      <c r="B15" s="57">
        <f>IFERROR(IF(INDEX(Tabla_Proyectos[Año inicio],$C$4)="","(sin dato)",INDEX(Tabla_Proyectos[Año inicio],$C$4)),"(sin dato)")</f>
        <v>2013</v>
      </c>
      <c r="C15" s="58"/>
      <c r="D15" s="56"/>
    </row>
    <row r="16" spans="1:4" ht="30.05" customHeight="1" x14ac:dyDescent="0.35">
      <c r="A16" s="36" t="s">
        <v>39</v>
      </c>
      <c r="B16" s="57">
        <f>IFERROR(IF(INDEX(Tabla_Proyectos[Año final],$C$4)="","(sin dato)",INDEX(Tabla_Proyectos[Año final],$C$4)),"(sin dato)")</f>
        <v>2016</v>
      </c>
      <c r="C16" s="58"/>
      <c r="D16" s="56"/>
    </row>
    <row r="17" spans="1:4" ht="30.05" customHeight="1" x14ac:dyDescent="0.35">
      <c r="A17" s="36" t="s">
        <v>36</v>
      </c>
      <c r="B17" s="57" t="str">
        <f>IFERROR(IF(INDEX(Tabla_Proyectos[Financiador],$C$4)="","(sin dato)",INDEX(Tabla_Proyectos[Financiador],$C$4)),"(sin dato)")</f>
        <v>Colciencias</v>
      </c>
      <c r="C17" s="58"/>
      <c r="D17" s="56"/>
    </row>
    <row r="18" spans="1:4" ht="30.05" customHeight="1" x14ac:dyDescent="0.35">
      <c r="A18" s="36" t="s">
        <v>37</v>
      </c>
      <c r="B18" s="57">
        <f>IFERROR(IF(INDEX(Tabla_Proyectos[Monto del proyecto],$C$4)="","(sin dato)",INDEX(Tabla_Proyectos[Monto del proyecto],$C$4)),"(sin dato)")</f>
        <v>3000000000</v>
      </c>
      <c r="C18" s="58"/>
      <c r="D18" s="56"/>
    </row>
    <row r="19" spans="1:4" ht="20" customHeight="1" x14ac:dyDescent="0.35">
      <c r="A19" s="67" t="s">
        <v>752</v>
      </c>
      <c r="B19" s="63"/>
      <c r="C19" s="63"/>
      <c r="D19" s="64"/>
    </row>
    <row r="20" spans="1:4" ht="30.05" customHeight="1" x14ac:dyDescent="0.35">
      <c r="A20" s="36" t="s">
        <v>9</v>
      </c>
      <c r="B20" s="57" t="str">
        <f>IFERROR(IF(INDEX(Tabla_Proyectos[Problema abordado],$C$4)="","(sin dato)",INDEX(Tabla_Proyectos[Problema abordado],$C$4)),"(sin dato)")</f>
        <v>Desconocimiento de factores hídricos y nutricionales asociados a productividad del cultivo (Abscisión, cuajado, rendimiento y calidad de fruto)</v>
      </c>
      <c r="C20" s="58"/>
      <c r="D20" s="56"/>
    </row>
    <row r="21" spans="1:4" ht="30.05" customHeight="1" x14ac:dyDescent="0.35">
      <c r="A21" s="36" t="s">
        <v>10</v>
      </c>
      <c r="B21" s="57" t="str">
        <f>IFERROR(IF(INDEX(Tabla_Proyectos[Objetivo del proyecto],$C$4)="","(sin dato)",INDEX(Tabla_Proyectos[Objetivo del proyecto],$C$4)),"(sin dato)")</f>
        <v>Optimizar la floración y productividad del aguacate Hass mediante manejo hídrico y nutricional.</v>
      </c>
      <c r="C21" s="58"/>
      <c r="D21" s="56"/>
    </row>
    <row r="22" spans="1:4" ht="30.05" customHeight="1" x14ac:dyDescent="0.35">
      <c r="A22" s="36" t="s">
        <v>11</v>
      </c>
      <c r="B22" s="57" t="str">
        <f>IFERROR(IF(INDEX(Tabla_Proyectos[Justificación estratégica],$C$4)="","(sin dato)",INDEX(Tabla_Proyectos[Justificación estratégica],$C$4)),"(sin dato)")</f>
        <v>Los bajos rendimientos del aguacate combinado con la proyección de nuevas zonas de siembra para incrementar la participación en el mercado internacional, requieren del desarrollo de tecnologías que conduzcan a un incremento en la productividad.</v>
      </c>
      <c r="C22" s="58"/>
      <c r="D22" s="56"/>
    </row>
    <row r="23" spans="1:4" ht="30.05" customHeight="1" x14ac:dyDescent="0.35">
      <c r="A23" s="36" t="s">
        <v>12</v>
      </c>
      <c r="B23" s="57" t="str">
        <f>IFERROR(IF(INDEX(Tabla_Proyectos[Política pública asociada],$C$4)="","(sin dato)",INDEX(Tabla_Proyectos[Política pública asociada],$C$4)),"(sin dato)")</f>
        <v>CONPES 3582 DEL 25 DE ABRIL DE 2009 "Política Nacional de Ciencia, Tecnología e Innovación"</v>
      </c>
      <c r="C23" s="58"/>
      <c r="D23" s="56"/>
    </row>
    <row r="24" spans="1:4" ht="30.05" customHeight="1" x14ac:dyDescent="0.35">
      <c r="A24" s="36" t="s">
        <v>753</v>
      </c>
      <c r="B24" s="57" t="str">
        <f>IFERROR(IF(INDEX(Tabla_Proyectos[Área potenciales de adopción],$C$4)="","(sin dato)",INDEX(Tabla_Proyectos[Área potenciales de adopción],$C$4)),"(sin dato)")</f>
        <v xml:space="preserve">Zonas productoras de aguacate Hass a nivel nacional </v>
      </c>
      <c r="C24" s="58"/>
      <c r="D24" s="56"/>
    </row>
    <row r="25" spans="1:4" ht="20" customHeight="1" x14ac:dyDescent="0.35">
      <c r="A25" s="67" t="s">
        <v>754</v>
      </c>
      <c r="B25" s="63"/>
      <c r="C25" s="63"/>
      <c r="D25" s="64"/>
    </row>
    <row r="26" spans="1:4" ht="30.05" customHeight="1" x14ac:dyDescent="0.35">
      <c r="A26" s="36" t="s">
        <v>755</v>
      </c>
      <c r="B26" s="57" t="str">
        <f>IFERROR(IF(INDEX(Tabla_Proyectos[Tipo de intervención (I+D+i, Canales OT, Fortalecimiento)],$C$4)="","(sin dato)",INDEX(Tabla_Proyectos[Tipo de intervención (I+D+i, Canales OT, Fortalecimiento)],$C$4)),"(sin dato)")</f>
        <v>Investigación</v>
      </c>
      <c r="C26" s="58"/>
      <c r="D26" s="56"/>
    </row>
    <row r="27" spans="1:4" ht="30.05" customHeight="1" x14ac:dyDescent="0.35">
      <c r="A27" s="36" t="s">
        <v>13</v>
      </c>
      <c r="B27" s="57" t="str">
        <f>IFERROR(IF(INDEX(Tabla_Proyectos[Metodología principal],$C$4)="","(sin dato)",INDEX(Tabla_Proyectos[Metodología principal],$C$4)),"(sin dato)")</f>
        <v>Nutrición. metodología
del índice de balance de nutrientes (ibn) Kenworthy .
Riego. cálculo de la ETo por el método de la FAO-Penman Monteith (Allen et al., 2006) y el cálculo de la lámina de riego con base en el balance hídrico.</v>
      </c>
      <c r="C27" s="58"/>
      <c r="D27" s="56"/>
    </row>
    <row r="28" spans="1:4" ht="30.05" customHeight="1" x14ac:dyDescent="0.35">
      <c r="A28" s="36" t="s">
        <v>14</v>
      </c>
      <c r="B28" s="57" t="str">
        <f>IFERROR(IF(INDEX(Tabla_Proyectos[Variables evaluadas],$C$4)="","(sin dato)",INDEX(Tabla_Proyectos[Variables evaluadas],$C$4)),"(sin dato)")</f>
        <v>1. Abscisión
2. Crecimiento del fruto (MS, diámetro, Peso).
3. Estados fenológicos
4. Variables climáticas
5. Contenido nutrientes del suelo
6. Contenido mineral del fruto</v>
      </c>
      <c r="C28" s="58"/>
      <c r="D28" s="56"/>
    </row>
    <row r="29" spans="1:4" ht="30.05" customHeight="1" x14ac:dyDescent="0.35">
      <c r="A29" s="36" t="s">
        <v>16</v>
      </c>
      <c r="B29" s="57" t="str">
        <f>IFERROR(IF(INDEX(Tabla_Proyectos[Resultados principales],$C$4)="","(sin dato)",INDEX(Tabla_Proyectos[Resultados principales],$C$4)),"(sin dato)")</f>
        <v>1. Caracterización de la fenología floral (140 días a antesis), 
2. Abscisión global. 99,85 % (276.455 flores)
3. Cuajado. 0,15 % 
4. Incremento en rendimiento con manejo de IBN + riego. de 7,5 a 14 t/ha y la producción por planta de 61 a 98 kg.</v>
      </c>
      <c r="C29" s="58"/>
      <c r="D29" s="56"/>
    </row>
    <row r="30" spans="1:4" ht="30.05" customHeight="1" x14ac:dyDescent="0.35">
      <c r="A30" s="36" t="s">
        <v>17</v>
      </c>
      <c r="B30" s="57" t="str">
        <f>IFERROR(IF(INDEX(Tabla_Proyectos[Productos generados],$C$4)="","(sin dato)",INDEX(Tabla_Proyectos[Productos generados],$C$4)),"(sin dato)")</f>
        <v>1. Protocolo aplicación láminas de riego Antioquia, Tolima, Cauca (Fase 1. Palmira)
2. Protocolo para manejo de la fertilización  (Antioquia, Tolima, Cauca) (Fase 1).</v>
      </c>
      <c r="C30" s="58"/>
      <c r="D30" s="56"/>
    </row>
    <row r="31" spans="1:4" ht="30.05" customHeight="1" x14ac:dyDescent="0.35">
      <c r="A31" s="36" t="s">
        <v>18</v>
      </c>
      <c r="B31" s="57" t="str">
        <f>IFERROR(IF(INDEX(Tabla_Proyectos[Publicaciones],$C$4)="","(sin dato)",INDEX(Tabla_Proyectos[Publicaciones],$C$4)),"(sin dato)")</f>
        <v>Artículo científico. Pattern of flower and fruit abscision and fruit growth of hass avocado under tropical conditions
chrome-extension://efaidnbmnnnibpcajpcglclefindmkaj/
https://www.cropj.com/Roa_18_09_2024_547_554.pdf
Libros.
1. Criterios para la definición de planes de fertilización en el cultivo de aguacate Hass con un enfoque tecnificado https://doi.org/10.21930/agrosavia.manual.7402384
2. Requerimientos hídricos del cultivo de aguacate (Persea americana) variedad Hass en zonas productoras de Colombia https://doi.org/10.21930/agrosavia.manual.7402322</v>
      </c>
      <c r="C31" s="58"/>
      <c r="D31" s="56"/>
    </row>
    <row r="32" spans="1:4" ht="20" customHeight="1" x14ac:dyDescent="0.35">
      <c r="A32" s="67" t="s">
        <v>756</v>
      </c>
      <c r="B32" s="63"/>
      <c r="C32" s="63"/>
      <c r="D32" s="64"/>
    </row>
    <row r="33" spans="1:4" ht="30.05" customHeight="1" x14ac:dyDescent="0.35">
      <c r="A33" s="36" t="s">
        <v>19</v>
      </c>
      <c r="B33" s="57" t="str">
        <f>IFERROR(IF(INDEX(Tabla_Proyectos[Oferta tecnológica],$C$4)="","(sin dato)",INDEX(Tabla_Proyectos[Oferta tecnológica],$C$4)),"(sin dato)")</f>
        <v>(sin dato)</v>
      </c>
      <c r="C33" s="58"/>
      <c r="D33" s="56"/>
    </row>
    <row r="34" spans="1:4" ht="30.05" customHeight="1" x14ac:dyDescent="0.35">
      <c r="A34" s="36" t="s">
        <v>20</v>
      </c>
      <c r="B34" s="57" t="str">
        <f>IFERROR(IF(INDEX(Tabla_Proyectos[Tipo de tecnología],$C$4)="","(sin dato)",INDEX(Tabla_Proyectos[Tipo de tecnología],$C$4)),"(sin dato)")</f>
        <v xml:space="preserve">Resultado de investigación </v>
      </c>
      <c r="C34" s="58"/>
      <c r="D34" s="56"/>
    </row>
    <row r="35" spans="1:4" ht="30.05" customHeight="1" x14ac:dyDescent="0.35">
      <c r="A35" s="36" t="s">
        <v>21</v>
      </c>
      <c r="B35" s="57">
        <f>IFERROR(IF(INDEX(Tabla_Proyectos[TRL inicial],$C$4)="","(sin dato)",INDEX(Tabla_Proyectos[TRL inicial],$C$4)),"(sin dato)")</f>
        <v>46115</v>
      </c>
      <c r="C35" s="58"/>
      <c r="D35" s="56"/>
    </row>
    <row r="36" spans="1:4" ht="30.05" customHeight="1" x14ac:dyDescent="0.35">
      <c r="A36" s="36" t="s">
        <v>22</v>
      </c>
      <c r="B36" s="57" t="str">
        <f>IFERROR(IF(INDEX(Tabla_Proyectos[TRL final],$C$4)="","(sin dato)",INDEX(Tabla_Proyectos[TRL final],$C$4)),"(sin dato)")</f>
        <v>No definido</v>
      </c>
      <c r="C36" s="58"/>
      <c r="D36" s="56"/>
    </row>
    <row r="37" spans="1:4" ht="30.05" customHeight="1" x14ac:dyDescent="0.35">
      <c r="A37" s="36" t="s">
        <v>23</v>
      </c>
      <c r="B37" s="57" t="str">
        <f>IFERROR(IF(INDEX(Tabla_Proyectos[Estado tecnológico],$C$4)="","(sin dato)",INDEX(Tabla_Proyectos[Estado tecnológico],$C$4)),"(sin dato)")</f>
        <v>Investigación</v>
      </c>
      <c r="C37" s="58"/>
      <c r="D37" s="56"/>
    </row>
    <row r="38" spans="1:4" ht="30.05" customHeight="1" x14ac:dyDescent="0.35">
      <c r="A38" s="36" t="s">
        <v>34</v>
      </c>
      <c r="B38" s="57" t="str">
        <f>IFERROR(IF(INDEX(Tabla_Proyectos[Activos generados],$C$4)="","(sin dato)",INDEX(Tabla_Proyectos[Activos generados],$C$4)),"(sin dato)")</f>
        <v>NA</v>
      </c>
      <c r="C38" s="58"/>
      <c r="D38" s="56"/>
    </row>
    <row r="39" spans="1:4" ht="30.05" customHeight="1" x14ac:dyDescent="0.35">
      <c r="A39" s="36" t="s">
        <v>35</v>
      </c>
      <c r="B39" s="57" t="str">
        <f>IFERROR(IF(INDEX(Tabla_Proyectos[Estado propiedad intelectual],$C$4)="","(sin dato)",INDEX(Tabla_Proyectos[Estado propiedad intelectual],$C$4)),"(sin dato)")</f>
        <v>NA</v>
      </c>
      <c r="C39" s="58"/>
      <c r="D39" s="56"/>
    </row>
    <row r="40" spans="1:4" ht="20" customHeight="1" x14ac:dyDescent="0.35">
      <c r="A40" s="67" t="s">
        <v>757</v>
      </c>
      <c r="B40" s="63"/>
      <c r="C40" s="63"/>
      <c r="D40" s="64"/>
    </row>
    <row r="41" spans="1:4" ht="30.05" customHeight="1" x14ac:dyDescent="0.35">
      <c r="A41" s="36" t="s">
        <v>24</v>
      </c>
      <c r="B41" s="57" t="str">
        <f>IFERROR(IF(INDEX(Tabla_Proyectos[Impacto técnico],$C$4)="","(sin dato)",INDEX(Tabla_Proyectos[Impacto técnico],$C$4)),"(sin dato)")</f>
        <v>1. Disponibilidad de proocolos estandarizados para aplicación de nutrición y riego.
2. Incremento den rendimiento</v>
      </c>
      <c r="C41" s="58"/>
      <c r="D41" s="56"/>
    </row>
    <row r="42" spans="1:4" ht="30.05" customHeight="1" x14ac:dyDescent="0.35">
      <c r="A42" s="36" t="s">
        <v>25</v>
      </c>
      <c r="B42" s="57" t="str">
        <f>IFERROR(IF(INDEX(Tabla_Proyectos[Impacto económico],$C$4)="","(sin dato)",INDEX(Tabla_Proyectos[Impacto económico],$C$4)),"(sin dato)")</f>
        <v>ncremento de la productividad del cultivo (de 7,5 a 14 t/ha), mejorando la rentabilidad del sistema productivo de aguacate Hass.</v>
      </c>
      <c r="C42" s="58"/>
      <c r="D42" s="56"/>
    </row>
    <row r="43" spans="1:4" ht="30.05" customHeight="1" x14ac:dyDescent="0.35">
      <c r="A43" s="36" t="s">
        <v>26</v>
      </c>
      <c r="B43" s="57" t="str">
        <f>IFERROR(IF(INDEX(Tabla_Proyectos[Impacto social],$C$4)="","(sin dato)",INDEX(Tabla_Proyectos[Impacto social],$C$4)),"(sin dato)")</f>
        <v>Fortalecimiento de las capacidades de manejo productivo de los agricultores mediante prácticas de riego y nutrición más eficientes.</v>
      </c>
      <c r="C43" s="58"/>
      <c r="D43" s="56"/>
    </row>
    <row r="44" spans="1:4" ht="30.05" customHeight="1" x14ac:dyDescent="0.35">
      <c r="A44" s="36" t="s">
        <v>27</v>
      </c>
      <c r="B44" s="57" t="str">
        <f>IFERROR(IF(INDEX(Tabla_Proyectos[Impacto ambiental],$C$4)="","(sin dato)",INDEX(Tabla_Proyectos[Impacto ambiental],$C$4)),"(sin dato)")</f>
        <v>Uso más eficiente del agua y de los nutrientes mediante manejo hídrico y nutricional basado en criterios técnicos.</v>
      </c>
      <c r="C44" s="58"/>
      <c r="D44" s="56"/>
    </row>
    <row r="45" spans="1:4" ht="20" customHeight="1" x14ac:dyDescent="0.35">
      <c r="A45" s="67" t="s">
        <v>758</v>
      </c>
      <c r="B45" s="63"/>
      <c r="C45" s="63"/>
      <c r="D45" s="64"/>
    </row>
    <row r="46" spans="1:4" ht="30.05" customHeight="1" x14ac:dyDescent="0.35">
      <c r="A46" s="36" t="s">
        <v>28</v>
      </c>
      <c r="B46" s="57" t="str">
        <f>IFERROR(IF(INDEX(Tabla_Proyectos[Departamentos],$C$4)="","(sin dato)",INDEX(Tabla_Proyectos[Departamentos],$C$4)),"(sin dato)")</f>
        <v>Antioquia, Tolima, Cauca</v>
      </c>
      <c r="C46" s="58"/>
      <c r="D46" s="56"/>
    </row>
    <row r="47" spans="1:4" ht="30.05" customHeight="1" x14ac:dyDescent="0.35">
      <c r="A47" s="36" t="s">
        <v>29</v>
      </c>
      <c r="B47" s="57" t="str">
        <f>IFERROR(IF(INDEX(Tabla_Proyectos[Municipios],$C$4)="","(sin dato)",INDEX(Tabla_Proyectos[Municipios],$C$4)),"(sin dato)")</f>
        <v>Rionegro, Herveo, Morales</v>
      </c>
      <c r="C47" s="58"/>
      <c r="D47" s="56"/>
    </row>
    <row r="48" spans="1:4" ht="30.05" customHeight="1" x14ac:dyDescent="0.35">
      <c r="A48" s="36" t="s">
        <v>30</v>
      </c>
      <c r="B48" s="57" t="str">
        <f>IFERROR(IF(INDEX(Tabla_Proyectos[Tipo de beneficiarios],$C$4)="","(sin dato)",INDEX(Tabla_Proyectos[Tipo de beneficiarios],$C$4)),"(sin dato)")</f>
        <v>Asociación de productores</v>
      </c>
      <c r="C48" s="58"/>
      <c r="D48" s="56"/>
    </row>
    <row r="49" spans="1:4" ht="30.05" customHeight="1" x14ac:dyDescent="0.35">
      <c r="A49" s="36" t="s">
        <v>31</v>
      </c>
      <c r="B49" s="57" t="str">
        <f>IFERROR(IF(INDEX(Tabla_Proyectos[Beneficiarios directos],$C$4)="","(sin dato)",INDEX(Tabla_Proyectos[Beneficiarios directos],$C$4)),"(sin dato)")</f>
        <v>Asociación de Productores de Frutas y Hortalizas de Herveo (ASFRUHER)
Asociación de Productores de Aguacate de El Retiro (APROARE)</v>
      </c>
      <c r="C49" s="58"/>
      <c r="D49" s="56"/>
    </row>
    <row r="50" spans="1:4" ht="30.05" customHeight="1" x14ac:dyDescent="0.35">
      <c r="A50" s="36" t="s">
        <v>32</v>
      </c>
      <c r="B50" s="57" t="str">
        <f>IFERROR(IF(INDEX(Tabla_Proyectos[Beneficiarios indirectos],$C$4)="","(sin dato)",INDEX(Tabla_Proyectos[Beneficiarios indirectos],$C$4)),"(sin dato)")</f>
        <v>Productores de aguacate Hass de Herveo (Tolima) y El Retiro (Antioquia), técnicos y otros productores de las zonas productoras de aguacate en Colombia.</v>
      </c>
      <c r="C50" s="58"/>
      <c r="D50" s="56"/>
    </row>
    <row r="51" spans="1:4" ht="30.05" customHeight="1" x14ac:dyDescent="0.35">
      <c r="A51" s="36" t="s">
        <v>33</v>
      </c>
      <c r="B51" s="57" t="str">
        <f>IFERROR(IF(INDEX(Tabla_Proyectos[Área potenciales de adopción],$C$4)="","(sin dato)",INDEX(Tabla_Proyectos[Área potenciales de adopción],$C$4)),"(sin dato)")</f>
        <v xml:space="preserve">Zonas productoras de aguacate Hass a nivel nacional </v>
      </c>
      <c r="C51" s="58"/>
      <c r="D51" s="56"/>
    </row>
    <row r="52" spans="1:4" ht="20" customHeight="1" x14ac:dyDescent="0.35">
      <c r="A52" s="67" t="s">
        <v>759</v>
      </c>
      <c r="B52" s="63"/>
      <c r="C52" s="63"/>
      <c r="D52" s="64"/>
    </row>
    <row r="53" spans="1:4" ht="30.05" customHeight="1" x14ac:dyDescent="0.35">
      <c r="A53" s="36" t="s">
        <v>7</v>
      </c>
      <c r="B53" s="57" t="str">
        <f>IFERROR(IF(INDEX(Tabla_Proyectos[Aliados estratégicos],$C$4)="","(sin dato)",INDEX(Tabla_Proyectos[Aliados estratégicos],$C$4)),"(sin dato)")</f>
        <v>1. Colciencias
2. Aproare
3. Asfruher</v>
      </c>
      <c r="C53" s="58"/>
      <c r="D53" s="56"/>
    </row>
    <row r="54" spans="1:4" ht="30.05" customHeight="1" x14ac:dyDescent="0.35">
      <c r="A54" s="36" t="s">
        <v>8</v>
      </c>
      <c r="B54" s="57" t="str">
        <f>IFERROR(IF(INDEX(Tabla_Proyectos[Rol del aliado],$C$4)="","(sin dato)",INDEX(Tabla_Proyectos[Rol del aliado],$C$4)),"(sin dato)")</f>
        <v>1. Financiador
2 y 3. Vertice sociedad civil organizada</v>
      </c>
      <c r="C54" s="58"/>
      <c r="D54" s="56"/>
    </row>
    <row r="55" spans="1:4" ht="20" customHeight="1" x14ac:dyDescent="0.35">
      <c r="A55" s="67" t="s">
        <v>760</v>
      </c>
      <c r="B55" s="63"/>
      <c r="C55" s="63"/>
      <c r="D55" s="64"/>
    </row>
    <row r="56" spans="1:4" ht="30.05" customHeight="1" x14ac:dyDescent="0.35">
      <c r="A56" s="36" t="s">
        <v>761</v>
      </c>
      <c r="B56" s="57" t="str">
        <f>IFERROR(IF(INDEX(Tabla_Proyectos[Capacidad_emergente],$C$4)="","(sin dato)",INDEX(Tabla_Proyectos[Capacidad_emergente],$C$4)),"(sin dato)")</f>
        <v>Indicadores de sostenibilidad ambiental</v>
      </c>
      <c r="C56" s="58"/>
      <c r="D56" s="56"/>
    </row>
    <row r="57" spans="1:4" ht="30.05" customHeight="1" x14ac:dyDescent="0.35">
      <c r="A57" s="36" t="s">
        <v>762</v>
      </c>
      <c r="B57" s="57" t="str">
        <f>IFERROR(IF(INDEX(Tabla_Proyectos[Capacidad_consolidada],$C$4)="","(sin dato)",INDEX(Tabla_Proyectos[Capacidad_consolidada],$C$4)),"(sin dato)")</f>
        <v>(sin dato)</v>
      </c>
      <c r="C57" s="58"/>
      <c r="D57" s="56"/>
    </row>
    <row r="58" spans="1:4" ht="30.05" customHeight="1" x14ac:dyDescent="0.35">
      <c r="A58" s="36" t="s">
        <v>763</v>
      </c>
      <c r="B58" s="57" t="str">
        <f>IFERROR(IF(INDEX(Tabla_Proyectos[Capacidad_distintiva],$C$4)="","(sin dato)",INDEX(Tabla_Proyectos[Capacidad_distintiva],$C$4)),"(sin dato)")</f>
        <v>(sin dato)</v>
      </c>
      <c r="C58" s="58"/>
      <c r="D58" s="56"/>
    </row>
  </sheetData>
  <mergeCells count="56">
    <mergeCell ref="B9:D9"/>
    <mergeCell ref="B30:D30"/>
    <mergeCell ref="B11:D11"/>
    <mergeCell ref="B42:D42"/>
    <mergeCell ref="B14:D14"/>
    <mergeCell ref="B23:D23"/>
    <mergeCell ref="B15:D15"/>
    <mergeCell ref="B24:D24"/>
    <mergeCell ref="B20:D20"/>
    <mergeCell ref="B33:D33"/>
    <mergeCell ref="B10:D10"/>
    <mergeCell ref="B28:D28"/>
    <mergeCell ref="A40:D40"/>
    <mergeCell ref="B37:D37"/>
    <mergeCell ref="B49:D49"/>
    <mergeCell ref="B47:D47"/>
    <mergeCell ref="B46:D46"/>
    <mergeCell ref="B17:D17"/>
    <mergeCell ref="A52:D52"/>
    <mergeCell ref="B13:D13"/>
    <mergeCell ref="B44:D44"/>
    <mergeCell ref="A19:D19"/>
    <mergeCell ref="B29:D29"/>
    <mergeCell ref="B38:D38"/>
    <mergeCell ref="B34:D34"/>
    <mergeCell ref="B51:D51"/>
    <mergeCell ref="B50:D50"/>
    <mergeCell ref="A1:D1"/>
    <mergeCell ref="A45:D45"/>
    <mergeCell ref="B36:D36"/>
    <mergeCell ref="A6:D6"/>
    <mergeCell ref="B41:D41"/>
    <mergeCell ref="B35:D35"/>
    <mergeCell ref="B26:D26"/>
    <mergeCell ref="A25:D25"/>
    <mergeCell ref="B7:D7"/>
    <mergeCell ref="B16:D16"/>
    <mergeCell ref="A4:B4"/>
    <mergeCell ref="B31:D31"/>
    <mergeCell ref="B22:D22"/>
    <mergeCell ref="A2:D2"/>
    <mergeCell ref="B12:D12"/>
    <mergeCell ref="B8:D8"/>
    <mergeCell ref="B56:D56"/>
    <mergeCell ref="B18:D18"/>
    <mergeCell ref="B27:D27"/>
    <mergeCell ref="B58:D58"/>
    <mergeCell ref="B21:D21"/>
    <mergeCell ref="B43:D43"/>
    <mergeCell ref="B39:D39"/>
    <mergeCell ref="A32:D32"/>
    <mergeCell ref="B48:D48"/>
    <mergeCell ref="B57:D57"/>
    <mergeCell ref="B53:D53"/>
    <mergeCell ref="B54:D54"/>
    <mergeCell ref="A55:D5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75623"/>
  </sheetPr>
  <dimension ref="A1:Q1128"/>
  <sheetViews>
    <sheetView workbookViewId="0">
      <selection activeCell="I8" sqref="I8"/>
    </sheetView>
  </sheetViews>
  <sheetFormatPr baseColWidth="10" defaultColWidth="8.6640625" defaultRowHeight="14.5" x14ac:dyDescent="0.35"/>
  <sheetData>
    <row r="1" spans="1:17" ht="45.25" customHeight="1" x14ac:dyDescent="0.35">
      <c r="A1" s="1" t="s">
        <v>764</v>
      </c>
      <c r="B1" s="1" t="s">
        <v>765</v>
      </c>
      <c r="C1" s="1" t="s">
        <v>766</v>
      </c>
      <c r="D1" s="1" t="s">
        <v>3</v>
      </c>
      <c r="E1" s="1" t="s">
        <v>767</v>
      </c>
      <c r="F1" s="1" t="s">
        <v>5</v>
      </c>
      <c r="G1" s="1" t="s">
        <v>768</v>
      </c>
      <c r="H1" s="1" t="s">
        <v>769</v>
      </c>
      <c r="I1" s="1" t="s">
        <v>770</v>
      </c>
      <c r="J1" s="1" t="s">
        <v>769</v>
      </c>
      <c r="K1" s="1" t="s">
        <v>771</v>
      </c>
      <c r="L1" s="1" t="s">
        <v>564</v>
      </c>
      <c r="M1" s="1" t="s">
        <v>772</v>
      </c>
      <c r="N1" s="1" t="s">
        <v>773</v>
      </c>
      <c r="O1" s="1" t="s">
        <v>774</v>
      </c>
      <c r="P1" s="1" t="s">
        <v>775</v>
      </c>
      <c r="Q1" s="43" t="s">
        <v>776</v>
      </c>
    </row>
    <row r="2" spans="1:17" x14ac:dyDescent="0.35">
      <c r="A2" t="s">
        <v>45</v>
      </c>
      <c r="B2" t="s">
        <v>161</v>
      </c>
      <c r="C2" t="s">
        <v>77</v>
      </c>
      <c r="E2" t="s">
        <v>44</v>
      </c>
      <c r="F2" t="s">
        <v>111</v>
      </c>
      <c r="G2" t="s">
        <v>82</v>
      </c>
      <c r="I2" t="s">
        <v>777</v>
      </c>
      <c r="K2" t="s">
        <v>59</v>
      </c>
      <c r="L2" t="s">
        <v>569</v>
      </c>
      <c r="M2" t="s">
        <v>778</v>
      </c>
      <c r="P2" t="s">
        <v>71</v>
      </c>
      <c r="Q2" s="44" t="s">
        <v>441</v>
      </c>
    </row>
    <row r="3" spans="1:17" x14ac:dyDescent="0.35">
      <c r="A3" t="s">
        <v>342</v>
      </c>
      <c r="B3" t="s">
        <v>295</v>
      </c>
      <c r="C3" t="s">
        <v>109</v>
      </c>
      <c r="E3" t="s">
        <v>173</v>
      </c>
      <c r="F3" t="s">
        <v>698</v>
      </c>
      <c r="G3" t="s">
        <v>185</v>
      </c>
      <c r="I3" t="s">
        <v>779</v>
      </c>
      <c r="K3" t="s">
        <v>94</v>
      </c>
      <c r="L3" t="s">
        <v>570</v>
      </c>
      <c r="M3" t="s">
        <v>780</v>
      </c>
      <c r="P3" t="s">
        <v>391</v>
      </c>
      <c r="Q3" s="44" t="s">
        <v>442</v>
      </c>
    </row>
    <row r="4" spans="1:17" x14ac:dyDescent="0.35">
      <c r="A4" t="s">
        <v>183</v>
      </c>
      <c r="B4" t="s">
        <v>83</v>
      </c>
      <c r="C4" t="s">
        <v>708</v>
      </c>
      <c r="E4" t="s">
        <v>79</v>
      </c>
      <c r="F4" t="s">
        <v>699</v>
      </c>
      <c r="G4" t="s">
        <v>693</v>
      </c>
      <c r="I4" t="s">
        <v>781</v>
      </c>
      <c r="K4" t="s">
        <v>120</v>
      </c>
      <c r="L4" t="s">
        <v>571</v>
      </c>
      <c r="M4" t="s">
        <v>782</v>
      </c>
      <c r="P4" t="s">
        <v>574</v>
      </c>
      <c r="Q4" s="44" t="s">
        <v>443</v>
      </c>
    </row>
    <row r="5" spans="1:17" x14ac:dyDescent="0.35">
      <c r="A5" t="s">
        <v>387</v>
      </c>
      <c r="B5" t="s">
        <v>164</v>
      </c>
      <c r="C5" t="s">
        <v>783</v>
      </c>
      <c r="E5" t="s">
        <v>784</v>
      </c>
      <c r="G5" t="s">
        <v>695</v>
      </c>
      <c r="I5" t="s">
        <v>785</v>
      </c>
      <c r="L5" t="s">
        <v>572</v>
      </c>
      <c r="M5" t="s">
        <v>786</v>
      </c>
      <c r="P5" t="s">
        <v>413</v>
      </c>
      <c r="Q5" s="44" t="s">
        <v>444</v>
      </c>
    </row>
    <row r="6" spans="1:17" x14ac:dyDescent="0.35">
      <c r="A6" t="s">
        <v>398</v>
      </c>
      <c r="B6" t="s">
        <v>46</v>
      </c>
      <c r="E6" t="s">
        <v>358</v>
      </c>
      <c r="G6" t="s">
        <v>159</v>
      </c>
      <c r="I6" t="s">
        <v>787</v>
      </c>
      <c r="L6" t="s">
        <v>572</v>
      </c>
      <c r="M6" t="s">
        <v>788</v>
      </c>
      <c r="P6" t="s">
        <v>422</v>
      </c>
      <c r="Q6" s="44" t="s">
        <v>445</v>
      </c>
    </row>
    <row r="7" spans="1:17" x14ac:dyDescent="0.35">
      <c r="A7" t="s">
        <v>293</v>
      </c>
      <c r="B7" t="s">
        <v>193</v>
      </c>
      <c r="E7" t="s">
        <v>163</v>
      </c>
      <c r="G7" t="s">
        <v>789</v>
      </c>
      <c r="I7" t="s">
        <v>156</v>
      </c>
      <c r="L7" t="s">
        <v>573</v>
      </c>
      <c r="M7" t="s">
        <v>790</v>
      </c>
      <c r="P7" t="s">
        <v>156</v>
      </c>
      <c r="Q7" s="44" t="s">
        <v>446</v>
      </c>
    </row>
    <row r="8" spans="1:17" x14ac:dyDescent="0.35">
      <c r="A8" t="s">
        <v>318</v>
      </c>
      <c r="B8" t="s">
        <v>332</v>
      </c>
      <c r="E8" t="s">
        <v>84</v>
      </c>
      <c r="G8" t="s">
        <v>694</v>
      </c>
      <c r="I8" t="s">
        <v>377</v>
      </c>
      <c r="L8" t="s">
        <v>575</v>
      </c>
      <c r="M8" t="s">
        <v>791</v>
      </c>
      <c r="Q8" s="44" t="s">
        <v>448</v>
      </c>
    </row>
    <row r="9" spans="1:17" x14ac:dyDescent="0.35">
      <c r="A9" t="s">
        <v>322</v>
      </c>
      <c r="B9" t="s">
        <v>189</v>
      </c>
      <c r="E9" t="s">
        <v>415</v>
      </c>
      <c r="G9" t="s">
        <v>156</v>
      </c>
      <c r="L9" t="s">
        <v>576</v>
      </c>
      <c r="M9" t="s">
        <v>792</v>
      </c>
      <c r="Q9" s="44" t="s">
        <v>449</v>
      </c>
    </row>
    <row r="10" spans="1:17" x14ac:dyDescent="0.35">
      <c r="A10" t="s">
        <v>365</v>
      </c>
      <c r="B10" t="s">
        <v>614</v>
      </c>
      <c r="E10" t="s">
        <v>426</v>
      </c>
      <c r="G10" t="s">
        <v>377</v>
      </c>
      <c r="L10" t="s">
        <v>578</v>
      </c>
      <c r="M10" t="s">
        <v>793</v>
      </c>
      <c r="Q10" s="44" t="s">
        <v>450</v>
      </c>
    </row>
    <row r="11" spans="1:17" x14ac:dyDescent="0.35">
      <c r="A11" t="s">
        <v>580</v>
      </c>
      <c r="E11" t="s">
        <v>375</v>
      </c>
      <c r="L11" t="s">
        <v>581</v>
      </c>
      <c r="M11" t="s">
        <v>794</v>
      </c>
      <c r="Q11" s="44" t="s">
        <v>451</v>
      </c>
    </row>
    <row r="12" spans="1:17" x14ac:dyDescent="0.35">
      <c r="A12" t="s">
        <v>615</v>
      </c>
      <c r="E12" t="s">
        <v>795</v>
      </c>
      <c r="L12" t="s">
        <v>582</v>
      </c>
      <c r="M12" t="s">
        <v>796</v>
      </c>
      <c r="Q12" s="44" t="s">
        <v>452</v>
      </c>
    </row>
    <row r="13" spans="1:17" x14ac:dyDescent="0.35">
      <c r="A13" t="s">
        <v>616</v>
      </c>
      <c r="E13" t="s">
        <v>797</v>
      </c>
      <c r="L13" t="s">
        <v>583</v>
      </c>
      <c r="M13" t="s">
        <v>798</v>
      </c>
      <c r="Q13" s="44" t="s">
        <v>453</v>
      </c>
    </row>
    <row r="14" spans="1:17" x14ac:dyDescent="0.35">
      <c r="A14" t="s">
        <v>617</v>
      </c>
      <c r="E14" t="s">
        <v>316</v>
      </c>
      <c r="L14" t="s">
        <v>584</v>
      </c>
      <c r="M14" t="s">
        <v>799</v>
      </c>
      <c r="Q14" s="44" t="s">
        <v>455</v>
      </c>
    </row>
    <row r="15" spans="1:17" x14ac:dyDescent="0.35">
      <c r="A15" t="s">
        <v>417</v>
      </c>
      <c r="E15" t="s">
        <v>800</v>
      </c>
      <c r="L15" t="s">
        <v>585</v>
      </c>
      <c r="M15" t="s">
        <v>801</v>
      </c>
      <c r="Q15" s="44" t="s">
        <v>456</v>
      </c>
    </row>
    <row r="16" spans="1:17" x14ac:dyDescent="0.35">
      <c r="A16" t="s">
        <v>618</v>
      </c>
      <c r="E16" t="s">
        <v>166</v>
      </c>
      <c r="L16" t="s">
        <v>586</v>
      </c>
      <c r="M16" t="s">
        <v>802</v>
      </c>
      <c r="Q16" s="44" t="s">
        <v>457</v>
      </c>
    </row>
    <row r="17" spans="1:17" x14ac:dyDescent="0.35">
      <c r="A17" t="s">
        <v>619</v>
      </c>
      <c r="E17" t="s">
        <v>803</v>
      </c>
      <c r="L17" t="s">
        <v>587</v>
      </c>
      <c r="M17" t="s">
        <v>804</v>
      </c>
      <c r="Q17" s="44" t="s">
        <v>458</v>
      </c>
    </row>
    <row r="18" spans="1:17" x14ac:dyDescent="0.35">
      <c r="A18" t="s">
        <v>356</v>
      </c>
      <c r="E18" t="s">
        <v>805</v>
      </c>
      <c r="L18" t="s">
        <v>588</v>
      </c>
      <c r="M18" t="s">
        <v>806</v>
      </c>
      <c r="Q18" s="44" t="s">
        <v>459</v>
      </c>
    </row>
    <row r="19" spans="1:17" x14ac:dyDescent="0.35">
      <c r="A19" t="s">
        <v>179</v>
      </c>
      <c r="E19" t="s">
        <v>807</v>
      </c>
      <c r="L19" t="s">
        <v>589</v>
      </c>
      <c r="M19" t="s">
        <v>808</v>
      </c>
      <c r="Q19" s="44" t="s">
        <v>461</v>
      </c>
    </row>
    <row r="20" spans="1:17" x14ac:dyDescent="0.35">
      <c r="A20" t="s">
        <v>305</v>
      </c>
      <c r="E20" t="s">
        <v>156</v>
      </c>
      <c r="L20" t="s">
        <v>809</v>
      </c>
      <c r="M20" t="s">
        <v>810</v>
      </c>
      <c r="Q20" s="44" t="s">
        <v>462</v>
      </c>
    </row>
    <row r="21" spans="1:17" x14ac:dyDescent="0.35">
      <c r="A21" t="s">
        <v>404</v>
      </c>
      <c r="E21" t="s">
        <v>377</v>
      </c>
      <c r="L21" t="s">
        <v>591</v>
      </c>
      <c r="M21" t="s">
        <v>811</v>
      </c>
      <c r="Q21" s="44" t="s">
        <v>463</v>
      </c>
    </row>
    <row r="22" spans="1:17" x14ac:dyDescent="0.35">
      <c r="A22" t="s">
        <v>620</v>
      </c>
      <c r="L22" t="s">
        <v>592</v>
      </c>
      <c r="M22" t="s">
        <v>812</v>
      </c>
      <c r="Q22" s="44" t="s">
        <v>464</v>
      </c>
    </row>
    <row r="23" spans="1:17" x14ac:dyDescent="0.35">
      <c r="A23" t="s">
        <v>302</v>
      </c>
      <c r="L23" t="s">
        <v>593</v>
      </c>
      <c r="M23" t="s">
        <v>813</v>
      </c>
      <c r="Q23" s="44" t="s">
        <v>465</v>
      </c>
    </row>
    <row r="24" spans="1:17" x14ac:dyDescent="0.35">
      <c r="A24" t="s">
        <v>351</v>
      </c>
      <c r="L24" t="s">
        <v>594</v>
      </c>
      <c r="M24" t="s">
        <v>814</v>
      </c>
      <c r="Q24" s="44" t="s">
        <v>466</v>
      </c>
    </row>
    <row r="25" spans="1:17" x14ac:dyDescent="0.35">
      <c r="A25" t="s">
        <v>363</v>
      </c>
      <c r="L25" t="s">
        <v>595</v>
      </c>
      <c r="M25" t="s">
        <v>815</v>
      </c>
      <c r="Q25" s="44" t="s">
        <v>467</v>
      </c>
    </row>
    <row r="26" spans="1:17" x14ac:dyDescent="0.35">
      <c r="A26" t="s">
        <v>361</v>
      </c>
      <c r="L26" t="s">
        <v>596</v>
      </c>
      <c r="M26" t="s">
        <v>816</v>
      </c>
      <c r="Q26" s="44" t="s">
        <v>468</v>
      </c>
    </row>
    <row r="27" spans="1:17" x14ac:dyDescent="0.35">
      <c r="A27" t="s">
        <v>383</v>
      </c>
      <c r="L27" t="s">
        <v>597</v>
      </c>
      <c r="M27" t="s">
        <v>817</v>
      </c>
      <c r="Q27" s="44" t="s">
        <v>469</v>
      </c>
    </row>
    <row r="28" spans="1:17" x14ac:dyDescent="0.35">
      <c r="A28" t="s">
        <v>378</v>
      </c>
      <c r="L28" t="s">
        <v>598</v>
      </c>
      <c r="M28" t="s">
        <v>818</v>
      </c>
      <c r="Q28" s="44" t="s">
        <v>470</v>
      </c>
    </row>
    <row r="29" spans="1:17" x14ac:dyDescent="0.35">
      <c r="A29" t="s">
        <v>181</v>
      </c>
      <c r="L29" t="s">
        <v>599</v>
      </c>
      <c r="M29" t="s">
        <v>819</v>
      </c>
      <c r="Q29" s="44" t="s">
        <v>471</v>
      </c>
    </row>
    <row r="30" spans="1:17" x14ac:dyDescent="0.35">
      <c r="A30" t="s">
        <v>80</v>
      </c>
      <c r="L30" t="s">
        <v>600</v>
      </c>
      <c r="M30" t="s">
        <v>820</v>
      </c>
      <c r="Q30" s="44" t="s">
        <v>472</v>
      </c>
    </row>
    <row r="31" spans="1:17" x14ac:dyDescent="0.35">
      <c r="A31" t="s">
        <v>395</v>
      </c>
      <c r="L31" t="s">
        <v>601</v>
      </c>
      <c r="M31" t="s">
        <v>821</v>
      </c>
      <c r="Q31" s="44" t="s">
        <v>473</v>
      </c>
    </row>
    <row r="32" spans="1:17" x14ac:dyDescent="0.35">
      <c r="A32" t="s">
        <v>385</v>
      </c>
      <c r="L32" t="s">
        <v>602</v>
      </c>
      <c r="M32" t="s">
        <v>822</v>
      </c>
      <c r="Q32" s="44" t="s">
        <v>475</v>
      </c>
    </row>
    <row r="33" spans="1:17" x14ac:dyDescent="0.35">
      <c r="A33" t="s">
        <v>299</v>
      </c>
      <c r="L33" t="s">
        <v>603</v>
      </c>
      <c r="M33" t="s">
        <v>823</v>
      </c>
      <c r="Q33" s="44" t="s">
        <v>476</v>
      </c>
    </row>
    <row r="34" spans="1:17" x14ac:dyDescent="0.35">
      <c r="A34" t="s">
        <v>156</v>
      </c>
      <c r="L34" t="s">
        <v>824</v>
      </c>
      <c r="M34" t="s">
        <v>825</v>
      </c>
      <c r="Q34" s="44" t="s">
        <v>477</v>
      </c>
    </row>
    <row r="35" spans="1:17" x14ac:dyDescent="0.35">
      <c r="L35" t="s">
        <v>605</v>
      </c>
      <c r="M35" t="s">
        <v>826</v>
      </c>
      <c r="Q35" s="44" t="s">
        <v>478</v>
      </c>
    </row>
    <row r="36" spans="1:17" x14ac:dyDescent="0.35">
      <c r="M36" t="s">
        <v>827</v>
      </c>
      <c r="Q36" s="44" t="s">
        <v>479</v>
      </c>
    </row>
    <row r="37" spans="1:17" x14ac:dyDescent="0.35">
      <c r="M37" t="s">
        <v>828</v>
      </c>
      <c r="Q37" s="44" t="s">
        <v>480</v>
      </c>
    </row>
    <row r="38" spans="1:17" x14ac:dyDescent="0.35">
      <c r="M38" t="s">
        <v>829</v>
      </c>
      <c r="Q38" s="44" t="s">
        <v>481</v>
      </c>
    </row>
    <row r="39" spans="1:17" x14ac:dyDescent="0.35">
      <c r="M39" t="s">
        <v>830</v>
      </c>
      <c r="Q39" s="44" t="s">
        <v>482</v>
      </c>
    </row>
    <row r="40" spans="1:17" x14ac:dyDescent="0.35">
      <c r="M40" t="s">
        <v>831</v>
      </c>
      <c r="Q40" s="44" t="s">
        <v>483</v>
      </c>
    </row>
    <row r="41" spans="1:17" x14ac:dyDescent="0.35">
      <c r="M41" t="s">
        <v>832</v>
      </c>
      <c r="Q41" s="44" t="s">
        <v>484</v>
      </c>
    </row>
    <row r="42" spans="1:17" x14ac:dyDescent="0.35">
      <c r="M42" t="s">
        <v>833</v>
      </c>
      <c r="Q42" s="44" t="s">
        <v>485</v>
      </c>
    </row>
    <row r="43" spans="1:17" x14ac:dyDescent="0.35">
      <c r="M43" t="s">
        <v>834</v>
      </c>
      <c r="Q43" s="44" t="s">
        <v>486</v>
      </c>
    </row>
    <row r="44" spans="1:17" x14ac:dyDescent="0.35">
      <c r="M44" t="s">
        <v>835</v>
      </c>
      <c r="Q44" s="44" t="s">
        <v>487</v>
      </c>
    </row>
    <row r="45" spans="1:17" x14ac:dyDescent="0.35">
      <c r="M45" t="s">
        <v>836</v>
      </c>
      <c r="Q45" s="44" t="s">
        <v>488</v>
      </c>
    </row>
    <row r="46" spans="1:17" x14ac:dyDescent="0.35">
      <c r="M46" t="s">
        <v>837</v>
      </c>
      <c r="Q46" s="44" t="s">
        <v>489</v>
      </c>
    </row>
    <row r="47" spans="1:17" x14ac:dyDescent="0.35">
      <c r="M47" t="s">
        <v>838</v>
      </c>
      <c r="Q47" s="44" t="s">
        <v>490</v>
      </c>
    </row>
    <row r="48" spans="1:17" x14ac:dyDescent="0.35">
      <c r="M48" t="s">
        <v>839</v>
      </c>
      <c r="Q48" s="44" t="s">
        <v>491</v>
      </c>
    </row>
    <row r="49" spans="13:17" x14ac:dyDescent="0.35">
      <c r="M49" t="s">
        <v>840</v>
      </c>
      <c r="Q49" s="44" t="s">
        <v>492</v>
      </c>
    </row>
    <row r="50" spans="13:17" x14ac:dyDescent="0.35">
      <c r="M50" t="s">
        <v>841</v>
      </c>
      <c r="Q50" s="44" t="s">
        <v>78</v>
      </c>
    </row>
    <row r="51" spans="13:17" x14ac:dyDescent="0.35">
      <c r="M51" t="s">
        <v>842</v>
      </c>
      <c r="Q51" s="44" t="s">
        <v>494</v>
      </c>
    </row>
    <row r="52" spans="13:17" x14ac:dyDescent="0.35">
      <c r="M52" t="s">
        <v>843</v>
      </c>
      <c r="Q52" s="44" t="s">
        <v>495</v>
      </c>
    </row>
    <row r="53" spans="13:17" x14ac:dyDescent="0.35">
      <c r="M53" t="s">
        <v>844</v>
      </c>
      <c r="Q53" s="44" t="s">
        <v>496</v>
      </c>
    </row>
    <row r="54" spans="13:17" x14ac:dyDescent="0.35">
      <c r="M54" t="s">
        <v>845</v>
      </c>
      <c r="Q54" s="44" t="s">
        <v>497</v>
      </c>
    </row>
    <row r="55" spans="13:17" x14ac:dyDescent="0.35">
      <c r="M55" t="s">
        <v>846</v>
      </c>
      <c r="Q55" s="44" t="s">
        <v>498</v>
      </c>
    </row>
    <row r="56" spans="13:17" x14ac:dyDescent="0.35">
      <c r="M56" t="s">
        <v>847</v>
      </c>
      <c r="Q56" s="44" t="s">
        <v>499</v>
      </c>
    </row>
    <row r="57" spans="13:17" x14ac:dyDescent="0.35">
      <c r="M57" t="s">
        <v>848</v>
      </c>
      <c r="Q57" s="44" t="s">
        <v>500</v>
      </c>
    </row>
    <row r="58" spans="13:17" x14ac:dyDescent="0.35">
      <c r="M58" t="s">
        <v>849</v>
      </c>
      <c r="Q58" s="44" t="s">
        <v>501</v>
      </c>
    </row>
    <row r="59" spans="13:17" x14ac:dyDescent="0.35">
      <c r="M59" t="s">
        <v>850</v>
      </c>
      <c r="Q59" s="44" t="s">
        <v>502</v>
      </c>
    </row>
    <row r="60" spans="13:17" x14ac:dyDescent="0.35">
      <c r="M60" t="s">
        <v>851</v>
      </c>
      <c r="Q60" s="44" t="s">
        <v>503</v>
      </c>
    </row>
    <row r="61" spans="13:17" x14ac:dyDescent="0.35">
      <c r="M61" t="s">
        <v>852</v>
      </c>
      <c r="Q61" s="44" t="s">
        <v>504</v>
      </c>
    </row>
    <row r="62" spans="13:17" x14ac:dyDescent="0.35">
      <c r="M62" t="s">
        <v>853</v>
      </c>
      <c r="Q62" s="44" t="s">
        <v>505</v>
      </c>
    </row>
    <row r="63" spans="13:17" x14ac:dyDescent="0.35">
      <c r="M63" t="s">
        <v>854</v>
      </c>
      <c r="Q63" s="44" t="s">
        <v>506</v>
      </c>
    </row>
    <row r="64" spans="13:17" x14ac:dyDescent="0.35">
      <c r="M64" t="s">
        <v>855</v>
      </c>
      <c r="Q64" s="44" t="s">
        <v>507</v>
      </c>
    </row>
    <row r="65" spans="13:17" x14ac:dyDescent="0.35">
      <c r="M65" t="s">
        <v>856</v>
      </c>
      <c r="Q65" s="44" t="s">
        <v>110</v>
      </c>
    </row>
    <row r="66" spans="13:17" x14ac:dyDescent="0.35">
      <c r="M66" t="s">
        <v>857</v>
      </c>
      <c r="Q66" s="44" t="s">
        <v>508</v>
      </c>
    </row>
    <row r="67" spans="13:17" x14ac:dyDescent="0.35">
      <c r="M67" t="s">
        <v>858</v>
      </c>
      <c r="Q67" s="44" t="s">
        <v>509</v>
      </c>
    </row>
    <row r="68" spans="13:17" x14ac:dyDescent="0.35">
      <c r="M68" t="s">
        <v>859</v>
      </c>
      <c r="Q68" s="44" t="s">
        <v>510</v>
      </c>
    </row>
    <row r="69" spans="13:17" x14ac:dyDescent="0.35">
      <c r="M69" t="s">
        <v>860</v>
      </c>
      <c r="Q69" s="44" t="s">
        <v>512</v>
      </c>
    </row>
    <row r="70" spans="13:17" x14ac:dyDescent="0.35">
      <c r="M70" t="s">
        <v>861</v>
      </c>
      <c r="Q70" s="44" t="s">
        <v>513</v>
      </c>
    </row>
    <row r="71" spans="13:17" x14ac:dyDescent="0.35">
      <c r="M71" t="s">
        <v>862</v>
      </c>
      <c r="Q71" s="44" t="s">
        <v>514</v>
      </c>
    </row>
    <row r="72" spans="13:17" x14ac:dyDescent="0.35">
      <c r="M72" t="s">
        <v>863</v>
      </c>
      <c r="Q72" s="44" t="s">
        <v>515</v>
      </c>
    </row>
    <row r="73" spans="13:17" x14ac:dyDescent="0.35">
      <c r="M73" t="s">
        <v>864</v>
      </c>
      <c r="Q73" s="44" t="s">
        <v>516</v>
      </c>
    </row>
    <row r="74" spans="13:17" x14ac:dyDescent="0.35">
      <c r="M74" t="s">
        <v>865</v>
      </c>
      <c r="Q74" s="44" t="s">
        <v>517</v>
      </c>
    </row>
    <row r="75" spans="13:17" x14ac:dyDescent="0.35">
      <c r="M75" t="s">
        <v>866</v>
      </c>
      <c r="Q75" s="44" t="s">
        <v>518</v>
      </c>
    </row>
    <row r="76" spans="13:17" x14ac:dyDescent="0.35">
      <c r="M76" t="s">
        <v>867</v>
      </c>
      <c r="Q76" s="44" t="s">
        <v>519</v>
      </c>
    </row>
    <row r="77" spans="13:17" x14ac:dyDescent="0.35">
      <c r="M77" t="s">
        <v>868</v>
      </c>
      <c r="Q77" s="44" t="s">
        <v>520</v>
      </c>
    </row>
    <row r="78" spans="13:17" x14ac:dyDescent="0.35">
      <c r="M78" t="s">
        <v>869</v>
      </c>
      <c r="Q78" s="44" t="s">
        <v>521</v>
      </c>
    </row>
    <row r="79" spans="13:17" x14ac:dyDescent="0.35">
      <c r="M79" t="s">
        <v>870</v>
      </c>
      <c r="Q79" s="44" t="s">
        <v>522</v>
      </c>
    </row>
    <row r="80" spans="13:17" x14ac:dyDescent="0.35">
      <c r="M80" t="s">
        <v>871</v>
      </c>
      <c r="Q80" s="44" t="s">
        <v>523</v>
      </c>
    </row>
    <row r="81" spans="13:17" x14ac:dyDescent="0.35">
      <c r="M81" t="s">
        <v>872</v>
      </c>
      <c r="Q81" s="44" t="s">
        <v>524</v>
      </c>
    </row>
    <row r="82" spans="13:17" x14ac:dyDescent="0.35">
      <c r="M82" t="s">
        <v>595</v>
      </c>
      <c r="Q82" s="44" t="s">
        <v>525</v>
      </c>
    </row>
    <row r="83" spans="13:17" x14ac:dyDescent="0.35">
      <c r="M83" t="s">
        <v>873</v>
      </c>
      <c r="Q83" s="44" t="s">
        <v>526</v>
      </c>
    </row>
    <row r="84" spans="13:17" x14ac:dyDescent="0.35">
      <c r="M84" t="s">
        <v>874</v>
      </c>
      <c r="Q84" s="44" t="s">
        <v>527</v>
      </c>
    </row>
    <row r="85" spans="13:17" x14ac:dyDescent="0.35">
      <c r="M85" t="s">
        <v>875</v>
      </c>
    </row>
    <row r="86" spans="13:17" x14ac:dyDescent="0.35">
      <c r="M86" t="s">
        <v>876</v>
      </c>
    </row>
    <row r="87" spans="13:17" x14ac:dyDescent="0.35">
      <c r="M87" t="s">
        <v>877</v>
      </c>
    </row>
    <row r="88" spans="13:17" x14ac:dyDescent="0.35">
      <c r="M88" t="s">
        <v>878</v>
      </c>
    </row>
    <row r="89" spans="13:17" x14ac:dyDescent="0.35">
      <c r="M89" t="s">
        <v>879</v>
      </c>
    </row>
    <row r="90" spans="13:17" x14ac:dyDescent="0.35">
      <c r="M90" t="s">
        <v>880</v>
      </c>
    </row>
    <row r="91" spans="13:17" x14ac:dyDescent="0.35">
      <c r="M91" t="s">
        <v>881</v>
      </c>
    </row>
    <row r="92" spans="13:17" x14ac:dyDescent="0.35">
      <c r="M92" t="s">
        <v>882</v>
      </c>
    </row>
    <row r="93" spans="13:17" x14ac:dyDescent="0.35">
      <c r="M93" t="s">
        <v>883</v>
      </c>
    </row>
    <row r="94" spans="13:17" x14ac:dyDescent="0.35">
      <c r="M94" t="s">
        <v>884</v>
      </c>
    </row>
    <row r="95" spans="13:17" x14ac:dyDescent="0.35">
      <c r="M95" t="s">
        <v>885</v>
      </c>
    </row>
    <row r="96" spans="13:17" x14ac:dyDescent="0.35">
      <c r="M96" t="s">
        <v>886</v>
      </c>
    </row>
    <row r="97" spans="13:13" x14ac:dyDescent="0.35">
      <c r="M97" t="s">
        <v>887</v>
      </c>
    </row>
    <row r="98" spans="13:13" x14ac:dyDescent="0.35">
      <c r="M98" t="s">
        <v>888</v>
      </c>
    </row>
    <row r="99" spans="13:13" x14ac:dyDescent="0.35">
      <c r="M99" t="s">
        <v>889</v>
      </c>
    </row>
    <row r="100" spans="13:13" x14ac:dyDescent="0.35">
      <c r="M100" t="s">
        <v>890</v>
      </c>
    </row>
    <row r="101" spans="13:13" x14ac:dyDescent="0.35">
      <c r="M101" t="s">
        <v>891</v>
      </c>
    </row>
    <row r="102" spans="13:13" x14ac:dyDescent="0.35">
      <c r="M102" t="s">
        <v>892</v>
      </c>
    </row>
    <row r="103" spans="13:13" x14ac:dyDescent="0.35">
      <c r="M103" t="s">
        <v>893</v>
      </c>
    </row>
    <row r="104" spans="13:13" x14ac:dyDescent="0.35">
      <c r="M104" t="s">
        <v>894</v>
      </c>
    </row>
    <row r="105" spans="13:13" x14ac:dyDescent="0.35">
      <c r="M105" t="s">
        <v>895</v>
      </c>
    </row>
    <row r="106" spans="13:13" x14ac:dyDescent="0.35">
      <c r="M106" t="s">
        <v>896</v>
      </c>
    </row>
    <row r="107" spans="13:13" x14ac:dyDescent="0.35">
      <c r="M107" t="s">
        <v>897</v>
      </c>
    </row>
    <row r="108" spans="13:13" x14ac:dyDescent="0.35">
      <c r="M108" t="s">
        <v>898</v>
      </c>
    </row>
    <row r="109" spans="13:13" x14ac:dyDescent="0.35">
      <c r="M109" t="s">
        <v>899</v>
      </c>
    </row>
    <row r="110" spans="13:13" x14ac:dyDescent="0.35">
      <c r="M110" t="s">
        <v>900</v>
      </c>
    </row>
    <row r="111" spans="13:13" x14ac:dyDescent="0.35">
      <c r="M111" t="s">
        <v>901</v>
      </c>
    </row>
    <row r="112" spans="13:13" x14ac:dyDescent="0.35">
      <c r="M112" t="s">
        <v>902</v>
      </c>
    </row>
    <row r="113" spans="13:13" x14ac:dyDescent="0.35">
      <c r="M113" t="s">
        <v>903</v>
      </c>
    </row>
    <row r="114" spans="13:13" x14ac:dyDescent="0.35">
      <c r="M114" t="s">
        <v>904</v>
      </c>
    </row>
    <row r="115" spans="13:13" x14ac:dyDescent="0.35">
      <c r="M115" t="s">
        <v>905</v>
      </c>
    </row>
    <row r="116" spans="13:13" x14ac:dyDescent="0.35">
      <c r="M116" t="s">
        <v>906</v>
      </c>
    </row>
    <row r="117" spans="13:13" x14ac:dyDescent="0.35">
      <c r="M117" t="s">
        <v>907</v>
      </c>
    </row>
    <row r="118" spans="13:13" x14ac:dyDescent="0.35">
      <c r="M118" t="s">
        <v>908</v>
      </c>
    </row>
    <row r="119" spans="13:13" x14ac:dyDescent="0.35">
      <c r="M119" t="s">
        <v>909</v>
      </c>
    </row>
    <row r="120" spans="13:13" x14ac:dyDescent="0.35">
      <c r="M120" t="s">
        <v>910</v>
      </c>
    </row>
    <row r="121" spans="13:13" x14ac:dyDescent="0.35">
      <c r="M121" t="s">
        <v>911</v>
      </c>
    </row>
    <row r="122" spans="13:13" x14ac:dyDescent="0.35">
      <c r="M122" t="s">
        <v>912</v>
      </c>
    </row>
    <row r="123" spans="13:13" x14ac:dyDescent="0.35">
      <c r="M123" t="s">
        <v>913</v>
      </c>
    </row>
    <row r="124" spans="13:13" x14ac:dyDescent="0.35">
      <c r="M124" t="s">
        <v>914</v>
      </c>
    </row>
    <row r="125" spans="13:13" x14ac:dyDescent="0.35">
      <c r="M125" t="s">
        <v>915</v>
      </c>
    </row>
    <row r="126" spans="13:13" x14ac:dyDescent="0.35">
      <c r="M126" t="s">
        <v>916</v>
      </c>
    </row>
    <row r="127" spans="13:13" x14ac:dyDescent="0.35">
      <c r="M127" t="s">
        <v>917</v>
      </c>
    </row>
    <row r="128" spans="13:13" x14ac:dyDescent="0.35">
      <c r="M128" t="s">
        <v>918</v>
      </c>
    </row>
    <row r="129" spans="13:13" x14ac:dyDescent="0.35">
      <c r="M129" t="s">
        <v>919</v>
      </c>
    </row>
    <row r="130" spans="13:13" x14ac:dyDescent="0.35">
      <c r="M130" t="s">
        <v>581</v>
      </c>
    </row>
    <row r="131" spans="13:13" x14ac:dyDescent="0.35">
      <c r="M131" t="s">
        <v>920</v>
      </c>
    </row>
    <row r="132" spans="13:13" x14ac:dyDescent="0.35">
      <c r="M132" t="s">
        <v>921</v>
      </c>
    </row>
    <row r="133" spans="13:13" x14ac:dyDescent="0.35">
      <c r="M133" t="s">
        <v>922</v>
      </c>
    </row>
    <row r="134" spans="13:13" x14ac:dyDescent="0.35">
      <c r="M134" t="s">
        <v>923</v>
      </c>
    </row>
    <row r="135" spans="13:13" x14ac:dyDescent="0.35">
      <c r="M135" t="s">
        <v>924</v>
      </c>
    </row>
    <row r="136" spans="13:13" x14ac:dyDescent="0.35">
      <c r="M136" t="s">
        <v>925</v>
      </c>
    </row>
    <row r="137" spans="13:13" x14ac:dyDescent="0.35">
      <c r="M137" t="s">
        <v>926</v>
      </c>
    </row>
    <row r="139" spans="13:13" x14ac:dyDescent="0.35">
      <c r="M139" t="s">
        <v>571</v>
      </c>
    </row>
    <row r="140" spans="13:13" x14ac:dyDescent="0.35">
      <c r="M140" t="s">
        <v>927</v>
      </c>
    </row>
    <row r="141" spans="13:13" x14ac:dyDescent="0.35">
      <c r="M141" t="s">
        <v>928</v>
      </c>
    </row>
    <row r="142" spans="13:13" x14ac:dyDescent="0.35">
      <c r="M142" t="s">
        <v>929</v>
      </c>
    </row>
    <row r="143" spans="13:13" x14ac:dyDescent="0.35">
      <c r="M143" t="s">
        <v>930</v>
      </c>
    </row>
    <row r="144" spans="13:13" x14ac:dyDescent="0.35">
      <c r="M144" t="s">
        <v>931</v>
      </c>
    </row>
    <row r="145" spans="13:13" x14ac:dyDescent="0.35">
      <c r="M145" t="s">
        <v>932</v>
      </c>
    </row>
    <row r="147" spans="13:13" x14ac:dyDescent="0.35">
      <c r="M147" t="s">
        <v>933</v>
      </c>
    </row>
    <row r="148" spans="13:13" x14ac:dyDescent="0.35">
      <c r="M148" t="s">
        <v>934</v>
      </c>
    </row>
    <row r="150" spans="13:13" x14ac:dyDescent="0.35">
      <c r="M150" t="s">
        <v>935</v>
      </c>
    </row>
    <row r="151" spans="13:13" x14ac:dyDescent="0.35">
      <c r="M151" t="s">
        <v>936</v>
      </c>
    </row>
    <row r="152" spans="13:13" x14ac:dyDescent="0.35">
      <c r="M152" t="s">
        <v>937</v>
      </c>
    </row>
    <row r="153" spans="13:13" x14ac:dyDescent="0.35">
      <c r="M153" t="s">
        <v>938</v>
      </c>
    </row>
    <row r="154" spans="13:13" x14ac:dyDescent="0.35">
      <c r="M154" t="s">
        <v>939</v>
      </c>
    </row>
    <row r="155" spans="13:13" x14ac:dyDescent="0.35">
      <c r="M155" t="s">
        <v>940</v>
      </c>
    </row>
    <row r="156" spans="13:13" x14ac:dyDescent="0.35">
      <c r="M156" t="s">
        <v>941</v>
      </c>
    </row>
    <row r="157" spans="13:13" x14ac:dyDescent="0.35">
      <c r="M157" t="s">
        <v>942</v>
      </c>
    </row>
    <row r="158" spans="13:13" x14ac:dyDescent="0.35">
      <c r="M158" t="s">
        <v>943</v>
      </c>
    </row>
    <row r="159" spans="13:13" x14ac:dyDescent="0.35">
      <c r="M159" t="s">
        <v>944</v>
      </c>
    </row>
    <row r="160" spans="13:13" x14ac:dyDescent="0.35">
      <c r="M160" t="s">
        <v>945</v>
      </c>
    </row>
    <row r="161" spans="13:13" x14ac:dyDescent="0.35">
      <c r="M161" t="s">
        <v>946</v>
      </c>
    </row>
    <row r="162" spans="13:13" x14ac:dyDescent="0.35">
      <c r="M162" t="s">
        <v>947</v>
      </c>
    </row>
    <row r="163" spans="13:13" x14ac:dyDescent="0.35">
      <c r="M163" t="s">
        <v>948</v>
      </c>
    </row>
    <row r="164" spans="13:13" x14ac:dyDescent="0.35">
      <c r="M164" t="s">
        <v>949</v>
      </c>
    </row>
    <row r="165" spans="13:13" x14ac:dyDescent="0.35">
      <c r="M165" t="s">
        <v>950</v>
      </c>
    </row>
    <row r="166" spans="13:13" x14ac:dyDescent="0.35">
      <c r="M166" t="s">
        <v>951</v>
      </c>
    </row>
    <row r="167" spans="13:13" x14ac:dyDescent="0.35">
      <c r="M167" t="s">
        <v>856</v>
      </c>
    </row>
    <row r="168" spans="13:13" x14ac:dyDescent="0.35">
      <c r="M168" t="s">
        <v>952</v>
      </c>
    </row>
    <row r="169" spans="13:13" x14ac:dyDescent="0.35">
      <c r="M169" t="s">
        <v>953</v>
      </c>
    </row>
    <row r="170" spans="13:13" x14ac:dyDescent="0.35">
      <c r="M170" t="s">
        <v>954</v>
      </c>
    </row>
    <row r="171" spans="13:13" x14ac:dyDescent="0.35">
      <c r="M171" t="s">
        <v>955</v>
      </c>
    </row>
    <row r="172" spans="13:13" x14ac:dyDescent="0.35">
      <c r="M172" t="s">
        <v>956</v>
      </c>
    </row>
    <row r="174" spans="13:13" x14ac:dyDescent="0.35">
      <c r="M174" t="s">
        <v>957</v>
      </c>
    </row>
    <row r="176" spans="13:13" x14ac:dyDescent="0.35">
      <c r="M176" t="s">
        <v>958</v>
      </c>
    </row>
    <row r="177" spans="13:13" x14ac:dyDescent="0.35">
      <c r="M177" t="s">
        <v>959</v>
      </c>
    </row>
    <row r="178" spans="13:13" x14ac:dyDescent="0.35">
      <c r="M178" t="s">
        <v>960</v>
      </c>
    </row>
    <row r="179" spans="13:13" x14ac:dyDescent="0.35">
      <c r="M179" t="s">
        <v>961</v>
      </c>
    </row>
    <row r="180" spans="13:13" x14ac:dyDescent="0.35">
      <c r="M180" t="s">
        <v>962</v>
      </c>
    </row>
    <row r="181" spans="13:13" x14ac:dyDescent="0.35">
      <c r="M181" t="s">
        <v>963</v>
      </c>
    </row>
    <row r="182" spans="13:13" x14ac:dyDescent="0.35">
      <c r="M182" t="s">
        <v>964</v>
      </c>
    </row>
    <row r="183" spans="13:13" x14ac:dyDescent="0.35">
      <c r="M183" t="s">
        <v>965</v>
      </c>
    </row>
    <row r="184" spans="13:13" x14ac:dyDescent="0.35">
      <c r="M184" t="s">
        <v>966</v>
      </c>
    </row>
    <row r="185" spans="13:13" x14ac:dyDescent="0.35">
      <c r="M185" t="s">
        <v>967</v>
      </c>
    </row>
    <row r="186" spans="13:13" x14ac:dyDescent="0.35">
      <c r="M186" t="s">
        <v>968</v>
      </c>
    </row>
    <row r="187" spans="13:13" x14ac:dyDescent="0.35">
      <c r="M187" t="s">
        <v>969</v>
      </c>
    </row>
    <row r="188" spans="13:13" x14ac:dyDescent="0.35">
      <c r="M188" t="s">
        <v>970</v>
      </c>
    </row>
    <row r="189" spans="13:13" x14ac:dyDescent="0.35">
      <c r="M189" t="s">
        <v>971</v>
      </c>
    </row>
    <row r="190" spans="13:13" x14ac:dyDescent="0.35">
      <c r="M190" t="s">
        <v>972</v>
      </c>
    </row>
    <row r="191" spans="13:13" x14ac:dyDescent="0.35">
      <c r="M191" t="s">
        <v>973</v>
      </c>
    </row>
    <row r="192" spans="13:13" x14ac:dyDescent="0.35">
      <c r="M192" t="s">
        <v>974</v>
      </c>
    </row>
    <row r="193" spans="13:13" x14ac:dyDescent="0.35">
      <c r="M193" t="s">
        <v>975</v>
      </c>
    </row>
    <row r="194" spans="13:13" x14ac:dyDescent="0.35">
      <c r="M194" t="s">
        <v>976</v>
      </c>
    </row>
    <row r="195" spans="13:13" x14ac:dyDescent="0.35">
      <c r="M195" t="s">
        <v>977</v>
      </c>
    </row>
    <row r="196" spans="13:13" x14ac:dyDescent="0.35">
      <c r="M196" t="s">
        <v>978</v>
      </c>
    </row>
    <row r="197" spans="13:13" x14ac:dyDescent="0.35">
      <c r="M197" t="s">
        <v>979</v>
      </c>
    </row>
    <row r="198" spans="13:13" x14ac:dyDescent="0.35">
      <c r="M198" t="s">
        <v>980</v>
      </c>
    </row>
    <row r="199" spans="13:13" x14ac:dyDescent="0.35">
      <c r="M199" t="s">
        <v>981</v>
      </c>
    </row>
    <row r="200" spans="13:13" x14ac:dyDescent="0.35">
      <c r="M200" t="s">
        <v>982</v>
      </c>
    </row>
    <row r="201" spans="13:13" x14ac:dyDescent="0.35">
      <c r="M201" t="s">
        <v>983</v>
      </c>
    </row>
    <row r="202" spans="13:13" x14ac:dyDescent="0.35">
      <c r="M202" t="s">
        <v>984</v>
      </c>
    </row>
    <row r="203" spans="13:13" x14ac:dyDescent="0.35">
      <c r="M203" t="s">
        <v>985</v>
      </c>
    </row>
    <row r="204" spans="13:13" x14ac:dyDescent="0.35">
      <c r="M204" t="s">
        <v>986</v>
      </c>
    </row>
    <row r="205" spans="13:13" x14ac:dyDescent="0.35">
      <c r="M205" t="s">
        <v>987</v>
      </c>
    </row>
    <row r="206" spans="13:13" x14ac:dyDescent="0.35">
      <c r="M206" t="s">
        <v>988</v>
      </c>
    </row>
    <row r="207" spans="13:13" x14ac:dyDescent="0.35">
      <c r="M207" t="s">
        <v>989</v>
      </c>
    </row>
    <row r="208" spans="13:13" x14ac:dyDescent="0.35">
      <c r="M208" t="s">
        <v>990</v>
      </c>
    </row>
    <row r="209" spans="13:13" x14ac:dyDescent="0.35">
      <c r="M209" t="s">
        <v>991</v>
      </c>
    </row>
    <row r="210" spans="13:13" x14ac:dyDescent="0.35">
      <c r="M210" t="s">
        <v>992</v>
      </c>
    </row>
    <row r="211" spans="13:13" x14ac:dyDescent="0.35">
      <c r="M211" t="s">
        <v>993</v>
      </c>
    </row>
    <row r="212" spans="13:13" x14ac:dyDescent="0.35">
      <c r="M212" t="s">
        <v>994</v>
      </c>
    </row>
    <row r="213" spans="13:13" x14ac:dyDescent="0.35">
      <c r="M213" t="s">
        <v>995</v>
      </c>
    </row>
    <row r="214" spans="13:13" x14ac:dyDescent="0.35">
      <c r="M214" t="s">
        <v>996</v>
      </c>
    </row>
    <row r="215" spans="13:13" x14ac:dyDescent="0.35">
      <c r="M215" t="s">
        <v>997</v>
      </c>
    </row>
    <row r="216" spans="13:13" x14ac:dyDescent="0.35">
      <c r="M216" t="s">
        <v>998</v>
      </c>
    </row>
    <row r="217" spans="13:13" x14ac:dyDescent="0.35">
      <c r="M217" t="s">
        <v>999</v>
      </c>
    </row>
    <row r="218" spans="13:13" x14ac:dyDescent="0.35">
      <c r="M218" t="s">
        <v>1000</v>
      </c>
    </row>
    <row r="219" spans="13:13" x14ac:dyDescent="0.35">
      <c r="M219" t="s">
        <v>1001</v>
      </c>
    </row>
    <row r="220" spans="13:13" x14ac:dyDescent="0.35">
      <c r="M220" t="s">
        <v>1002</v>
      </c>
    </row>
    <row r="222" spans="13:13" x14ac:dyDescent="0.35">
      <c r="M222" t="s">
        <v>1003</v>
      </c>
    </row>
    <row r="223" spans="13:13" x14ac:dyDescent="0.35">
      <c r="M223" t="s">
        <v>1004</v>
      </c>
    </row>
    <row r="224" spans="13:13" x14ac:dyDescent="0.35">
      <c r="M224" t="s">
        <v>1005</v>
      </c>
    </row>
    <row r="225" spans="13:13" x14ac:dyDescent="0.35">
      <c r="M225" t="s">
        <v>1006</v>
      </c>
    </row>
    <row r="226" spans="13:13" x14ac:dyDescent="0.35">
      <c r="M226" t="s">
        <v>1007</v>
      </c>
    </row>
    <row r="227" spans="13:13" x14ac:dyDescent="0.35">
      <c r="M227" t="s">
        <v>1008</v>
      </c>
    </row>
    <row r="228" spans="13:13" x14ac:dyDescent="0.35">
      <c r="M228" t="s">
        <v>1009</v>
      </c>
    </row>
    <row r="229" spans="13:13" x14ac:dyDescent="0.35">
      <c r="M229" t="s">
        <v>1010</v>
      </c>
    </row>
    <row r="230" spans="13:13" x14ac:dyDescent="0.35">
      <c r="M230" t="s">
        <v>1011</v>
      </c>
    </row>
    <row r="231" spans="13:13" x14ac:dyDescent="0.35">
      <c r="M231" t="s">
        <v>1012</v>
      </c>
    </row>
    <row r="232" spans="13:13" x14ac:dyDescent="0.35">
      <c r="M232" t="s">
        <v>1013</v>
      </c>
    </row>
    <row r="233" spans="13:13" x14ac:dyDescent="0.35">
      <c r="M233" t="s">
        <v>1014</v>
      </c>
    </row>
    <row r="234" spans="13:13" x14ac:dyDescent="0.35">
      <c r="M234" t="s">
        <v>1015</v>
      </c>
    </row>
    <row r="235" spans="13:13" x14ac:dyDescent="0.35">
      <c r="M235" t="s">
        <v>1016</v>
      </c>
    </row>
    <row r="236" spans="13:13" x14ac:dyDescent="0.35">
      <c r="M236" t="s">
        <v>1017</v>
      </c>
    </row>
    <row r="237" spans="13:13" x14ac:dyDescent="0.35">
      <c r="M237" t="s">
        <v>1018</v>
      </c>
    </row>
    <row r="238" spans="13:13" x14ac:dyDescent="0.35">
      <c r="M238" t="s">
        <v>1019</v>
      </c>
    </row>
    <row r="239" spans="13:13" x14ac:dyDescent="0.35">
      <c r="M239" t="s">
        <v>1020</v>
      </c>
    </row>
    <row r="240" spans="13:13" x14ac:dyDescent="0.35">
      <c r="M240" t="s">
        <v>1021</v>
      </c>
    </row>
    <row r="241" spans="13:13" x14ac:dyDescent="0.35">
      <c r="M241" t="s">
        <v>1022</v>
      </c>
    </row>
    <row r="242" spans="13:13" x14ac:dyDescent="0.35">
      <c r="M242" t="s">
        <v>1023</v>
      </c>
    </row>
    <row r="243" spans="13:13" x14ac:dyDescent="0.35">
      <c r="M243" t="s">
        <v>1024</v>
      </c>
    </row>
    <row r="244" spans="13:13" x14ac:dyDescent="0.35">
      <c r="M244" t="s">
        <v>1025</v>
      </c>
    </row>
    <row r="245" spans="13:13" x14ac:dyDescent="0.35">
      <c r="M245" t="s">
        <v>1026</v>
      </c>
    </row>
    <row r="246" spans="13:13" x14ac:dyDescent="0.35">
      <c r="M246" t="s">
        <v>1027</v>
      </c>
    </row>
    <row r="247" spans="13:13" x14ac:dyDescent="0.35">
      <c r="M247" t="s">
        <v>1028</v>
      </c>
    </row>
    <row r="248" spans="13:13" x14ac:dyDescent="0.35">
      <c r="M248" t="s">
        <v>1029</v>
      </c>
    </row>
    <row r="249" spans="13:13" x14ac:dyDescent="0.35">
      <c r="M249" t="s">
        <v>1030</v>
      </c>
    </row>
    <row r="250" spans="13:13" x14ac:dyDescent="0.35">
      <c r="M250" t="s">
        <v>1031</v>
      </c>
    </row>
    <row r="251" spans="13:13" x14ac:dyDescent="0.35">
      <c r="M251" t="s">
        <v>1032</v>
      </c>
    </row>
    <row r="252" spans="13:13" x14ac:dyDescent="0.35">
      <c r="M252" t="s">
        <v>1033</v>
      </c>
    </row>
    <row r="253" spans="13:13" x14ac:dyDescent="0.35">
      <c r="M253" t="s">
        <v>1034</v>
      </c>
    </row>
    <row r="254" spans="13:13" x14ac:dyDescent="0.35">
      <c r="M254" t="s">
        <v>578</v>
      </c>
    </row>
    <row r="255" spans="13:13" x14ac:dyDescent="0.35">
      <c r="M255" t="s">
        <v>1035</v>
      </c>
    </row>
    <row r="256" spans="13:13" x14ac:dyDescent="0.35">
      <c r="M256" t="s">
        <v>1036</v>
      </c>
    </row>
    <row r="257" spans="13:13" x14ac:dyDescent="0.35">
      <c r="M257" t="s">
        <v>1037</v>
      </c>
    </row>
    <row r="258" spans="13:13" x14ac:dyDescent="0.35">
      <c r="M258" t="s">
        <v>1038</v>
      </c>
    </row>
    <row r="259" spans="13:13" x14ac:dyDescent="0.35">
      <c r="M259" t="s">
        <v>1039</v>
      </c>
    </row>
    <row r="260" spans="13:13" x14ac:dyDescent="0.35">
      <c r="M260" t="s">
        <v>1040</v>
      </c>
    </row>
    <row r="261" spans="13:13" x14ac:dyDescent="0.35">
      <c r="M261" t="s">
        <v>1041</v>
      </c>
    </row>
    <row r="262" spans="13:13" x14ac:dyDescent="0.35">
      <c r="M262" t="s">
        <v>1042</v>
      </c>
    </row>
    <row r="263" spans="13:13" x14ac:dyDescent="0.35">
      <c r="M263" t="s">
        <v>1043</v>
      </c>
    </row>
    <row r="264" spans="13:13" x14ac:dyDescent="0.35">
      <c r="M264" t="s">
        <v>1044</v>
      </c>
    </row>
    <row r="265" spans="13:13" x14ac:dyDescent="0.35">
      <c r="M265" t="s">
        <v>1045</v>
      </c>
    </row>
    <row r="266" spans="13:13" x14ac:dyDescent="0.35">
      <c r="M266" t="s">
        <v>1046</v>
      </c>
    </row>
    <row r="267" spans="13:13" x14ac:dyDescent="0.35">
      <c r="M267" t="s">
        <v>1047</v>
      </c>
    </row>
    <row r="268" spans="13:13" x14ac:dyDescent="0.35">
      <c r="M268" t="s">
        <v>1048</v>
      </c>
    </row>
    <row r="269" spans="13:13" x14ac:dyDescent="0.35">
      <c r="M269" t="s">
        <v>1049</v>
      </c>
    </row>
    <row r="270" spans="13:13" x14ac:dyDescent="0.35">
      <c r="M270" t="s">
        <v>1050</v>
      </c>
    </row>
    <row r="271" spans="13:13" x14ac:dyDescent="0.35">
      <c r="M271" t="s">
        <v>1051</v>
      </c>
    </row>
    <row r="272" spans="13:13" x14ac:dyDescent="0.35">
      <c r="M272" t="s">
        <v>1052</v>
      </c>
    </row>
    <row r="273" spans="13:13" x14ac:dyDescent="0.35">
      <c r="M273" t="s">
        <v>1053</v>
      </c>
    </row>
    <row r="274" spans="13:13" x14ac:dyDescent="0.35">
      <c r="M274" t="s">
        <v>1054</v>
      </c>
    </row>
    <row r="275" spans="13:13" x14ac:dyDescent="0.35">
      <c r="M275" t="s">
        <v>1055</v>
      </c>
    </row>
    <row r="276" spans="13:13" x14ac:dyDescent="0.35">
      <c r="M276" t="s">
        <v>1056</v>
      </c>
    </row>
    <row r="277" spans="13:13" x14ac:dyDescent="0.35">
      <c r="M277" t="s">
        <v>1057</v>
      </c>
    </row>
    <row r="278" spans="13:13" x14ac:dyDescent="0.35">
      <c r="M278" t="s">
        <v>1058</v>
      </c>
    </row>
    <row r="279" spans="13:13" x14ac:dyDescent="0.35">
      <c r="M279" t="s">
        <v>828</v>
      </c>
    </row>
    <row r="280" spans="13:13" x14ac:dyDescent="0.35">
      <c r="M280" t="s">
        <v>1059</v>
      </c>
    </row>
    <row r="281" spans="13:13" x14ac:dyDescent="0.35">
      <c r="M281" t="s">
        <v>581</v>
      </c>
    </row>
    <row r="282" spans="13:13" x14ac:dyDescent="0.35">
      <c r="M282" t="s">
        <v>1060</v>
      </c>
    </row>
    <row r="283" spans="13:13" x14ac:dyDescent="0.35">
      <c r="M283" t="s">
        <v>1061</v>
      </c>
    </row>
    <row r="284" spans="13:13" x14ac:dyDescent="0.35">
      <c r="M284" t="s">
        <v>786</v>
      </c>
    </row>
    <row r="285" spans="13:13" x14ac:dyDescent="0.35">
      <c r="M285" t="s">
        <v>1062</v>
      </c>
    </row>
    <row r="286" spans="13:13" x14ac:dyDescent="0.35">
      <c r="M286" t="s">
        <v>1063</v>
      </c>
    </row>
    <row r="287" spans="13:13" x14ac:dyDescent="0.35">
      <c r="M287" t="s">
        <v>1064</v>
      </c>
    </row>
    <row r="288" spans="13:13" x14ac:dyDescent="0.35">
      <c r="M288" t="s">
        <v>1065</v>
      </c>
    </row>
    <row r="289" spans="13:13" x14ac:dyDescent="0.35">
      <c r="M289" t="s">
        <v>1066</v>
      </c>
    </row>
    <row r="290" spans="13:13" x14ac:dyDescent="0.35">
      <c r="M290" t="s">
        <v>1067</v>
      </c>
    </row>
    <row r="291" spans="13:13" x14ac:dyDescent="0.35">
      <c r="M291" t="s">
        <v>1068</v>
      </c>
    </row>
    <row r="292" spans="13:13" x14ac:dyDescent="0.35">
      <c r="M292" t="s">
        <v>1069</v>
      </c>
    </row>
    <row r="293" spans="13:13" x14ac:dyDescent="0.35">
      <c r="M293" t="s">
        <v>1070</v>
      </c>
    </row>
    <row r="294" spans="13:13" x14ac:dyDescent="0.35">
      <c r="M294" t="s">
        <v>1071</v>
      </c>
    </row>
    <row r="295" spans="13:13" x14ac:dyDescent="0.35">
      <c r="M295" t="s">
        <v>1072</v>
      </c>
    </row>
    <row r="296" spans="13:13" x14ac:dyDescent="0.35">
      <c r="M296" t="s">
        <v>1073</v>
      </c>
    </row>
    <row r="297" spans="13:13" x14ac:dyDescent="0.35">
      <c r="M297" t="s">
        <v>1074</v>
      </c>
    </row>
    <row r="298" spans="13:13" x14ac:dyDescent="0.35">
      <c r="M298" t="s">
        <v>1075</v>
      </c>
    </row>
    <row r="299" spans="13:13" x14ac:dyDescent="0.35">
      <c r="M299" t="s">
        <v>1076</v>
      </c>
    </row>
    <row r="300" spans="13:13" x14ac:dyDescent="0.35">
      <c r="M300" t="s">
        <v>1077</v>
      </c>
    </row>
    <row r="301" spans="13:13" x14ac:dyDescent="0.35">
      <c r="M301" t="s">
        <v>1078</v>
      </c>
    </row>
    <row r="302" spans="13:13" x14ac:dyDescent="0.35">
      <c r="M302" t="s">
        <v>1079</v>
      </c>
    </row>
    <row r="303" spans="13:13" x14ac:dyDescent="0.35">
      <c r="M303" t="s">
        <v>1080</v>
      </c>
    </row>
    <row r="304" spans="13:13" x14ac:dyDescent="0.35">
      <c r="M304" t="s">
        <v>1081</v>
      </c>
    </row>
    <row r="305" spans="13:13" x14ac:dyDescent="0.35">
      <c r="M305" t="s">
        <v>1082</v>
      </c>
    </row>
    <row r="306" spans="13:13" x14ac:dyDescent="0.35">
      <c r="M306" t="s">
        <v>1083</v>
      </c>
    </row>
    <row r="307" spans="13:13" x14ac:dyDescent="0.35">
      <c r="M307" t="s">
        <v>1084</v>
      </c>
    </row>
    <row r="308" spans="13:13" x14ac:dyDescent="0.35">
      <c r="M308" t="s">
        <v>1085</v>
      </c>
    </row>
    <row r="309" spans="13:13" x14ac:dyDescent="0.35">
      <c r="M309" t="s">
        <v>1086</v>
      </c>
    </row>
    <row r="310" spans="13:13" x14ac:dyDescent="0.35">
      <c r="M310" t="s">
        <v>1087</v>
      </c>
    </row>
    <row r="311" spans="13:13" x14ac:dyDescent="0.35">
      <c r="M311" t="s">
        <v>1088</v>
      </c>
    </row>
    <row r="312" spans="13:13" x14ac:dyDescent="0.35">
      <c r="M312" t="s">
        <v>1089</v>
      </c>
    </row>
    <row r="313" spans="13:13" x14ac:dyDescent="0.35">
      <c r="M313" t="s">
        <v>1090</v>
      </c>
    </row>
    <row r="314" spans="13:13" x14ac:dyDescent="0.35">
      <c r="M314" t="s">
        <v>1091</v>
      </c>
    </row>
    <row r="315" spans="13:13" x14ac:dyDescent="0.35">
      <c r="M315" t="s">
        <v>1092</v>
      </c>
    </row>
    <row r="316" spans="13:13" x14ac:dyDescent="0.35">
      <c r="M316" t="s">
        <v>1093</v>
      </c>
    </row>
    <row r="317" spans="13:13" x14ac:dyDescent="0.35">
      <c r="M317" t="s">
        <v>1094</v>
      </c>
    </row>
    <row r="318" spans="13:13" x14ac:dyDescent="0.35">
      <c r="M318" t="s">
        <v>1095</v>
      </c>
    </row>
    <row r="319" spans="13:13" x14ac:dyDescent="0.35">
      <c r="M319" t="s">
        <v>1096</v>
      </c>
    </row>
    <row r="320" spans="13:13" x14ac:dyDescent="0.35">
      <c r="M320" t="s">
        <v>1097</v>
      </c>
    </row>
    <row r="321" spans="13:13" x14ac:dyDescent="0.35">
      <c r="M321" t="s">
        <v>1098</v>
      </c>
    </row>
    <row r="322" spans="13:13" x14ac:dyDescent="0.35">
      <c r="M322" t="s">
        <v>1099</v>
      </c>
    </row>
    <row r="323" spans="13:13" x14ac:dyDescent="0.35">
      <c r="M323" t="s">
        <v>1100</v>
      </c>
    </row>
    <row r="324" spans="13:13" x14ac:dyDescent="0.35">
      <c r="M324" t="s">
        <v>1101</v>
      </c>
    </row>
    <row r="325" spans="13:13" x14ac:dyDescent="0.35">
      <c r="M325" t="s">
        <v>1102</v>
      </c>
    </row>
    <row r="326" spans="13:13" x14ac:dyDescent="0.35">
      <c r="M326" t="s">
        <v>1103</v>
      </c>
    </row>
    <row r="327" spans="13:13" x14ac:dyDescent="0.35">
      <c r="M327" t="s">
        <v>1104</v>
      </c>
    </row>
    <row r="328" spans="13:13" x14ac:dyDescent="0.35">
      <c r="M328" t="s">
        <v>1105</v>
      </c>
    </row>
    <row r="329" spans="13:13" x14ac:dyDescent="0.35">
      <c r="M329" t="s">
        <v>1106</v>
      </c>
    </row>
    <row r="330" spans="13:13" x14ac:dyDescent="0.35">
      <c r="M330" t="s">
        <v>1107</v>
      </c>
    </row>
    <row r="331" spans="13:13" x14ac:dyDescent="0.35">
      <c r="M331" t="s">
        <v>1108</v>
      </c>
    </row>
    <row r="332" spans="13:13" x14ac:dyDescent="0.35">
      <c r="M332" t="s">
        <v>1109</v>
      </c>
    </row>
    <row r="333" spans="13:13" x14ac:dyDescent="0.35">
      <c r="M333" t="s">
        <v>1110</v>
      </c>
    </row>
    <row r="334" spans="13:13" x14ac:dyDescent="0.35">
      <c r="M334" t="s">
        <v>1111</v>
      </c>
    </row>
    <row r="335" spans="13:13" x14ac:dyDescent="0.35">
      <c r="M335" t="s">
        <v>1112</v>
      </c>
    </row>
    <row r="336" spans="13:13" x14ac:dyDescent="0.35">
      <c r="M336" t="s">
        <v>1113</v>
      </c>
    </row>
    <row r="337" spans="13:13" x14ac:dyDescent="0.35">
      <c r="M337" t="s">
        <v>1114</v>
      </c>
    </row>
    <row r="338" spans="13:13" x14ac:dyDescent="0.35">
      <c r="M338" t="s">
        <v>1115</v>
      </c>
    </row>
    <row r="339" spans="13:13" x14ac:dyDescent="0.35">
      <c r="M339" t="s">
        <v>1116</v>
      </c>
    </row>
    <row r="340" spans="13:13" x14ac:dyDescent="0.35">
      <c r="M340" t="s">
        <v>895</v>
      </c>
    </row>
    <row r="341" spans="13:13" x14ac:dyDescent="0.35">
      <c r="M341" t="s">
        <v>1117</v>
      </c>
    </row>
    <row r="342" spans="13:13" x14ac:dyDescent="0.35">
      <c r="M342" t="s">
        <v>1118</v>
      </c>
    </row>
    <row r="343" spans="13:13" x14ac:dyDescent="0.35">
      <c r="M343" t="s">
        <v>1119</v>
      </c>
    </row>
    <row r="344" spans="13:13" x14ac:dyDescent="0.35">
      <c r="M344" t="s">
        <v>1120</v>
      </c>
    </row>
    <row r="345" spans="13:13" x14ac:dyDescent="0.35">
      <c r="M345" t="s">
        <v>1121</v>
      </c>
    </row>
    <row r="346" spans="13:13" x14ac:dyDescent="0.35">
      <c r="M346" t="s">
        <v>1122</v>
      </c>
    </row>
    <row r="347" spans="13:13" x14ac:dyDescent="0.35">
      <c r="M347" t="s">
        <v>1123</v>
      </c>
    </row>
    <row r="348" spans="13:13" x14ac:dyDescent="0.35">
      <c r="M348" t="s">
        <v>1124</v>
      </c>
    </row>
    <row r="349" spans="13:13" x14ac:dyDescent="0.35">
      <c r="M349" t="s">
        <v>1125</v>
      </c>
    </row>
    <row r="350" spans="13:13" x14ac:dyDescent="0.35">
      <c r="M350" t="s">
        <v>1126</v>
      </c>
    </row>
    <row r="351" spans="13:13" x14ac:dyDescent="0.35">
      <c r="M351" t="s">
        <v>1127</v>
      </c>
    </row>
    <row r="352" spans="13:13" x14ac:dyDescent="0.35">
      <c r="M352" t="s">
        <v>1128</v>
      </c>
    </row>
    <row r="353" spans="13:13" x14ac:dyDescent="0.35">
      <c r="M353" t="s">
        <v>1129</v>
      </c>
    </row>
    <row r="354" spans="13:13" x14ac:dyDescent="0.35">
      <c r="M354" t="s">
        <v>1130</v>
      </c>
    </row>
    <row r="355" spans="13:13" x14ac:dyDescent="0.35">
      <c r="M355" t="s">
        <v>1131</v>
      </c>
    </row>
    <row r="356" spans="13:13" x14ac:dyDescent="0.35">
      <c r="M356" t="s">
        <v>599</v>
      </c>
    </row>
    <row r="357" spans="13:13" x14ac:dyDescent="0.35">
      <c r="M357" t="s">
        <v>1132</v>
      </c>
    </row>
    <row r="358" spans="13:13" x14ac:dyDescent="0.35">
      <c r="M358" t="s">
        <v>1133</v>
      </c>
    </row>
    <row r="359" spans="13:13" x14ac:dyDescent="0.35">
      <c r="M359" t="s">
        <v>1134</v>
      </c>
    </row>
    <row r="360" spans="13:13" x14ac:dyDescent="0.35">
      <c r="M360" t="s">
        <v>1135</v>
      </c>
    </row>
    <row r="361" spans="13:13" x14ac:dyDescent="0.35">
      <c r="M361" t="s">
        <v>1136</v>
      </c>
    </row>
    <row r="362" spans="13:13" x14ac:dyDescent="0.35">
      <c r="M362" t="s">
        <v>1137</v>
      </c>
    </row>
    <row r="363" spans="13:13" x14ac:dyDescent="0.35">
      <c r="M363" t="s">
        <v>1138</v>
      </c>
    </row>
    <row r="364" spans="13:13" x14ac:dyDescent="0.35">
      <c r="M364" t="s">
        <v>1139</v>
      </c>
    </row>
    <row r="365" spans="13:13" x14ac:dyDescent="0.35">
      <c r="M365" t="s">
        <v>1140</v>
      </c>
    </row>
    <row r="366" spans="13:13" x14ac:dyDescent="0.35">
      <c r="M366" t="s">
        <v>1141</v>
      </c>
    </row>
    <row r="367" spans="13:13" x14ac:dyDescent="0.35">
      <c r="M367" t="s">
        <v>1142</v>
      </c>
    </row>
    <row r="368" spans="13:13" x14ac:dyDescent="0.35">
      <c r="M368" t="s">
        <v>1143</v>
      </c>
    </row>
    <row r="369" spans="13:13" x14ac:dyDescent="0.35">
      <c r="M369" t="s">
        <v>1144</v>
      </c>
    </row>
    <row r="370" spans="13:13" x14ac:dyDescent="0.35">
      <c r="M370" t="s">
        <v>1145</v>
      </c>
    </row>
    <row r="371" spans="13:13" x14ac:dyDescent="0.35">
      <c r="M371" t="s">
        <v>1146</v>
      </c>
    </row>
    <row r="373" spans="13:13" x14ac:dyDescent="0.35">
      <c r="M373" t="s">
        <v>1147</v>
      </c>
    </row>
    <row r="374" spans="13:13" x14ac:dyDescent="0.35">
      <c r="M374" t="s">
        <v>1148</v>
      </c>
    </row>
    <row r="375" spans="13:13" x14ac:dyDescent="0.35">
      <c r="M375" t="s">
        <v>1149</v>
      </c>
    </row>
    <row r="376" spans="13:13" x14ac:dyDescent="0.35">
      <c r="M376" t="s">
        <v>1150</v>
      </c>
    </row>
    <row r="377" spans="13:13" x14ac:dyDescent="0.35">
      <c r="M377" t="s">
        <v>1151</v>
      </c>
    </row>
    <row r="378" spans="13:13" x14ac:dyDescent="0.35">
      <c r="M378" t="s">
        <v>1152</v>
      </c>
    </row>
    <row r="379" spans="13:13" x14ac:dyDescent="0.35">
      <c r="M379" t="s">
        <v>1153</v>
      </c>
    </row>
    <row r="380" spans="13:13" x14ac:dyDescent="0.35">
      <c r="M380" t="s">
        <v>1154</v>
      </c>
    </row>
    <row r="381" spans="13:13" x14ac:dyDescent="0.35">
      <c r="M381" t="s">
        <v>1155</v>
      </c>
    </row>
    <row r="382" spans="13:13" x14ac:dyDescent="0.35">
      <c r="M382" t="s">
        <v>1156</v>
      </c>
    </row>
    <row r="383" spans="13:13" x14ac:dyDescent="0.35">
      <c r="M383" t="s">
        <v>1157</v>
      </c>
    </row>
    <row r="384" spans="13:13" x14ac:dyDescent="0.35">
      <c r="M384" t="s">
        <v>1158</v>
      </c>
    </row>
    <row r="385" spans="13:13" x14ac:dyDescent="0.35">
      <c r="M385" t="s">
        <v>1159</v>
      </c>
    </row>
    <row r="386" spans="13:13" x14ac:dyDescent="0.35">
      <c r="M386" t="s">
        <v>1160</v>
      </c>
    </row>
    <row r="387" spans="13:13" x14ac:dyDescent="0.35">
      <c r="M387" t="s">
        <v>1161</v>
      </c>
    </row>
    <row r="388" spans="13:13" x14ac:dyDescent="0.35">
      <c r="M388" t="s">
        <v>905</v>
      </c>
    </row>
    <row r="389" spans="13:13" x14ac:dyDescent="0.35">
      <c r="M389" t="s">
        <v>1162</v>
      </c>
    </row>
    <row r="390" spans="13:13" x14ac:dyDescent="0.35">
      <c r="M390" t="s">
        <v>1163</v>
      </c>
    </row>
    <row r="391" spans="13:13" x14ac:dyDescent="0.35">
      <c r="M391" t="s">
        <v>1164</v>
      </c>
    </row>
    <row r="392" spans="13:13" x14ac:dyDescent="0.35">
      <c r="M392" t="s">
        <v>1165</v>
      </c>
    </row>
    <row r="393" spans="13:13" x14ac:dyDescent="0.35">
      <c r="M393" t="s">
        <v>1166</v>
      </c>
    </row>
    <row r="394" spans="13:13" x14ac:dyDescent="0.35">
      <c r="M394" t="s">
        <v>1167</v>
      </c>
    </row>
    <row r="395" spans="13:13" x14ac:dyDescent="0.35">
      <c r="M395" t="s">
        <v>1168</v>
      </c>
    </row>
    <row r="396" spans="13:13" x14ac:dyDescent="0.35">
      <c r="M396" t="s">
        <v>1169</v>
      </c>
    </row>
    <row r="397" spans="13:13" x14ac:dyDescent="0.35">
      <c r="M397" t="s">
        <v>1170</v>
      </c>
    </row>
    <row r="398" spans="13:13" x14ac:dyDescent="0.35">
      <c r="M398" t="s">
        <v>1171</v>
      </c>
    </row>
    <row r="399" spans="13:13" x14ac:dyDescent="0.35">
      <c r="M399" t="s">
        <v>1172</v>
      </c>
    </row>
    <row r="400" spans="13:13" x14ac:dyDescent="0.35">
      <c r="M400" t="s">
        <v>856</v>
      </c>
    </row>
    <row r="401" spans="13:13" x14ac:dyDescent="0.35">
      <c r="M401" t="s">
        <v>1173</v>
      </c>
    </row>
    <row r="402" spans="13:13" x14ac:dyDescent="0.35">
      <c r="M402" t="s">
        <v>1174</v>
      </c>
    </row>
    <row r="403" spans="13:13" x14ac:dyDescent="0.35">
      <c r="M403" t="s">
        <v>1175</v>
      </c>
    </row>
    <row r="404" spans="13:13" x14ac:dyDescent="0.35">
      <c r="M404" t="s">
        <v>1176</v>
      </c>
    </row>
    <row r="405" spans="13:13" x14ac:dyDescent="0.35">
      <c r="M405" t="s">
        <v>1177</v>
      </c>
    </row>
    <row r="406" spans="13:13" x14ac:dyDescent="0.35">
      <c r="M406" t="s">
        <v>977</v>
      </c>
    </row>
    <row r="407" spans="13:13" x14ac:dyDescent="0.35">
      <c r="M407" t="s">
        <v>1178</v>
      </c>
    </row>
    <row r="408" spans="13:13" x14ac:dyDescent="0.35">
      <c r="M408" t="s">
        <v>1179</v>
      </c>
    </row>
    <row r="409" spans="13:13" x14ac:dyDescent="0.35">
      <c r="M409" t="s">
        <v>1180</v>
      </c>
    </row>
    <row r="410" spans="13:13" x14ac:dyDescent="0.35">
      <c r="M410" t="s">
        <v>1181</v>
      </c>
    </row>
    <row r="411" spans="13:13" x14ac:dyDescent="0.35">
      <c r="M411" t="s">
        <v>986</v>
      </c>
    </row>
    <row r="412" spans="13:13" x14ac:dyDescent="0.35">
      <c r="M412" t="s">
        <v>1182</v>
      </c>
    </row>
    <row r="413" spans="13:13" x14ac:dyDescent="0.35">
      <c r="M413" t="s">
        <v>1183</v>
      </c>
    </row>
    <row r="414" spans="13:13" x14ac:dyDescent="0.35">
      <c r="M414" t="s">
        <v>1184</v>
      </c>
    </row>
    <row r="415" spans="13:13" x14ac:dyDescent="0.35">
      <c r="M415" t="s">
        <v>1185</v>
      </c>
    </row>
    <row r="416" spans="13:13" x14ac:dyDescent="0.35">
      <c r="M416" t="s">
        <v>1186</v>
      </c>
    </row>
    <row r="417" spans="13:13" x14ac:dyDescent="0.35">
      <c r="M417" t="s">
        <v>1187</v>
      </c>
    </row>
    <row r="418" spans="13:13" x14ac:dyDescent="0.35">
      <c r="M418" t="s">
        <v>1188</v>
      </c>
    </row>
    <row r="419" spans="13:13" x14ac:dyDescent="0.35">
      <c r="M419" t="s">
        <v>1189</v>
      </c>
    </row>
    <row r="420" spans="13:13" x14ac:dyDescent="0.35">
      <c r="M420" t="s">
        <v>1190</v>
      </c>
    </row>
    <row r="421" spans="13:13" x14ac:dyDescent="0.35">
      <c r="M421" t="s">
        <v>1191</v>
      </c>
    </row>
    <row r="422" spans="13:13" x14ac:dyDescent="0.35">
      <c r="M422" t="s">
        <v>1192</v>
      </c>
    </row>
    <row r="423" spans="13:13" x14ac:dyDescent="0.35">
      <c r="M423" t="s">
        <v>1193</v>
      </c>
    </row>
    <row r="424" spans="13:13" x14ac:dyDescent="0.35">
      <c r="M424" t="s">
        <v>1194</v>
      </c>
    </row>
    <row r="425" spans="13:13" x14ac:dyDescent="0.35">
      <c r="M425" t="s">
        <v>1195</v>
      </c>
    </row>
    <row r="426" spans="13:13" x14ac:dyDescent="0.35">
      <c r="M426" t="s">
        <v>1196</v>
      </c>
    </row>
    <row r="427" spans="13:13" x14ac:dyDescent="0.35">
      <c r="M427" t="s">
        <v>1197</v>
      </c>
    </row>
    <row r="428" spans="13:13" x14ac:dyDescent="0.35">
      <c r="M428" t="s">
        <v>1198</v>
      </c>
    </row>
    <row r="429" spans="13:13" x14ac:dyDescent="0.35">
      <c r="M429" t="s">
        <v>1199</v>
      </c>
    </row>
    <row r="430" spans="13:13" x14ac:dyDescent="0.35">
      <c r="M430" t="s">
        <v>1200</v>
      </c>
    </row>
    <row r="431" spans="13:13" x14ac:dyDescent="0.35">
      <c r="M431" t="s">
        <v>1201</v>
      </c>
    </row>
    <row r="432" spans="13:13" x14ac:dyDescent="0.35">
      <c r="M432" t="s">
        <v>1202</v>
      </c>
    </row>
    <row r="433" spans="13:13" x14ac:dyDescent="0.35">
      <c r="M433" t="s">
        <v>1203</v>
      </c>
    </row>
    <row r="434" spans="13:13" x14ac:dyDescent="0.35">
      <c r="M434" t="s">
        <v>1204</v>
      </c>
    </row>
    <row r="435" spans="13:13" x14ac:dyDescent="0.35">
      <c r="M435" t="s">
        <v>1205</v>
      </c>
    </row>
    <row r="436" spans="13:13" x14ac:dyDescent="0.35">
      <c r="M436" t="s">
        <v>1206</v>
      </c>
    </row>
    <row r="437" spans="13:13" x14ac:dyDescent="0.35">
      <c r="M437" t="s">
        <v>1207</v>
      </c>
    </row>
    <row r="438" spans="13:13" x14ac:dyDescent="0.35">
      <c r="M438" t="s">
        <v>863</v>
      </c>
    </row>
    <row r="439" spans="13:13" x14ac:dyDescent="0.35">
      <c r="M439" t="s">
        <v>1208</v>
      </c>
    </row>
    <row r="440" spans="13:13" x14ac:dyDescent="0.35">
      <c r="M440" t="s">
        <v>1209</v>
      </c>
    </row>
    <row r="441" spans="13:13" x14ac:dyDescent="0.35">
      <c r="M441" t="s">
        <v>1153</v>
      </c>
    </row>
    <row r="442" spans="13:13" x14ac:dyDescent="0.35">
      <c r="M442" t="s">
        <v>1210</v>
      </c>
    </row>
    <row r="443" spans="13:13" x14ac:dyDescent="0.35">
      <c r="M443" t="s">
        <v>1211</v>
      </c>
    </row>
    <row r="444" spans="13:13" x14ac:dyDescent="0.35">
      <c r="M444" t="s">
        <v>1212</v>
      </c>
    </row>
    <row r="445" spans="13:13" x14ac:dyDescent="0.35">
      <c r="M445" t="s">
        <v>1213</v>
      </c>
    </row>
    <row r="446" spans="13:13" x14ac:dyDescent="0.35">
      <c r="M446" t="s">
        <v>1214</v>
      </c>
    </row>
    <row r="447" spans="13:13" x14ac:dyDescent="0.35">
      <c r="M447" t="s">
        <v>1215</v>
      </c>
    </row>
    <row r="448" spans="13:13" x14ac:dyDescent="0.35">
      <c r="M448" t="s">
        <v>601</v>
      </c>
    </row>
    <row r="449" spans="13:13" x14ac:dyDescent="0.35">
      <c r="M449" t="s">
        <v>1216</v>
      </c>
    </row>
    <row r="450" spans="13:13" x14ac:dyDescent="0.35">
      <c r="M450" t="s">
        <v>1217</v>
      </c>
    </row>
    <row r="451" spans="13:13" x14ac:dyDescent="0.35">
      <c r="M451" t="s">
        <v>1218</v>
      </c>
    </row>
    <row r="452" spans="13:13" x14ac:dyDescent="0.35">
      <c r="M452" t="s">
        <v>1219</v>
      </c>
    </row>
    <row r="453" spans="13:13" x14ac:dyDescent="0.35">
      <c r="M453" t="s">
        <v>1220</v>
      </c>
    </row>
    <row r="454" spans="13:13" x14ac:dyDescent="0.35">
      <c r="M454" t="s">
        <v>1221</v>
      </c>
    </row>
    <row r="455" spans="13:13" x14ac:dyDescent="0.35">
      <c r="M455" t="s">
        <v>1222</v>
      </c>
    </row>
    <row r="456" spans="13:13" x14ac:dyDescent="0.35">
      <c r="M456" t="s">
        <v>1223</v>
      </c>
    </row>
    <row r="457" spans="13:13" x14ac:dyDescent="0.35">
      <c r="M457" t="s">
        <v>1224</v>
      </c>
    </row>
    <row r="458" spans="13:13" x14ac:dyDescent="0.35">
      <c r="M458" t="s">
        <v>1225</v>
      </c>
    </row>
    <row r="459" spans="13:13" x14ac:dyDescent="0.35">
      <c r="M459" t="s">
        <v>1226</v>
      </c>
    </row>
    <row r="460" spans="13:13" x14ac:dyDescent="0.35">
      <c r="M460" t="s">
        <v>1227</v>
      </c>
    </row>
    <row r="461" spans="13:13" x14ac:dyDescent="0.35">
      <c r="M461" t="s">
        <v>1228</v>
      </c>
    </row>
    <row r="462" spans="13:13" x14ac:dyDescent="0.35">
      <c r="M462" t="s">
        <v>1229</v>
      </c>
    </row>
    <row r="463" spans="13:13" x14ac:dyDescent="0.35">
      <c r="M463" t="s">
        <v>1230</v>
      </c>
    </row>
    <row r="464" spans="13:13" x14ac:dyDescent="0.35">
      <c r="M464" t="s">
        <v>1231</v>
      </c>
    </row>
    <row r="465" spans="13:13" x14ac:dyDescent="0.35">
      <c r="M465" t="s">
        <v>1232</v>
      </c>
    </row>
    <row r="466" spans="13:13" x14ac:dyDescent="0.35">
      <c r="M466" t="s">
        <v>1233</v>
      </c>
    </row>
    <row r="467" spans="13:13" x14ac:dyDescent="0.35">
      <c r="M467" t="s">
        <v>1234</v>
      </c>
    </row>
    <row r="468" spans="13:13" x14ac:dyDescent="0.35">
      <c r="M468" t="s">
        <v>1235</v>
      </c>
    </row>
    <row r="469" spans="13:13" x14ac:dyDescent="0.35">
      <c r="M469" t="s">
        <v>1236</v>
      </c>
    </row>
    <row r="470" spans="13:13" x14ac:dyDescent="0.35">
      <c r="M470" t="s">
        <v>1237</v>
      </c>
    </row>
    <row r="471" spans="13:13" x14ac:dyDescent="0.35">
      <c r="M471" t="s">
        <v>1238</v>
      </c>
    </row>
    <row r="472" spans="13:13" x14ac:dyDescent="0.35">
      <c r="M472" t="s">
        <v>1239</v>
      </c>
    </row>
    <row r="473" spans="13:13" x14ac:dyDescent="0.35">
      <c r="M473" t="s">
        <v>1240</v>
      </c>
    </row>
    <row r="474" spans="13:13" x14ac:dyDescent="0.35">
      <c r="M474" t="s">
        <v>1241</v>
      </c>
    </row>
    <row r="475" spans="13:13" x14ac:dyDescent="0.35">
      <c r="M475" t="s">
        <v>1242</v>
      </c>
    </row>
    <row r="476" spans="13:13" x14ac:dyDescent="0.35">
      <c r="M476" t="s">
        <v>1243</v>
      </c>
    </row>
    <row r="477" spans="13:13" x14ac:dyDescent="0.35">
      <c r="M477" t="s">
        <v>1244</v>
      </c>
    </row>
    <row r="478" spans="13:13" x14ac:dyDescent="0.35">
      <c r="M478" t="s">
        <v>1245</v>
      </c>
    </row>
    <row r="479" spans="13:13" x14ac:dyDescent="0.35">
      <c r="M479" t="s">
        <v>1246</v>
      </c>
    </row>
    <row r="480" spans="13:13" x14ac:dyDescent="0.35">
      <c r="M480" t="s">
        <v>1247</v>
      </c>
    </row>
    <row r="481" spans="13:13" x14ac:dyDescent="0.35">
      <c r="M481" t="s">
        <v>1248</v>
      </c>
    </row>
    <row r="482" spans="13:13" x14ac:dyDescent="0.35">
      <c r="M482" t="s">
        <v>1249</v>
      </c>
    </row>
    <row r="483" spans="13:13" x14ac:dyDescent="0.35">
      <c r="M483" t="s">
        <v>1250</v>
      </c>
    </row>
    <row r="484" spans="13:13" x14ac:dyDescent="0.35">
      <c r="M484" t="s">
        <v>1251</v>
      </c>
    </row>
    <row r="485" spans="13:13" x14ac:dyDescent="0.35">
      <c r="M485" t="s">
        <v>1124</v>
      </c>
    </row>
    <row r="486" spans="13:13" x14ac:dyDescent="0.35">
      <c r="M486" t="s">
        <v>1252</v>
      </c>
    </row>
    <row r="487" spans="13:13" x14ac:dyDescent="0.35">
      <c r="M487" t="s">
        <v>1253</v>
      </c>
    </row>
    <row r="488" spans="13:13" x14ac:dyDescent="0.35">
      <c r="M488" t="s">
        <v>1254</v>
      </c>
    </row>
    <row r="489" spans="13:13" x14ac:dyDescent="0.35">
      <c r="M489" t="s">
        <v>1255</v>
      </c>
    </row>
    <row r="490" spans="13:13" x14ac:dyDescent="0.35">
      <c r="M490" t="s">
        <v>1256</v>
      </c>
    </row>
    <row r="491" spans="13:13" x14ac:dyDescent="0.35">
      <c r="M491" t="s">
        <v>1257</v>
      </c>
    </row>
    <row r="492" spans="13:13" x14ac:dyDescent="0.35">
      <c r="M492" t="s">
        <v>1258</v>
      </c>
    </row>
    <row r="493" spans="13:13" x14ac:dyDescent="0.35">
      <c r="M493" t="s">
        <v>1259</v>
      </c>
    </row>
    <row r="494" spans="13:13" x14ac:dyDescent="0.35">
      <c r="M494" t="s">
        <v>1260</v>
      </c>
    </row>
    <row r="495" spans="13:13" x14ac:dyDescent="0.35">
      <c r="M495" t="s">
        <v>1261</v>
      </c>
    </row>
    <row r="496" spans="13:13" x14ac:dyDescent="0.35">
      <c r="M496" t="s">
        <v>1262</v>
      </c>
    </row>
    <row r="497" spans="13:13" x14ac:dyDescent="0.35">
      <c r="M497" t="s">
        <v>1263</v>
      </c>
    </row>
    <row r="498" spans="13:13" x14ac:dyDescent="0.35">
      <c r="M498" t="s">
        <v>1264</v>
      </c>
    </row>
    <row r="499" spans="13:13" x14ac:dyDescent="0.35">
      <c r="M499" t="s">
        <v>1265</v>
      </c>
    </row>
    <row r="500" spans="13:13" x14ac:dyDescent="0.35">
      <c r="M500" t="s">
        <v>1266</v>
      </c>
    </row>
    <row r="501" spans="13:13" x14ac:dyDescent="0.35">
      <c r="M501" t="s">
        <v>1267</v>
      </c>
    </row>
    <row r="502" spans="13:13" x14ac:dyDescent="0.35">
      <c r="M502" t="s">
        <v>1268</v>
      </c>
    </row>
    <row r="503" spans="13:13" x14ac:dyDescent="0.35">
      <c r="M503" t="s">
        <v>1269</v>
      </c>
    </row>
    <row r="504" spans="13:13" x14ac:dyDescent="0.35">
      <c r="M504" t="s">
        <v>1270</v>
      </c>
    </row>
    <row r="505" spans="13:13" x14ac:dyDescent="0.35">
      <c r="M505" t="s">
        <v>1271</v>
      </c>
    </row>
    <row r="506" spans="13:13" x14ac:dyDescent="0.35">
      <c r="M506" t="s">
        <v>1272</v>
      </c>
    </row>
    <row r="507" spans="13:13" x14ac:dyDescent="0.35">
      <c r="M507" t="s">
        <v>1273</v>
      </c>
    </row>
    <row r="508" spans="13:13" x14ac:dyDescent="0.35">
      <c r="M508" t="s">
        <v>1274</v>
      </c>
    </row>
    <row r="509" spans="13:13" x14ac:dyDescent="0.35">
      <c r="M509" t="s">
        <v>1275</v>
      </c>
    </row>
    <row r="510" spans="13:13" x14ac:dyDescent="0.35">
      <c r="M510" t="s">
        <v>1276</v>
      </c>
    </row>
    <row r="511" spans="13:13" x14ac:dyDescent="0.35">
      <c r="M511" t="s">
        <v>1277</v>
      </c>
    </row>
    <row r="512" spans="13:13" x14ac:dyDescent="0.35">
      <c r="M512" t="s">
        <v>1278</v>
      </c>
    </row>
    <row r="513" spans="13:13" x14ac:dyDescent="0.35">
      <c r="M513" t="s">
        <v>1279</v>
      </c>
    </row>
    <row r="514" spans="13:13" x14ac:dyDescent="0.35">
      <c r="M514" t="s">
        <v>1280</v>
      </c>
    </row>
    <row r="515" spans="13:13" x14ac:dyDescent="0.35">
      <c r="M515" t="s">
        <v>1281</v>
      </c>
    </row>
    <row r="516" spans="13:13" x14ac:dyDescent="0.35">
      <c r="M516" t="s">
        <v>1282</v>
      </c>
    </row>
    <row r="517" spans="13:13" x14ac:dyDescent="0.35">
      <c r="M517" t="s">
        <v>1283</v>
      </c>
    </row>
    <row r="518" spans="13:13" x14ac:dyDescent="0.35">
      <c r="M518" t="s">
        <v>1284</v>
      </c>
    </row>
    <row r="519" spans="13:13" x14ac:dyDescent="0.35">
      <c r="M519" t="s">
        <v>1285</v>
      </c>
    </row>
    <row r="520" spans="13:13" x14ac:dyDescent="0.35">
      <c r="M520" t="s">
        <v>1286</v>
      </c>
    </row>
    <row r="521" spans="13:13" x14ac:dyDescent="0.35">
      <c r="M521" t="s">
        <v>1287</v>
      </c>
    </row>
    <row r="522" spans="13:13" x14ac:dyDescent="0.35">
      <c r="M522" t="s">
        <v>1288</v>
      </c>
    </row>
    <row r="523" spans="13:13" x14ac:dyDescent="0.35">
      <c r="M523" t="s">
        <v>1059</v>
      </c>
    </row>
    <row r="524" spans="13:13" x14ac:dyDescent="0.35">
      <c r="M524" t="s">
        <v>1289</v>
      </c>
    </row>
    <row r="525" spans="13:13" x14ac:dyDescent="0.35">
      <c r="M525" t="s">
        <v>1290</v>
      </c>
    </row>
    <row r="526" spans="13:13" x14ac:dyDescent="0.35">
      <c r="M526" t="s">
        <v>1291</v>
      </c>
    </row>
    <row r="527" spans="13:13" x14ac:dyDescent="0.35">
      <c r="M527" t="s">
        <v>1292</v>
      </c>
    </row>
    <row r="528" spans="13:13" x14ac:dyDescent="0.35">
      <c r="M528" t="s">
        <v>1293</v>
      </c>
    </row>
    <row r="529" spans="13:13" x14ac:dyDescent="0.35">
      <c r="M529" t="s">
        <v>1294</v>
      </c>
    </row>
    <row r="530" spans="13:13" x14ac:dyDescent="0.35">
      <c r="M530" t="s">
        <v>1295</v>
      </c>
    </row>
    <row r="531" spans="13:13" x14ac:dyDescent="0.35">
      <c r="M531" t="s">
        <v>876</v>
      </c>
    </row>
    <row r="532" spans="13:13" x14ac:dyDescent="0.35">
      <c r="M532" t="s">
        <v>1296</v>
      </c>
    </row>
    <row r="533" spans="13:13" x14ac:dyDescent="0.35">
      <c r="M533" t="s">
        <v>1297</v>
      </c>
    </row>
    <row r="534" spans="13:13" x14ac:dyDescent="0.35">
      <c r="M534" t="s">
        <v>1298</v>
      </c>
    </row>
    <row r="535" spans="13:13" x14ac:dyDescent="0.35">
      <c r="M535" t="s">
        <v>1299</v>
      </c>
    </row>
    <row r="536" spans="13:13" x14ac:dyDescent="0.35">
      <c r="M536" t="s">
        <v>1300</v>
      </c>
    </row>
    <row r="537" spans="13:13" x14ac:dyDescent="0.35">
      <c r="M537" t="s">
        <v>1301</v>
      </c>
    </row>
    <row r="538" spans="13:13" x14ac:dyDescent="0.35">
      <c r="M538" t="s">
        <v>1302</v>
      </c>
    </row>
    <row r="539" spans="13:13" x14ac:dyDescent="0.35">
      <c r="M539" t="s">
        <v>1303</v>
      </c>
    </row>
    <row r="540" spans="13:13" x14ac:dyDescent="0.35">
      <c r="M540" t="s">
        <v>1304</v>
      </c>
    </row>
    <row r="541" spans="13:13" x14ac:dyDescent="0.35">
      <c r="M541" t="s">
        <v>1305</v>
      </c>
    </row>
    <row r="542" spans="13:13" x14ac:dyDescent="0.35">
      <c r="M542" t="s">
        <v>1306</v>
      </c>
    </row>
    <row r="543" spans="13:13" x14ac:dyDescent="0.35">
      <c r="M543" t="s">
        <v>1307</v>
      </c>
    </row>
    <row r="544" spans="13:13" x14ac:dyDescent="0.35">
      <c r="M544" t="s">
        <v>595</v>
      </c>
    </row>
    <row r="545" spans="13:13" x14ac:dyDescent="0.35">
      <c r="M545" t="s">
        <v>1308</v>
      </c>
    </row>
    <row r="546" spans="13:13" x14ac:dyDescent="0.35">
      <c r="M546" t="s">
        <v>1309</v>
      </c>
    </row>
    <row r="547" spans="13:13" x14ac:dyDescent="0.35">
      <c r="M547" t="s">
        <v>1310</v>
      </c>
    </row>
    <row r="548" spans="13:13" x14ac:dyDescent="0.35">
      <c r="M548" t="s">
        <v>1311</v>
      </c>
    </row>
    <row r="549" spans="13:13" x14ac:dyDescent="0.35">
      <c r="M549" t="s">
        <v>1312</v>
      </c>
    </row>
    <row r="550" spans="13:13" x14ac:dyDescent="0.35">
      <c r="M550" t="s">
        <v>1313</v>
      </c>
    </row>
    <row r="551" spans="13:13" x14ac:dyDescent="0.35">
      <c r="M551" t="s">
        <v>1314</v>
      </c>
    </row>
    <row r="552" spans="13:13" x14ac:dyDescent="0.35">
      <c r="M552" t="s">
        <v>1315</v>
      </c>
    </row>
    <row r="553" spans="13:13" x14ac:dyDescent="0.35">
      <c r="M553" t="s">
        <v>1210</v>
      </c>
    </row>
    <row r="554" spans="13:13" x14ac:dyDescent="0.35">
      <c r="M554" t="s">
        <v>1316</v>
      </c>
    </row>
    <row r="555" spans="13:13" x14ac:dyDescent="0.35">
      <c r="M555" t="s">
        <v>1317</v>
      </c>
    </row>
    <row r="556" spans="13:13" x14ac:dyDescent="0.35">
      <c r="M556" t="s">
        <v>1318</v>
      </c>
    </row>
    <row r="557" spans="13:13" x14ac:dyDescent="0.35">
      <c r="M557" t="s">
        <v>877</v>
      </c>
    </row>
    <row r="558" spans="13:13" x14ac:dyDescent="0.35">
      <c r="M558" t="s">
        <v>1319</v>
      </c>
    </row>
    <row r="559" spans="13:13" x14ac:dyDescent="0.35">
      <c r="M559" t="s">
        <v>1320</v>
      </c>
    </row>
    <row r="560" spans="13:13" x14ac:dyDescent="0.35">
      <c r="M560" t="s">
        <v>1321</v>
      </c>
    </row>
    <row r="561" spans="13:13" x14ac:dyDescent="0.35">
      <c r="M561" t="s">
        <v>1322</v>
      </c>
    </row>
    <row r="562" spans="13:13" x14ac:dyDescent="0.35">
      <c r="M562" t="s">
        <v>1323</v>
      </c>
    </row>
    <row r="563" spans="13:13" x14ac:dyDescent="0.35">
      <c r="M563" t="s">
        <v>1324</v>
      </c>
    </row>
    <row r="564" spans="13:13" x14ac:dyDescent="0.35">
      <c r="M564" t="s">
        <v>1325</v>
      </c>
    </row>
    <row r="565" spans="13:13" x14ac:dyDescent="0.35">
      <c r="M565" t="s">
        <v>1326</v>
      </c>
    </row>
    <row r="566" spans="13:13" x14ac:dyDescent="0.35">
      <c r="M566" t="s">
        <v>1327</v>
      </c>
    </row>
    <row r="567" spans="13:13" x14ac:dyDescent="0.35">
      <c r="M567" t="s">
        <v>1328</v>
      </c>
    </row>
    <row r="568" spans="13:13" x14ac:dyDescent="0.35">
      <c r="M568" t="s">
        <v>1329</v>
      </c>
    </row>
    <row r="569" spans="13:13" x14ac:dyDescent="0.35">
      <c r="M569" t="s">
        <v>1330</v>
      </c>
    </row>
    <row r="570" spans="13:13" x14ac:dyDescent="0.35">
      <c r="M570" t="s">
        <v>1331</v>
      </c>
    </row>
    <row r="571" spans="13:13" x14ac:dyDescent="0.35">
      <c r="M571" t="s">
        <v>1332</v>
      </c>
    </row>
    <row r="572" spans="13:13" x14ac:dyDescent="0.35">
      <c r="M572" t="s">
        <v>1333</v>
      </c>
    </row>
    <row r="573" spans="13:13" x14ac:dyDescent="0.35">
      <c r="M573" t="s">
        <v>1334</v>
      </c>
    </row>
    <row r="574" spans="13:13" x14ac:dyDescent="0.35">
      <c r="M574" t="s">
        <v>1335</v>
      </c>
    </row>
    <row r="575" spans="13:13" x14ac:dyDescent="0.35">
      <c r="M575" t="s">
        <v>1336</v>
      </c>
    </row>
    <row r="576" spans="13:13" x14ac:dyDescent="0.35">
      <c r="M576" t="s">
        <v>1337</v>
      </c>
    </row>
    <row r="577" spans="13:13" x14ac:dyDescent="0.35">
      <c r="M577" t="s">
        <v>1338</v>
      </c>
    </row>
    <row r="578" spans="13:13" x14ac:dyDescent="0.35">
      <c r="M578" t="s">
        <v>1339</v>
      </c>
    </row>
    <row r="579" spans="13:13" x14ac:dyDescent="0.35">
      <c r="M579" t="s">
        <v>1340</v>
      </c>
    </row>
    <row r="580" spans="13:13" x14ac:dyDescent="0.35">
      <c r="M580" t="s">
        <v>1341</v>
      </c>
    </row>
    <row r="581" spans="13:13" x14ac:dyDescent="0.35">
      <c r="M581" t="s">
        <v>1342</v>
      </c>
    </row>
    <row r="582" spans="13:13" x14ac:dyDescent="0.35">
      <c r="M582" t="s">
        <v>1343</v>
      </c>
    </row>
    <row r="583" spans="13:13" x14ac:dyDescent="0.35">
      <c r="M583" t="s">
        <v>1344</v>
      </c>
    </row>
    <row r="584" spans="13:13" x14ac:dyDescent="0.35">
      <c r="M584" t="s">
        <v>1345</v>
      </c>
    </row>
    <row r="585" spans="13:13" x14ac:dyDescent="0.35">
      <c r="M585" t="s">
        <v>1346</v>
      </c>
    </row>
    <row r="586" spans="13:13" x14ac:dyDescent="0.35">
      <c r="M586" t="s">
        <v>1347</v>
      </c>
    </row>
    <row r="587" spans="13:13" x14ac:dyDescent="0.35">
      <c r="M587" t="s">
        <v>1348</v>
      </c>
    </row>
    <row r="588" spans="13:13" x14ac:dyDescent="0.35">
      <c r="M588" t="s">
        <v>1349</v>
      </c>
    </row>
    <row r="589" spans="13:13" x14ac:dyDescent="0.35">
      <c r="M589" t="s">
        <v>1350</v>
      </c>
    </row>
    <row r="590" spans="13:13" x14ac:dyDescent="0.35">
      <c r="M590" t="s">
        <v>1351</v>
      </c>
    </row>
    <row r="591" spans="13:13" x14ac:dyDescent="0.35">
      <c r="M591" t="s">
        <v>1352</v>
      </c>
    </row>
    <row r="592" spans="13:13" x14ac:dyDescent="0.35">
      <c r="M592" t="s">
        <v>1353</v>
      </c>
    </row>
    <row r="593" spans="13:13" x14ac:dyDescent="0.35">
      <c r="M593" t="s">
        <v>1354</v>
      </c>
    </row>
    <row r="594" spans="13:13" x14ac:dyDescent="0.35">
      <c r="M594" t="s">
        <v>1355</v>
      </c>
    </row>
    <row r="595" spans="13:13" x14ac:dyDescent="0.35">
      <c r="M595" t="s">
        <v>1356</v>
      </c>
    </row>
    <row r="596" spans="13:13" x14ac:dyDescent="0.35">
      <c r="M596" t="s">
        <v>1357</v>
      </c>
    </row>
    <row r="597" spans="13:13" x14ac:dyDescent="0.35">
      <c r="M597" t="s">
        <v>1358</v>
      </c>
    </row>
    <row r="598" spans="13:13" x14ac:dyDescent="0.35">
      <c r="M598" t="s">
        <v>1359</v>
      </c>
    </row>
    <row r="599" spans="13:13" x14ac:dyDescent="0.35">
      <c r="M599" t="s">
        <v>1360</v>
      </c>
    </row>
    <row r="600" spans="13:13" x14ac:dyDescent="0.35">
      <c r="M600" t="s">
        <v>1361</v>
      </c>
    </row>
    <row r="601" spans="13:13" x14ac:dyDescent="0.35">
      <c r="M601" t="s">
        <v>1362</v>
      </c>
    </row>
    <row r="602" spans="13:13" x14ac:dyDescent="0.35">
      <c r="M602" t="s">
        <v>1363</v>
      </c>
    </row>
    <row r="603" spans="13:13" x14ac:dyDescent="0.35">
      <c r="M603" t="s">
        <v>1364</v>
      </c>
    </row>
    <row r="604" spans="13:13" x14ac:dyDescent="0.35">
      <c r="M604" t="s">
        <v>1365</v>
      </c>
    </row>
    <row r="605" spans="13:13" x14ac:dyDescent="0.35">
      <c r="M605" t="s">
        <v>1366</v>
      </c>
    </row>
    <row r="606" spans="13:13" x14ac:dyDescent="0.35">
      <c r="M606" t="s">
        <v>1367</v>
      </c>
    </row>
    <row r="607" spans="13:13" x14ac:dyDescent="0.35">
      <c r="M607" t="s">
        <v>1368</v>
      </c>
    </row>
    <row r="608" spans="13:13" x14ac:dyDescent="0.35">
      <c r="M608" t="s">
        <v>1369</v>
      </c>
    </row>
    <row r="609" spans="13:13" x14ac:dyDescent="0.35">
      <c r="M609" t="s">
        <v>1370</v>
      </c>
    </row>
    <row r="610" spans="13:13" x14ac:dyDescent="0.35">
      <c r="M610" t="s">
        <v>1371</v>
      </c>
    </row>
    <row r="611" spans="13:13" x14ac:dyDescent="0.35">
      <c r="M611" t="s">
        <v>1372</v>
      </c>
    </row>
    <row r="612" spans="13:13" x14ac:dyDescent="0.35">
      <c r="M612" t="s">
        <v>1373</v>
      </c>
    </row>
    <row r="613" spans="13:13" x14ac:dyDescent="0.35">
      <c r="M613" t="s">
        <v>1374</v>
      </c>
    </row>
    <row r="614" spans="13:13" x14ac:dyDescent="0.35">
      <c r="M614" t="s">
        <v>1375</v>
      </c>
    </row>
    <row r="615" spans="13:13" x14ac:dyDescent="0.35">
      <c r="M615" t="s">
        <v>1376</v>
      </c>
    </row>
    <row r="616" spans="13:13" x14ac:dyDescent="0.35">
      <c r="M616" t="s">
        <v>1377</v>
      </c>
    </row>
    <row r="617" spans="13:13" x14ac:dyDescent="0.35">
      <c r="M617" t="s">
        <v>1378</v>
      </c>
    </row>
    <row r="618" spans="13:13" x14ac:dyDescent="0.35">
      <c r="M618" t="s">
        <v>1379</v>
      </c>
    </row>
    <row r="619" spans="13:13" x14ac:dyDescent="0.35">
      <c r="M619" t="s">
        <v>1380</v>
      </c>
    </row>
    <row r="620" spans="13:13" x14ac:dyDescent="0.35">
      <c r="M620" t="s">
        <v>1381</v>
      </c>
    </row>
    <row r="621" spans="13:13" x14ac:dyDescent="0.35">
      <c r="M621" t="s">
        <v>1382</v>
      </c>
    </row>
    <row r="622" spans="13:13" x14ac:dyDescent="0.35">
      <c r="M622" t="s">
        <v>867</v>
      </c>
    </row>
    <row r="623" spans="13:13" x14ac:dyDescent="0.35">
      <c r="M623" t="s">
        <v>1383</v>
      </c>
    </row>
    <row r="624" spans="13:13" x14ac:dyDescent="0.35">
      <c r="M624" t="s">
        <v>1384</v>
      </c>
    </row>
    <row r="625" spans="13:13" x14ac:dyDescent="0.35">
      <c r="M625" t="s">
        <v>1385</v>
      </c>
    </row>
    <row r="626" spans="13:13" x14ac:dyDescent="0.35">
      <c r="M626" t="s">
        <v>1386</v>
      </c>
    </row>
    <row r="627" spans="13:13" x14ac:dyDescent="0.35">
      <c r="M627" t="s">
        <v>1387</v>
      </c>
    </row>
    <row r="628" spans="13:13" x14ac:dyDescent="0.35">
      <c r="M628" t="s">
        <v>906</v>
      </c>
    </row>
    <row r="629" spans="13:13" x14ac:dyDescent="0.35">
      <c r="M629" t="s">
        <v>1388</v>
      </c>
    </row>
    <row r="630" spans="13:13" x14ac:dyDescent="0.35">
      <c r="M630" t="s">
        <v>1389</v>
      </c>
    </row>
    <row r="631" spans="13:13" x14ac:dyDescent="0.35">
      <c r="M631" t="s">
        <v>1390</v>
      </c>
    </row>
    <row r="632" spans="13:13" x14ac:dyDescent="0.35">
      <c r="M632" t="s">
        <v>1391</v>
      </c>
    </row>
    <row r="633" spans="13:13" x14ac:dyDescent="0.35">
      <c r="M633" t="s">
        <v>1392</v>
      </c>
    </row>
    <row r="634" spans="13:13" x14ac:dyDescent="0.35">
      <c r="M634" t="s">
        <v>1393</v>
      </c>
    </row>
    <row r="635" spans="13:13" x14ac:dyDescent="0.35">
      <c r="M635" t="s">
        <v>1394</v>
      </c>
    </row>
    <row r="636" spans="13:13" x14ac:dyDescent="0.35">
      <c r="M636" t="s">
        <v>1395</v>
      </c>
    </row>
    <row r="637" spans="13:13" x14ac:dyDescent="0.35">
      <c r="M637" t="s">
        <v>1396</v>
      </c>
    </row>
    <row r="638" spans="13:13" x14ac:dyDescent="0.35">
      <c r="M638" t="s">
        <v>1397</v>
      </c>
    </row>
    <row r="639" spans="13:13" x14ac:dyDescent="0.35">
      <c r="M639" t="s">
        <v>1398</v>
      </c>
    </row>
    <row r="640" spans="13:13" x14ac:dyDescent="0.35">
      <c r="M640" t="s">
        <v>1399</v>
      </c>
    </row>
    <row r="641" spans="13:13" x14ac:dyDescent="0.35">
      <c r="M641" t="s">
        <v>1400</v>
      </c>
    </row>
    <row r="642" spans="13:13" x14ac:dyDescent="0.35">
      <c r="M642" t="s">
        <v>1401</v>
      </c>
    </row>
    <row r="643" spans="13:13" x14ac:dyDescent="0.35">
      <c r="M643" t="s">
        <v>1402</v>
      </c>
    </row>
    <row r="644" spans="13:13" x14ac:dyDescent="0.35">
      <c r="M644" t="s">
        <v>1403</v>
      </c>
    </row>
    <row r="645" spans="13:13" x14ac:dyDescent="0.35">
      <c r="M645" t="s">
        <v>1404</v>
      </c>
    </row>
    <row r="646" spans="13:13" x14ac:dyDescent="0.35">
      <c r="M646" t="s">
        <v>1405</v>
      </c>
    </row>
    <row r="647" spans="13:13" x14ac:dyDescent="0.35">
      <c r="M647" t="s">
        <v>1406</v>
      </c>
    </row>
    <row r="648" spans="13:13" x14ac:dyDescent="0.35">
      <c r="M648" t="s">
        <v>1407</v>
      </c>
    </row>
    <row r="649" spans="13:13" x14ac:dyDescent="0.35">
      <c r="M649" t="s">
        <v>1408</v>
      </c>
    </row>
    <row r="650" spans="13:13" x14ac:dyDescent="0.35">
      <c r="M650" t="s">
        <v>1409</v>
      </c>
    </row>
    <row r="651" spans="13:13" x14ac:dyDescent="0.35">
      <c r="M651" t="s">
        <v>1410</v>
      </c>
    </row>
    <row r="652" spans="13:13" x14ac:dyDescent="0.35">
      <c r="M652" t="s">
        <v>1411</v>
      </c>
    </row>
    <row r="653" spans="13:13" x14ac:dyDescent="0.35">
      <c r="M653" t="s">
        <v>1412</v>
      </c>
    </row>
    <row r="654" spans="13:13" x14ac:dyDescent="0.35">
      <c r="M654" t="s">
        <v>1413</v>
      </c>
    </row>
    <row r="655" spans="13:13" x14ac:dyDescent="0.35">
      <c r="M655" t="s">
        <v>1414</v>
      </c>
    </row>
    <row r="656" spans="13:13" x14ac:dyDescent="0.35">
      <c r="M656" t="s">
        <v>938</v>
      </c>
    </row>
    <row r="657" spans="13:13" x14ac:dyDescent="0.35">
      <c r="M657" t="s">
        <v>1415</v>
      </c>
    </row>
    <row r="658" spans="13:13" x14ac:dyDescent="0.35">
      <c r="M658" t="s">
        <v>966</v>
      </c>
    </row>
    <row r="659" spans="13:13" x14ac:dyDescent="0.35">
      <c r="M659" t="s">
        <v>1416</v>
      </c>
    </row>
    <row r="660" spans="13:13" x14ac:dyDescent="0.35">
      <c r="M660" t="s">
        <v>1031</v>
      </c>
    </row>
    <row r="661" spans="13:13" x14ac:dyDescent="0.35">
      <c r="M661" t="s">
        <v>1417</v>
      </c>
    </row>
    <row r="662" spans="13:13" x14ac:dyDescent="0.35">
      <c r="M662" t="s">
        <v>1418</v>
      </c>
    </row>
    <row r="663" spans="13:13" x14ac:dyDescent="0.35">
      <c r="M663" t="s">
        <v>1419</v>
      </c>
    </row>
    <row r="664" spans="13:13" x14ac:dyDescent="0.35">
      <c r="M664" t="s">
        <v>1420</v>
      </c>
    </row>
    <row r="665" spans="13:13" x14ac:dyDescent="0.35">
      <c r="M665" t="s">
        <v>1421</v>
      </c>
    </row>
    <row r="666" spans="13:13" x14ac:dyDescent="0.35">
      <c r="M666" t="s">
        <v>834</v>
      </c>
    </row>
    <row r="667" spans="13:13" x14ac:dyDescent="0.35">
      <c r="M667" t="s">
        <v>1422</v>
      </c>
    </row>
    <row r="668" spans="13:13" x14ac:dyDescent="0.35">
      <c r="M668" t="s">
        <v>1423</v>
      </c>
    </row>
    <row r="669" spans="13:13" x14ac:dyDescent="0.35">
      <c r="M669" t="s">
        <v>1424</v>
      </c>
    </row>
    <row r="670" spans="13:13" x14ac:dyDescent="0.35">
      <c r="M670" t="s">
        <v>1425</v>
      </c>
    </row>
    <row r="671" spans="13:13" x14ac:dyDescent="0.35">
      <c r="M671" t="s">
        <v>1426</v>
      </c>
    </row>
    <row r="672" spans="13:13" x14ac:dyDescent="0.35">
      <c r="M672" t="s">
        <v>1427</v>
      </c>
    </row>
    <row r="673" spans="13:13" x14ac:dyDescent="0.35">
      <c r="M673" t="s">
        <v>1428</v>
      </c>
    </row>
    <row r="674" spans="13:13" x14ac:dyDescent="0.35">
      <c r="M674" t="s">
        <v>1429</v>
      </c>
    </row>
    <row r="675" spans="13:13" x14ac:dyDescent="0.35">
      <c r="M675" t="s">
        <v>1430</v>
      </c>
    </row>
    <row r="676" spans="13:13" x14ac:dyDescent="0.35">
      <c r="M676" t="s">
        <v>1431</v>
      </c>
    </row>
    <row r="677" spans="13:13" x14ac:dyDescent="0.35">
      <c r="M677" t="s">
        <v>1432</v>
      </c>
    </row>
    <row r="678" spans="13:13" x14ac:dyDescent="0.35">
      <c r="M678" t="s">
        <v>1433</v>
      </c>
    </row>
    <row r="679" spans="13:13" x14ac:dyDescent="0.35">
      <c r="M679" t="s">
        <v>1434</v>
      </c>
    </row>
    <row r="680" spans="13:13" x14ac:dyDescent="0.35">
      <c r="M680" t="s">
        <v>1049</v>
      </c>
    </row>
    <row r="681" spans="13:13" x14ac:dyDescent="0.35">
      <c r="M681" t="s">
        <v>1435</v>
      </c>
    </row>
    <row r="682" spans="13:13" x14ac:dyDescent="0.35">
      <c r="M682" t="s">
        <v>1436</v>
      </c>
    </row>
    <row r="683" spans="13:13" x14ac:dyDescent="0.35">
      <c r="M683" t="s">
        <v>1437</v>
      </c>
    </row>
    <row r="684" spans="13:13" x14ac:dyDescent="0.35">
      <c r="M684" t="s">
        <v>1438</v>
      </c>
    </row>
    <row r="685" spans="13:13" x14ac:dyDescent="0.35">
      <c r="M685" t="s">
        <v>1439</v>
      </c>
    </row>
    <row r="686" spans="13:13" x14ac:dyDescent="0.35">
      <c r="M686" t="s">
        <v>1440</v>
      </c>
    </row>
    <row r="687" spans="13:13" x14ac:dyDescent="0.35">
      <c r="M687" t="s">
        <v>1441</v>
      </c>
    </row>
    <row r="688" spans="13:13" x14ac:dyDescent="0.35">
      <c r="M688" t="s">
        <v>1442</v>
      </c>
    </row>
    <row r="689" spans="13:13" x14ac:dyDescent="0.35">
      <c r="M689" t="s">
        <v>1443</v>
      </c>
    </row>
    <row r="690" spans="13:13" x14ac:dyDescent="0.35">
      <c r="M690" t="s">
        <v>1444</v>
      </c>
    </row>
    <row r="691" spans="13:13" x14ac:dyDescent="0.35">
      <c r="M691" t="s">
        <v>1445</v>
      </c>
    </row>
    <row r="692" spans="13:13" x14ac:dyDescent="0.35">
      <c r="M692" t="s">
        <v>1446</v>
      </c>
    </row>
    <row r="693" spans="13:13" x14ac:dyDescent="0.35">
      <c r="M693" t="s">
        <v>1447</v>
      </c>
    </row>
    <row r="694" spans="13:13" x14ac:dyDescent="0.35">
      <c r="M694" t="s">
        <v>1137</v>
      </c>
    </row>
    <row r="695" spans="13:13" x14ac:dyDescent="0.35">
      <c r="M695" t="s">
        <v>1448</v>
      </c>
    </row>
    <row r="696" spans="13:13" x14ac:dyDescent="0.35">
      <c r="M696" t="s">
        <v>1449</v>
      </c>
    </row>
    <row r="697" spans="13:13" x14ac:dyDescent="0.35">
      <c r="M697" t="s">
        <v>1450</v>
      </c>
    </row>
    <row r="698" spans="13:13" x14ac:dyDescent="0.35">
      <c r="M698" t="s">
        <v>1451</v>
      </c>
    </row>
    <row r="699" spans="13:13" x14ac:dyDescent="0.35">
      <c r="M699" t="s">
        <v>1147</v>
      </c>
    </row>
    <row r="700" spans="13:13" x14ac:dyDescent="0.35">
      <c r="M700" t="s">
        <v>1452</v>
      </c>
    </row>
    <row r="701" spans="13:13" x14ac:dyDescent="0.35">
      <c r="M701" t="s">
        <v>1453</v>
      </c>
    </row>
    <row r="702" spans="13:13" x14ac:dyDescent="0.35">
      <c r="M702" t="s">
        <v>1229</v>
      </c>
    </row>
    <row r="703" spans="13:13" x14ac:dyDescent="0.35">
      <c r="M703" t="s">
        <v>1454</v>
      </c>
    </row>
    <row r="704" spans="13:13" x14ac:dyDescent="0.35">
      <c r="M704" t="s">
        <v>1455</v>
      </c>
    </row>
    <row r="705" spans="13:13" x14ac:dyDescent="0.35">
      <c r="M705" t="s">
        <v>1456</v>
      </c>
    </row>
    <row r="706" spans="13:13" x14ac:dyDescent="0.35">
      <c r="M706" t="s">
        <v>1457</v>
      </c>
    </row>
    <row r="707" spans="13:13" x14ac:dyDescent="0.35">
      <c r="M707" t="s">
        <v>1458</v>
      </c>
    </row>
    <row r="708" spans="13:13" x14ac:dyDescent="0.35">
      <c r="M708" t="s">
        <v>1459</v>
      </c>
    </row>
    <row r="709" spans="13:13" x14ac:dyDescent="0.35">
      <c r="M709" t="s">
        <v>1460</v>
      </c>
    </row>
    <row r="710" spans="13:13" x14ac:dyDescent="0.35">
      <c r="M710" t="s">
        <v>1461</v>
      </c>
    </row>
    <row r="711" spans="13:13" x14ac:dyDescent="0.35">
      <c r="M711" t="s">
        <v>1462</v>
      </c>
    </row>
    <row r="712" spans="13:13" x14ac:dyDescent="0.35">
      <c r="M712" t="s">
        <v>1463</v>
      </c>
    </row>
    <row r="713" spans="13:13" x14ac:dyDescent="0.35">
      <c r="M713" t="s">
        <v>977</v>
      </c>
    </row>
    <row r="714" spans="13:13" x14ac:dyDescent="0.35">
      <c r="M714" t="s">
        <v>1464</v>
      </c>
    </row>
    <row r="715" spans="13:13" x14ac:dyDescent="0.35">
      <c r="M715" t="s">
        <v>1465</v>
      </c>
    </row>
    <row r="716" spans="13:13" x14ac:dyDescent="0.35">
      <c r="M716" t="s">
        <v>1466</v>
      </c>
    </row>
    <row r="717" spans="13:13" x14ac:dyDescent="0.35">
      <c r="M717" t="s">
        <v>1467</v>
      </c>
    </row>
    <row r="718" spans="13:13" x14ac:dyDescent="0.35">
      <c r="M718" t="s">
        <v>1468</v>
      </c>
    </row>
    <row r="719" spans="13:13" x14ac:dyDescent="0.35">
      <c r="M719" t="s">
        <v>1469</v>
      </c>
    </row>
    <row r="720" spans="13:13" x14ac:dyDescent="0.35">
      <c r="M720" t="s">
        <v>1470</v>
      </c>
    </row>
    <row r="721" spans="13:13" x14ac:dyDescent="0.35">
      <c r="M721" t="s">
        <v>1471</v>
      </c>
    </row>
    <row r="722" spans="13:13" x14ac:dyDescent="0.35">
      <c r="M722" t="s">
        <v>1472</v>
      </c>
    </row>
    <row r="723" spans="13:13" x14ac:dyDescent="0.35">
      <c r="M723" t="s">
        <v>1473</v>
      </c>
    </row>
    <row r="724" spans="13:13" x14ac:dyDescent="0.35">
      <c r="M724" t="s">
        <v>1474</v>
      </c>
    </row>
    <row r="725" spans="13:13" x14ac:dyDescent="0.35">
      <c r="M725" t="s">
        <v>1475</v>
      </c>
    </row>
    <row r="726" spans="13:13" x14ac:dyDescent="0.35">
      <c r="M726" t="s">
        <v>1476</v>
      </c>
    </row>
    <row r="727" spans="13:13" x14ac:dyDescent="0.35">
      <c r="M727" t="s">
        <v>1477</v>
      </c>
    </row>
    <row r="728" spans="13:13" x14ac:dyDescent="0.35">
      <c r="M728" t="s">
        <v>891</v>
      </c>
    </row>
    <row r="729" spans="13:13" x14ac:dyDescent="0.35">
      <c r="M729" t="s">
        <v>1478</v>
      </c>
    </row>
    <row r="730" spans="13:13" x14ac:dyDescent="0.35">
      <c r="M730" t="s">
        <v>1479</v>
      </c>
    </row>
    <row r="731" spans="13:13" x14ac:dyDescent="0.35">
      <c r="M731" t="s">
        <v>1480</v>
      </c>
    </row>
    <row r="732" spans="13:13" x14ac:dyDescent="0.35">
      <c r="M732" t="s">
        <v>1481</v>
      </c>
    </row>
    <row r="733" spans="13:13" x14ac:dyDescent="0.35">
      <c r="M733" t="s">
        <v>1142</v>
      </c>
    </row>
    <row r="734" spans="13:13" x14ac:dyDescent="0.35">
      <c r="M734" t="s">
        <v>1482</v>
      </c>
    </row>
    <row r="735" spans="13:13" x14ac:dyDescent="0.35">
      <c r="M735" t="s">
        <v>1483</v>
      </c>
    </row>
    <row r="736" spans="13:13" x14ac:dyDescent="0.35">
      <c r="M736" t="s">
        <v>1484</v>
      </c>
    </row>
    <row r="737" spans="13:13" x14ac:dyDescent="0.35">
      <c r="M737" t="s">
        <v>1485</v>
      </c>
    </row>
    <row r="738" spans="13:13" x14ac:dyDescent="0.35">
      <c r="M738" t="s">
        <v>1486</v>
      </c>
    </row>
    <row r="739" spans="13:13" x14ac:dyDescent="0.35">
      <c r="M739" t="s">
        <v>1487</v>
      </c>
    </row>
    <row r="740" spans="13:13" x14ac:dyDescent="0.35">
      <c r="M740" t="s">
        <v>1488</v>
      </c>
    </row>
    <row r="741" spans="13:13" x14ac:dyDescent="0.35">
      <c r="M741" t="s">
        <v>1489</v>
      </c>
    </row>
    <row r="742" spans="13:13" x14ac:dyDescent="0.35">
      <c r="M742" t="s">
        <v>1490</v>
      </c>
    </row>
    <row r="743" spans="13:13" x14ac:dyDescent="0.35">
      <c r="M743" t="s">
        <v>1491</v>
      </c>
    </row>
    <row r="744" spans="13:13" x14ac:dyDescent="0.35">
      <c r="M744" t="s">
        <v>1492</v>
      </c>
    </row>
    <row r="745" spans="13:13" x14ac:dyDescent="0.35">
      <c r="M745" t="s">
        <v>1493</v>
      </c>
    </row>
    <row r="746" spans="13:13" x14ac:dyDescent="0.35">
      <c r="M746" t="s">
        <v>1494</v>
      </c>
    </row>
    <row r="747" spans="13:13" x14ac:dyDescent="0.35">
      <c r="M747" t="s">
        <v>867</v>
      </c>
    </row>
    <row r="748" spans="13:13" x14ac:dyDescent="0.35">
      <c r="M748" t="s">
        <v>1495</v>
      </c>
    </row>
    <row r="749" spans="13:13" x14ac:dyDescent="0.35">
      <c r="M749" t="s">
        <v>1496</v>
      </c>
    </row>
    <row r="750" spans="13:13" x14ac:dyDescent="0.35">
      <c r="M750" t="s">
        <v>1497</v>
      </c>
    </row>
    <row r="751" spans="13:13" x14ac:dyDescent="0.35">
      <c r="M751" t="s">
        <v>1412</v>
      </c>
    </row>
    <row r="752" spans="13:13" x14ac:dyDescent="0.35">
      <c r="M752" t="s">
        <v>1498</v>
      </c>
    </row>
    <row r="753" spans="13:13" x14ac:dyDescent="0.35">
      <c r="M753" t="s">
        <v>1499</v>
      </c>
    </row>
    <row r="754" spans="13:13" x14ac:dyDescent="0.35">
      <c r="M754" t="s">
        <v>1500</v>
      </c>
    </row>
    <row r="755" spans="13:13" x14ac:dyDescent="0.35">
      <c r="M755" t="s">
        <v>1157</v>
      </c>
    </row>
    <row r="756" spans="13:13" x14ac:dyDescent="0.35">
      <c r="M756" t="s">
        <v>1501</v>
      </c>
    </row>
    <row r="757" spans="13:13" x14ac:dyDescent="0.35">
      <c r="M757" t="s">
        <v>1502</v>
      </c>
    </row>
    <row r="758" spans="13:13" x14ac:dyDescent="0.35">
      <c r="M758" t="s">
        <v>1503</v>
      </c>
    </row>
    <row r="759" spans="13:13" x14ac:dyDescent="0.35">
      <c r="M759" t="s">
        <v>1504</v>
      </c>
    </row>
    <row r="760" spans="13:13" x14ac:dyDescent="0.35">
      <c r="M760" t="s">
        <v>1505</v>
      </c>
    </row>
    <row r="761" spans="13:13" x14ac:dyDescent="0.35">
      <c r="M761" t="s">
        <v>1506</v>
      </c>
    </row>
    <row r="762" spans="13:13" x14ac:dyDescent="0.35">
      <c r="M762" t="s">
        <v>1507</v>
      </c>
    </row>
    <row r="763" spans="13:13" x14ac:dyDescent="0.35">
      <c r="M763" t="s">
        <v>1508</v>
      </c>
    </row>
    <row r="764" spans="13:13" x14ac:dyDescent="0.35">
      <c r="M764" t="s">
        <v>1486</v>
      </c>
    </row>
    <row r="765" spans="13:13" x14ac:dyDescent="0.35">
      <c r="M765" t="s">
        <v>1509</v>
      </c>
    </row>
    <row r="766" spans="13:13" x14ac:dyDescent="0.35">
      <c r="M766" t="s">
        <v>1510</v>
      </c>
    </row>
    <row r="767" spans="13:13" x14ac:dyDescent="0.35">
      <c r="M767" t="s">
        <v>1511</v>
      </c>
    </row>
    <row r="768" spans="13:13" x14ac:dyDescent="0.35">
      <c r="M768" t="s">
        <v>1512</v>
      </c>
    </row>
    <row r="769" spans="13:13" x14ac:dyDescent="0.35">
      <c r="M769" t="s">
        <v>1240</v>
      </c>
    </row>
    <row r="770" spans="13:13" x14ac:dyDescent="0.35">
      <c r="M770" t="s">
        <v>1513</v>
      </c>
    </row>
    <row r="771" spans="13:13" x14ac:dyDescent="0.35">
      <c r="M771" t="s">
        <v>1514</v>
      </c>
    </row>
    <row r="772" spans="13:13" x14ac:dyDescent="0.35">
      <c r="M772" t="s">
        <v>1515</v>
      </c>
    </row>
    <row r="773" spans="13:13" x14ac:dyDescent="0.35">
      <c r="M773" t="s">
        <v>1516</v>
      </c>
    </row>
    <row r="774" spans="13:13" x14ac:dyDescent="0.35">
      <c r="M774" t="s">
        <v>1517</v>
      </c>
    </row>
    <row r="775" spans="13:13" x14ac:dyDescent="0.35">
      <c r="M775" t="s">
        <v>1518</v>
      </c>
    </row>
    <row r="776" spans="13:13" x14ac:dyDescent="0.35">
      <c r="M776" t="s">
        <v>1180</v>
      </c>
    </row>
    <row r="777" spans="13:13" x14ac:dyDescent="0.35">
      <c r="M777" t="s">
        <v>1519</v>
      </c>
    </row>
    <row r="778" spans="13:13" x14ac:dyDescent="0.35">
      <c r="M778" t="s">
        <v>595</v>
      </c>
    </row>
    <row r="779" spans="13:13" x14ac:dyDescent="0.35">
      <c r="M779" t="s">
        <v>1520</v>
      </c>
    </row>
    <row r="780" spans="13:13" x14ac:dyDescent="0.35">
      <c r="M780" t="s">
        <v>1521</v>
      </c>
    </row>
    <row r="781" spans="13:13" x14ac:dyDescent="0.35">
      <c r="M781" t="s">
        <v>1522</v>
      </c>
    </row>
    <row r="782" spans="13:13" x14ac:dyDescent="0.35">
      <c r="M782" t="s">
        <v>1523</v>
      </c>
    </row>
    <row r="783" spans="13:13" x14ac:dyDescent="0.35">
      <c r="M783" t="s">
        <v>1524</v>
      </c>
    </row>
    <row r="784" spans="13:13" x14ac:dyDescent="0.35">
      <c r="M784" t="s">
        <v>1525</v>
      </c>
    </row>
    <row r="785" spans="13:13" x14ac:dyDescent="0.35">
      <c r="M785" t="s">
        <v>1526</v>
      </c>
    </row>
    <row r="786" spans="13:13" x14ac:dyDescent="0.35">
      <c r="M786" t="s">
        <v>1527</v>
      </c>
    </row>
    <row r="787" spans="13:13" x14ac:dyDescent="0.35">
      <c r="M787" t="s">
        <v>1528</v>
      </c>
    </row>
    <row r="788" spans="13:13" x14ac:dyDescent="0.35">
      <c r="M788" t="s">
        <v>1529</v>
      </c>
    </row>
    <row r="789" spans="13:13" x14ac:dyDescent="0.35">
      <c r="M789" t="s">
        <v>1530</v>
      </c>
    </row>
    <row r="790" spans="13:13" x14ac:dyDescent="0.35">
      <c r="M790" t="s">
        <v>1531</v>
      </c>
    </row>
    <row r="791" spans="13:13" x14ac:dyDescent="0.35">
      <c r="M791" t="s">
        <v>1309</v>
      </c>
    </row>
    <row r="792" spans="13:13" x14ac:dyDescent="0.35">
      <c r="M792" t="s">
        <v>1532</v>
      </c>
    </row>
    <row r="793" spans="13:13" x14ac:dyDescent="0.35">
      <c r="M793" t="s">
        <v>1533</v>
      </c>
    </row>
    <row r="794" spans="13:13" x14ac:dyDescent="0.35">
      <c r="M794" t="s">
        <v>1534</v>
      </c>
    </row>
    <row r="795" spans="13:13" x14ac:dyDescent="0.35">
      <c r="M795" t="s">
        <v>1535</v>
      </c>
    </row>
    <row r="796" spans="13:13" x14ac:dyDescent="0.35">
      <c r="M796" t="s">
        <v>1536</v>
      </c>
    </row>
    <row r="797" spans="13:13" x14ac:dyDescent="0.35">
      <c r="M797" t="s">
        <v>1537</v>
      </c>
    </row>
    <row r="798" spans="13:13" x14ac:dyDescent="0.35">
      <c r="M798" t="s">
        <v>1538</v>
      </c>
    </row>
    <row r="799" spans="13:13" x14ac:dyDescent="0.35">
      <c r="M799" t="s">
        <v>1539</v>
      </c>
    </row>
    <row r="800" spans="13:13" x14ac:dyDescent="0.35">
      <c r="M800" t="s">
        <v>1540</v>
      </c>
    </row>
    <row r="801" spans="13:13" x14ac:dyDescent="0.35">
      <c r="M801" t="s">
        <v>1374</v>
      </c>
    </row>
    <row r="802" spans="13:13" x14ac:dyDescent="0.35">
      <c r="M802" t="s">
        <v>1541</v>
      </c>
    </row>
    <row r="803" spans="13:13" x14ac:dyDescent="0.35">
      <c r="M803" t="s">
        <v>1542</v>
      </c>
    </row>
    <row r="804" spans="13:13" x14ac:dyDescent="0.35">
      <c r="M804" t="s">
        <v>900</v>
      </c>
    </row>
    <row r="805" spans="13:13" x14ac:dyDescent="0.35">
      <c r="M805" t="s">
        <v>1543</v>
      </c>
    </row>
    <row r="806" spans="13:13" x14ac:dyDescent="0.35">
      <c r="M806" t="s">
        <v>1544</v>
      </c>
    </row>
    <row r="807" spans="13:13" x14ac:dyDescent="0.35">
      <c r="M807" t="s">
        <v>1545</v>
      </c>
    </row>
    <row r="808" spans="13:13" x14ac:dyDescent="0.35">
      <c r="M808" t="s">
        <v>1546</v>
      </c>
    </row>
    <row r="809" spans="13:13" x14ac:dyDescent="0.35">
      <c r="M809" t="s">
        <v>1547</v>
      </c>
    </row>
    <row r="810" spans="13:13" x14ac:dyDescent="0.35">
      <c r="M810" t="s">
        <v>1548</v>
      </c>
    </row>
    <row r="811" spans="13:13" x14ac:dyDescent="0.35">
      <c r="M811" t="s">
        <v>1549</v>
      </c>
    </row>
    <row r="812" spans="13:13" x14ac:dyDescent="0.35">
      <c r="M812" t="s">
        <v>1550</v>
      </c>
    </row>
    <row r="813" spans="13:13" x14ac:dyDescent="0.35">
      <c r="M813" t="s">
        <v>1551</v>
      </c>
    </row>
    <row r="814" spans="13:13" x14ac:dyDescent="0.35">
      <c r="M814" t="s">
        <v>1552</v>
      </c>
    </row>
    <row r="815" spans="13:13" x14ac:dyDescent="0.35">
      <c r="M815" t="s">
        <v>1553</v>
      </c>
    </row>
    <row r="816" spans="13:13" x14ac:dyDescent="0.35">
      <c r="M816" t="s">
        <v>1554</v>
      </c>
    </row>
    <row r="817" spans="13:13" x14ac:dyDescent="0.35">
      <c r="M817" t="s">
        <v>1555</v>
      </c>
    </row>
    <row r="818" spans="13:13" x14ac:dyDescent="0.35">
      <c r="M818" t="s">
        <v>1385</v>
      </c>
    </row>
    <row r="819" spans="13:13" x14ac:dyDescent="0.35">
      <c r="M819" t="s">
        <v>1556</v>
      </c>
    </row>
    <row r="820" spans="13:13" x14ac:dyDescent="0.35">
      <c r="M820" t="s">
        <v>987</v>
      </c>
    </row>
    <row r="821" spans="13:13" x14ac:dyDescent="0.35">
      <c r="M821" t="s">
        <v>1557</v>
      </c>
    </row>
    <row r="822" spans="13:13" x14ac:dyDescent="0.35">
      <c r="M822" t="s">
        <v>1558</v>
      </c>
    </row>
    <row r="823" spans="13:13" x14ac:dyDescent="0.35">
      <c r="M823" t="s">
        <v>1559</v>
      </c>
    </row>
    <row r="824" spans="13:13" x14ac:dyDescent="0.35">
      <c r="M824" t="s">
        <v>1560</v>
      </c>
    </row>
    <row r="825" spans="13:13" x14ac:dyDescent="0.35">
      <c r="M825" t="s">
        <v>997</v>
      </c>
    </row>
    <row r="826" spans="13:13" x14ac:dyDescent="0.35">
      <c r="M826" t="s">
        <v>1561</v>
      </c>
    </row>
    <row r="827" spans="13:13" x14ac:dyDescent="0.35">
      <c r="M827" t="s">
        <v>1562</v>
      </c>
    </row>
    <row r="828" spans="13:13" x14ac:dyDescent="0.35">
      <c r="M828" t="s">
        <v>1563</v>
      </c>
    </row>
    <row r="829" spans="13:13" x14ac:dyDescent="0.35">
      <c r="M829" t="s">
        <v>1564</v>
      </c>
    </row>
    <row r="830" spans="13:13" x14ac:dyDescent="0.35">
      <c r="M830" t="s">
        <v>1565</v>
      </c>
    </row>
    <row r="831" spans="13:13" x14ac:dyDescent="0.35">
      <c r="M831" t="s">
        <v>1566</v>
      </c>
    </row>
    <row r="832" spans="13:13" x14ac:dyDescent="0.35">
      <c r="M832" t="s">
        <v>1567</v>
      </c>
    </row>
    <row r="833" spans="13:13" x14ac:dyDescent="0.35">
      <c r="M833" t="s">
        <v>1568</v>
      </c>
    </row>
    <row r="834" spans="13:13" x14ac:dyDescent="0.35">
      <c r="M834" t="s">
        <v>1569</v>
      </c>
    </row>
    <row r="835" spans="13:13" x14ac:dyDescent="0.35">
      <c r="M835" t="s">
        <v>1570</v>
      </c>
    </row>
    <row r="836" spans="13:13" x14ac:dyDescent="0.35">
      <c r="M836" t="s">
        <v>1571</v>
      </c>
    </row>
    <row r="837" spans="13:13" x14ac:dyDescent="0.35">
      <c r="M837" t="s">
        <v>1572</v>
      </c>
    </row>
    <row r="838" spans="13:13" x14ac:dyDescent="0.35">
      <c r="M838" t="s">
        <v>1573</v>
      </c>
    </row>
    <row r="839" spans="13:13" x14ac:dyDescent="0.35">
      <c r="M839" t="s">
        <v>1574</v>
      </c>
    </row>
    <row r="840" spans="13:13" x14ac:dyDescent="0.35">
      <c r="M840" t="s">
        <v>1575</v>
      </c>
    </row>
    <row r="841" spans="13:13" x14ac:dyDescent="0.35">
      <c r="M841" t="s">
        <v>1576</v>
      </c>
    </row>
    <row r="842" spans="13:13" x14ac:dyDescent="0.35">
      <c r="M842" t="s">
        <v>1577</v>
      </c>
    </row>
    <row r="843" spans="13:13" x14ac:dyDescent="0.35">
      <c r="M843" t="s">
        <v>1578</v>
      </c>
    </row>
    <row r="844" spans="13:13" x14ac:dyDescent="0.35">
      <c r="M844" t="s">
        <v>1579</v>
      </c>
    </row>
    <row r="845" spans="13:13" x14ac:dyDescent="0.35">
      <c r="M845" t="s">
        <v>1580</v>
      </c>
    </row>
    <row r="846" spans="13:13" x14ac:dyDescent="0.35">
      <c r="M846" t="s">
        <v>1581</v>
      </c>
    </row>
    <row r="847" spans="13:13" x14ac:dyDescent="0.35">
      <c r="M847" t="s">
        <v>1582</v>
      </c>
    </row>
    <row r="848" spans="13:13" x14ac:dyDescent="0.35">
      <c r="M848" t="s">
        <v>1583</v>
      </c>
    </row>
    <row r="849" spans="13:13" x14ac:dyDescent="0.35">
      <c r="M849" t="s">
        <v>1584</v>
      </c>
    </row>
    <row r="850" spans="13:13" x14ac:dyDescent="0.35">
      <c r="M850" t="s">
        <v>1585</v>
      </c>
    </row>
    <row r="851" spans="13:13" x14ac:dyDescent="0.35">
      <c r="M851" t="s">
        <v>1586</v>
      </c>
    </row>
    <row r="852" spans="13:13" x14ac:dyDescent="0.35">
      <c r="M852" t="s">
        <v>1587</v>
      </c>
    </row>
    <row r="853" spans="13:13" x14ac:dyDescent="0.35">
      <c r="M853" t="s">
        <v>1588</v>
      </c>
    </row>
    <row r="854" spans="13:13" x14ac:dyDescent="0.35">
      <c r="M854" t="s">
        <v>1589</v>
      </c>
    </row>
    <row r="855" spans="13:13" x14ac:dyDescent="0.35">
      <c r="M855" t="s">
        <v>1590</v>
      </c>
    </row>
    <row r="856" spans="13:13" x14ac:dyDescent="0.35">
      <c r="M856" t="s">
        <v>1591</v>
      </c>
    </row>
    <row r="857" spans="13:13" x14ac:dyDescent="0.35">
      <c r="M857" t="s">
        <v>1592</v>
      </c>
    </row>
    <row r="858" spans="13:13" x14ac:dyDescent="0.35">
      <c r="M858" t="s">
        <v>1593</v>
      </c>
    </row>
    <row r="859" spans="13:13" x14ac:dyDescent="0.35">
      <c r="M859" t="s">
        <v>1594</v>
      </c>
    </row>
    <row r="860" spans="13:13" x14ac:dyDescent="0.35">
      <c r="M860" t="s">
        <v>1595</v>
      </c>
    </row>
    <row r="861" spans="13:13" x14ac:dyDescent="0.35">
      <c r="M861" t="s">
        <v>794</v>
      </c>
    </row>
    <row r="862" spans="13:13" x14ac:dyDescent="0.35">
      <c r="M862" t="s">
        <v>1355</v>
      </c>
    </row>
    <row r="863" spans="13:13" x14ac:dyDescent="0.35">
      <c r="M863" t="s">
        <v>1596</v>
      </c>
    </row>
    <row r="864" spans="13:13" x14ac:dyDescent="0.35">
      <c r="M864" t="s">
        <v>1597</v>
      </c>
    </row>
    <row r="865" spans="13:13" x14ac:dyDescent="0.35">
      <c r="M865" t="s">
        <v>1598</v>
      </c>
    </row>
    <row r="866" spans="13:13" x14ac:dyDescent="0.35">
      <c r="M866" t="s">
        <v>1599</v>
      </c>
    </row>
    <row r="867" spans="13:13" x14ac:dyDescent="0.35">
      <c r="M867" t="s">
        <v>1600</v>
      </c>
    </row>
    <row r="868" spans="13:13" x14ac:dyDescent="0.35">
      <c r="M868" t="s">
        <v>1601</v>
      </c>
    </row>
    <row r="869" spans="13:13" x14ac:dyDescent="0.35">
      <c r="M869" t="s">
        <v>1602</v>
      </c>
    </row>
    <row r="870" spans="13:13" x14ac:dyDescent="0.35">
      <c r="M870" t="s">
        <v>1603</v>
      </c>
    </row>
    <row r="871" spans="13:13" x14ac:dyDescent="0.35">
      <c r="M871" t="s">
        <v>1604</v>
      </c>
    </row>
    <row r="872" spans="13:13" x14ac:dyDescent="0.35">
      <c r="M872" t="s">
        <v>1605</v>
      </c>
    </row>
    <row r="873" spans="13:13" x14ac:dyDescent="0.35">
      <c r="M873" t="s">
        <v>1606</v>
      </c>
    </row>
    <row r="874" spans="13:13" x14ac:dyDescent="0.35">
      <c r="M874" t="s">
        <v>1607</v>
      </c>
    </row>
    <row r="875" spans="13:13" x14ac:dyDescent="0.35">
      <c r="M875" t="s">
        <v>1608</v>
      </c>
    </row>
    <row r="876" spans="13:13" x14ac:dyDescent="0.35">
      <c r="M876" t="s">
        <v>840</v>
      </c>
    </row>
    <row r="877" spans="13:13" x14ac:dyDescent="0.35">
      <c r="M877" t="s">
        <v>1609</v>
      </c>
    </row>
    <row r="878" spans="13:13" x14ac:dyDescent="0.35">
      <c r="M878" t="s">
        <v>1610</v>
      </c>
    </row>
    <row r="879" spans="13:13" x14ac:dyDescent="0.35">
      <c r="M879" t="s">
        <v>1611</v>
      </c>
    </row>
    <row r="880" spans="13:13" x14ac:dyDescent="0.35">
      <c r="M880" t="s">
        <v>1612</v>
      </c>
    </row>
    <row r="881" spans="13:13" x14ac:dyDescent="0.35">
      <c r="M881" t="s">
        <v>1613</v>
      </c>
    </row>
    <row r="882" spans="13:13" x14ac:dyDescent="0.35">
      <c r="M882" t="s">
        <v>1614</v>
      </c>
    </row>
    <row r="883" spans="13:13" x14ac:dyDescent="0.35">
      <c r="M883" t="s">
        <v>1615</v>
      </c>
    </row>
    <row r="884" spans="13:13" x14ac:dyDescent="0.35">
      <c r="M884" t="s">
        <v>877</v>
      </c>
    </row>
    <row r="885" spans="13:13" x14ac:dyDescent="0.35">
      <c r="M885" t="s">
        <v>1616</v>
      </c>
    </row>
    <row r="886" spans="13:13" x14ac:dyDescent="0.35">
      <c r="M886" t="s">
        <v>1577</v>
      </c>
    </row>
    <row r="887" spans="13:13" x14ac:dyDescent="0.35">
      <c r="M887" t="s">
        <v>1617</v>
      </c>
    </row>
    <row r="888" spans="13:13" x14ac:dyDescent="0.35">
      <c r="M888" t="s">
        <v>1618</v>
      </c>
    </row>
    <row r="889" spans="13:13" x14ac:dyDescent="0.35">
      <c r="M889" t="s">
        <v>1619</v>
      </c>
    </row>
    <row r="890" spans="13:13" x14ac:dyDescent="0.35">
      <c r="M890" t="s">
        <v>845</v>
      </c>
    </row>
    <row r="891" spans="13:13" x14ac:dyDescent="0.35">
      <c r="M891" t="s">
        <v>1059</v>
      </c>
    </row>
    <row r="892" spans="13:13" x14ac:dyDescent="0.35">
      <c r="M892" t="s">
        <v>1620</v>
      </c>
    </row>
    <row r="893" spans="13:13" x14ac:dyDescent="0.35">
      <c r="M893" t="s">
        <v>1621</v>
      </c>
    </row>
    <row r="894" spans="13:13" x14ac:dyDescent="0.35">
      <c r="M894" t="s">
        <v>1622</v>
      </c>
    </row>
    <row r="895" spans="13:13" x14ac:dyDescent="0.35">
      <c r="M895" t="s">
        <v>1623</v>
      </c>
    </row>
    <row r="896" spans="13:13" x14ac:dyDescent="0.35">
      <c r="M896" t="s">
        <v>1624</v>
      </c>
    </row>
    <row r="897" spans="13:13" x14ac:dyDescent="0.35">
      <c r="M897" t="s">
        <v>1625</v>
      </c>
    </row>
    <row r="898" spans="13:13" x14ac:dyDescent="0.35">
      <c r="M898" t="s">
        <v>1626</v>
      </c>
    </row>
    <row r="899" spans="13:13" x14ac:dyDescent="0.35">
      <c r="M899" t="s">
        <v>1627</v>
      </c>
    </row>
    <row r="900" spans="13:13" x14ac:dyDescent="0.35">
      <c r="M900" t="s">
        <v>1628</v>
      </c>
    </row>
    <row r="901" spans="13:13" x14ac:dyDescent="0.35">
      <c r="M901" t="s">
        <v>1629</v>
      </c>
    </row>
    <row r="902" spans="13:13" x14ac:dyDescent="0.35">
      <c r="M902" t="s">
        <v>1630</v>
      </c>
    </row>
    <row r="903" spans="13:13" x14ac:dyDescent="0.35">
      <c r="M903" t="s">
        <v>1631</v>
      </c>
    </row>
    <row r="904" spans="13:13" x14ac:dyDescent="0.35">
      <c r="M904" t="s">
        <v>1632</v>
      </c>
    </row>
    <row r="905" spans="13:13" x14ac:dyDescent="0.35">
      <c r="M905" t="s">
        <v>1633</v>
      </c>
    </row>
    <row r="906" spans="13:13" x14ac:dyDescent="0.35">
      <c r="M906" t="s">
        <v>1634</v>
      </c>
    </row>
    <row r="907" spans="13:13" x14ac:dyDescent="0.35">
      <c r="M907" t="s">
        <v>1635</v>
      </c>
    </row>
    <row r="908" spans="13:13" x14ac:dyDescent="0.35">
      <c r="M908" t="s">
        <v>1208</v>
      </c>
    </row>
    <row r="909" spans="13:13" x14ac:dyDescent="0.35">
      <c r="M909" t="s">
        <v>1636</v>
      </c>
    </row>
    <row r="910" spans="13:13" x14ac:dyDescent="0.35">
      <c r="M910" t="s">
        <v>1637</v>
      </c>
    </row>
    <row r="911" spans="13:13" x14ac:dyDescent="0.35">
      <c r="M911" t="s">
        <v>1638</v>
      </c>
    </row>
    <row r="912" spans="13:13" x14ac:dyDescent="0.35">
      <c r="M912" t="s">
        <v>1639</v>
      </c>
    </row>
    <row r="913" spans="13:13" x14ac:dyDescent="0.35">
      <c r="M913" t="s">
        <v>881</v>
      </c>
    </row>
    <row r="914" spans="13:13" x14ac:dyDescent="0.35">
      <c r="M914" t="s">
        <v>1640</v>
      </c>
    </row>
    <row r="915" spans="13:13" x14ac:dyDescent="0.35">
      <c r="M915" t="s">
        <v>1641</v>
      </c>
    </row>
    <row r="916" spans="13:13" x14ac:dyDescent="0.35">
      <c r="M916" t="s">
        <v>1642</v>
      </c>
    </row>
    <row r="917" spans="13:13" x14ac:dyDescent="0.35">
      <c r="M917" t="s">
        <v>1643</v>
      </c>
    </row>
    <row r="918" spans="13:13" x14ac:dyDescent="0.35">
      <c r="M918" t="s">
        <v>1644</v>
      </c>
    </row>
    <row r="919" spans="13:13" x14ac:dyDescent="0.35">
      <c r="M919" t="s">
        <v>1645</v>
      </c>
    </row>
    <row r="920" spans="13:13" x14ac:dyDescent="0.35">
      <c r="M920" t="s">
        <v>1646</v>
      </c>
    </row>
    <row r="921" spans="13:13" x14ac:dyDescent="0.35">
      <c r="M921" t="s">
        <v>1647</v>
      </c>
    </row>
    <row r="922" spans="13:13" x14ac:dyDescent="0.35">
      <c r="M922" t="s">
        <v>834</v>
      </c>
    </row>
    <row r="923" spans="13:13" x14ac:dyDescent="0.35">
      <c r="M923" t="s">
        <v>1648</v>
      </c>
    </row>
    <row r="924" spans="13:13" x14ac:dyDescent="0.35">
      <c r="M924" t="s">
        <v>1649</v>
      </c>
    </row>
    <row r="925" spans="13:13" x14ac:dyDescent="0.35">
      <c r="M925" t="s">
        <v>1650</v>
      </c>
    </row>
    <row r="926" spans="13:13" x14ac:dyDescent="0.35">
      <c r="M926" t="s">
        <v>1651</v>
      </c>
    </row>
    <row r="927" spans="13:13" x14ac:dyDescent="0.35">
      <c r="M927" t="s">
        <v>1652</v>
      </c>
    </row>
    <row r="928" spans="13:13" x14ac:dyDescent="0.35">
      <c r="M928" t="s">
        <v>1653</v>
      </c>
    </row>
    <row r="929" spans="13:13" x14ac:dyDescent="0.35">
      <c r="M929" t="s">
        <v>1654</v>
      </c>
    </row>
    <row r="930" spans="13:13" x14ac:dyDescent="0.35">
      <c r="M930" t="s">
        <v>1655</v>
      </c>
    </row>
    <row r="931" spans="13:13" x14ac:dyDescent="0.35">
      <c r="M931" t="s">
        <v>1656</v>
      </c>
    </row>
    <row r="932" spans="13:13" x14ac:dyDescent="0.35">
      <c r="M932" t="s">
        <v>1657</v>
      </c>
    </row>
    <row r="933" spans="13:13" x14ac:dyDescent="0.35">
      <c r="M933" t="s">
        <v>1658</v>
      </c>
    </row>
    <row r="934" spans="13:13" x14ac:dyDescent="0.35">
      <c r="M934" t="s">
        <v>1659</v>
      </c>
    </row>
    <row r="935" spans="13:13" x14ac:dyDescent="0.35">
      <c r="M935" t="s">
        <v>1660</v>
      </c>
    </row>
    <row r="936" spans="13:13" x14ac:dyDescent="0.35">
      <c r="M936" t="s">
        <v>866</v>
      </c>
    </row>
    <row r="937" spans="13:13" x14ac:dyDescent="0.35">
      <c r="M937" t="s">
        <v>1661</v>
      </c>
    </row>
    <row r="938" spans="13:13" x14ac:dyDescent="0.35">
      <c r="M938" t="s">
        <v>1662</v>
      </c>
    </row>
    <row r="939" spans="13:13" x14ac:dyDescent="0.35">
      <c r="M939" t="s">
        <v>1663</v>
      </c>
    </row>
    <row r="940" spans="13:13" x14ac:dyDescent="0.35">
      <c r="M940" t="s">
        <v>1664</v>
      </c>
    </row>
    <row r="941" spans="13:13" x14ac:dyDescent="0.35">
      <c r="M941" t="s">
        <v>1665</v>
      </c>
    </row>
    <row r="942" spans="13:13" x14ac:dyDescent="0.35">
      <c r="M942" t="s">
        <v>836</v>
      </c>
    </row>
    <row r="943" spans="13:13" x14ac:dyDescent="0.35">
      <c r="M943" t="s">
        <v>1666</v>
      </c>
    </row>
    <row r="944" spans="13:13" x14ac:dyDescent="0.35">
      <c r="M944" t="s">
        <v>1616</v>
      </c>
    </row>
    <row r="945" spans="13:13" x14ac:dyDescent="0.35">
      <c r="M945" t="s">
        <v>1667</v>
      </c>
    </row>
    <row r="946" spans="13:13" x14ac:dyDescent="0.35">
      <c r="M946" t="s">
        <v>1668</v>
      </c>
    </row>
    <row r="947" spans="13:13" x14ac:dyDescent="0.35">
      <c r="M947" t="s">
        <v>1381</v>
      </c>
    </row>
    <row r="948" spans="13:13" x14ac:dyDescent="0.35">
      <c r="M948" t="s">
        <v>1669</v>
      </c>
    </row>
    <row r="949" spans="13:13" x14ac:dyDescent="0.35">
      <c r="M949" t="s">
        <v>1670</v>
      </c>
    </row>
    <row r="950" spans="13:13" x14ac:dyDescent="0.35">
      <c r="M950" t="s">
        <v>1671</v>
      </c>
    </row>
    <row r="951" spans="13:13" x14ac:dyDescent="0.35">
      <c r="M951" t="s">
        <v>1672</v>
      </c>
    </row>
    <row r="952" spans="13:13" x14ac:dyDescent="0.35">
      <c r="M952" t="s">
        <v>1673</v>
      </c>
    </row>
    <row r="953" spans="13:13" x14ac:dyDescent="0.35">
      <c r="M953" t="s">
        <v>1674</v>
      </c>
    </row>
    <row r="954" spans="13:13" x14ac:dyDescent="0.35">
      <c r="M954" t="s">
        <v>1675</v>
      </c>
    </row>
    <row r="955" spans="13:13" x14ac:dyDescent="0.35">
      <c r="M955" t="s">
        <v>1676</v>
      </c>
    </row>
    <row r="956" spans="13:13" x14ac:dyDescent="0.35">
      <c r="M956" t="s">
        <v>1677</v>
      </c>
    </row>
    <row r="957" spans="13:13" x14ac:dyDescent="0.35">
      <c r="M957" t="s">
        <v>1678</v>
      </c>
    </row>
    <row r="958" spans="13:13" x14ac:dyDescent="0.35">
      <c r="M958" t="s">
        <v>1679</v>
      </c>
    </row>
    <row r="959" spans="13:13" x14ac:dyDescent="0.35">
      <c r="M959" t="s">
        <v>1680</v>
      </c>
    </row>
    <row r="960" spans="13:13" x14ac:dyDescent="0.35">
      <c r="M960" t="s">
        <v>1681</v>
      </c>
    </row>
    <row r="961" spans="13:13" x14ac:dyDescent="0.35">
      <c r="M961" t="s">
        <v>977</v>
      </c>
    </row>
    <row r="962" spans="13:13" x14ac:dyDescent="0.35">
      <c r="M962" t="s">
        <v>1682</v>
      </c>
    </row>
    <row r="963" spans="13:13" x14ac:dyDescent="0.35">
      <c r="M963" t="s">
        <v>887</v>
      </c>
    </row>
    <row r="964" spans="13:13" x14ac:dyDescent="0.35">
      <c r="M964" t="s">
        <v>1683</v>
      </c>
    </row>
    <row r="965" spans="13:13" x14ac:dyDescent="0.35">
      <c r="M965" t="s">
        <v>1684</v>
      </c>
    </row>
    <row r="966" spans="13:13" x14ac:dyDescent="0.35">
      <c r="M966" t="s">
        <v>1685</v>
      </c>
    </row>
    <row r="967" spans="13:13" x14ac:dyDescent="0.35">
      <c r="M967" t="s">
        <v>1686</v>
      </c>
    </row>
    <row r="968" spans="13:13" x14ac:dyDescent="0.35">
      <c r="M968" t="s">
        <v>1687</v>
      </c>
    </row>
    <row r="969" spans="13:13" x14ac:dyDescent="0.35">
      <c r="M969" t="s">
        <v>1688</v>
      </c>
    </row>
    <row r="970" spans="13:13" x14ac:dyDescent="0.35">
      <c r="M970" t="s">
        <v>1689</v>
      </c>
    </row>
    <row r="971" spans="13:13" x14ac:dyDescent="0.35">
      <c r="M971" t="s">
        <v>1690</v>
      </c>
    </row>
    <row r="972" spans="13:13" x14ac:dyDescent="0.35">
      <c r="M972" t="s">
        <v>1691</v>
      </c>
    </row>
    <row r="973" spans="13:13" x14ac:dyDescent="0.35">
      <c r="M973" t="s">
        <v>1692</v>
      </c>
    </row>
    <row r="974" spans="13:13" x14ac:dyDescent="0.35">
      <c r="M974" t="s">
        <v>1693</v>
      </c>
    </row>
    <row r="975" spans="13:13" x14ac:dyDescent="0.35">
      <c r="M975" t="s">
        <v>1694</v>
      </c>
    </row>
    <row r="976" spans="13:13" x14ac:dyDescent="0.35">
      <c r="M976" t="s">
        <v>1695</v>
      </c>
    </row>
    <row r="977" spans="13:13" x14ac:dyDescent="0.35">
      <c r="M977" t="s">
        <v>1696</v>
      </c>
    </row>
    <row r="978" spans="13:13" x14ac:dyDescent="0.35">
      <c r="M978" t="s">
        <v>1697</v>
      </c>
    </row>
    <row r="979" spans="13:13" x14ac:dyDescent="0.35">
      <c r="M979" t="s">
        <v>875</v>
      </c>
    </row>
    <row r="980" spans="13:13" x14ac:dyDescent="0.35">
      <c r="M980" t="s">
        <v>1698</v>
      </c>
    </row>
    <row r="981" spans="13:13" x14ac:dyDescent="0.35">
      <c r="M981" t="s">
        <v>1699</v>
      </c>
    </row>
    <row r="982" spans="13:13" x14ac:dyDescent="0.35">
      <c r="M982" t="s">
        <v>1700</v>
      </c>
    </row>
    <row r="983" spans="13:13" x14ac:dyDescent="0.35">
      <c r="M983" t="s">
        <v>1701</v>
      </c>
    </row>
    <row r="984" spans="13:13" x14ac:dyDescent="0.35">
      <c r="M984" t="s">
        <v>1702</v>
      </c>
    </row>
    <row r="985" spans="13:13" x14ac:dyDescent="0.35">
      <c r="M985" t="s">
        <v>1147</v>
      </c>
    </row>
    <row r="986" spans="13:13" x14ac:dyDescent="0.35">
      <c r="M986" t="s">
        <v>918</v>
      </c>
    </row>
    <row r="987" spans="13:13" x14ac:dyDescent="0.35">
      <c r="M987" t="s">
        <v>1209</v>
      </c>
    </row>
    <row r="988" spans="13:13" x14ac:dyDescent="0.35">
      <c r="M988" t="s">
        <v>1703</v>
      </c>
    </row>
    <row r="989" spans="13:13" x14ac:dyDescent="0.35">
      <c r="M989" t="s">
        <v>1704</v>
      </c>
    </row>
    <row r="990" spans="13:13" x14ac:dyDescent="0.35">
      <c r="M990" t="s">
        <v>1351</v>
      </c>
    </row>
    <row r="991" spans="13:13" x14ac:dyDescent="0.35">
      <c r="M991" t="s">
        <v>1705</v>
      </c>
    </row>
    <row r="992" spans="13:13" x14ac:dyDescent="0.35">
      <c r="M992" t="s">
        <v>1706</v>
      </c>
    </row>
    <row r="993" spans="13:13" x14ac:dyDescent="0.35">
      <c r="M993" t="s">
        <v>1707</v>
      </c>
    </row>
    <row r="994" spans="13:13" x14ac:dyDescent="0.35">
      <c r="M994" t="s">
        <v>1708</v>
      </c>
    </row>
    <row r="995" spans="13:13" x14ac:dyDescent="0.35">
      <c r="M995" t="s">
        <v>1709</v>
      </c>
    </row>
    <row r="996" spans="13:13" x14ac:dyDescent="0.35">
      <c r="M996" t="s">
        <v>1228</v>
      </c>
    </row>
    <row r="997" spans="13:13" x14ac:dyDescent="0.35">
      <c r="M997" t="s">
        <v>1710</v>
      </c>
    </row>
    <row r="998" spans="13:13" x14ac:dyDescent="0.35">
      <c r="M998" t="s">
        <v>1711</v>
      </c>
    </row>
    <row r="999" spans="13:13" x14ac:dyDescent="0.35">
      <c r="M999" t="s">
        <v>1712</v>
      </c>
    </row>
    <row r="1000" spans="13:13" x14ac:dyDescent="0.35">
      <c r="M1000" t="s">
        <v>1713</v>
      </c>
    </row>
    <row r="1001" spans="13:13" x14ac:dyDescent="0.35">
      <c r="M1001" t="s">
        <v>601</v>
      </c>
    </row>
    <row r="1002" spans="13:13" x14ac:dyDescent="0.35">
      <c r="M1002" t="s">
        <v>1714</v>
      </c>
    </row>
    <row r="1003" spans="13:13" x14ac:dyDescent="0.35">
      <c r="M1003" t="s">
        <v>1715</v>
      </c>
    </row>
    <row r="1004" spans="13:13" x14ac:dyDescent="0.35">
      <c r="M1004" t="s">
        <v>1716</v>
      </c>
    </row>
    <row r="1005" spans="13:13" x14ac:dyDescent="0.35">
      <c r="M1005" t="s">
        <v>601</v>
      </c>
    </row>
    <row r="1006" spans="13:13" x14ac:dyDescent="0.35">
      <c r="M1006" t="s">
        <v>1717</v>
      </c>
    </row>
    <row r="1007" spans="13:13" x14ac:dyDescent="0.35">
      <c r="M1007" t="s">
        <v>1718</v>
      </c>
    </row>
    <row r="1008" spans="13:13" x14ac:dyDescent="0.35">
      <c r="M1008" t="s">
        <v>1719</v>
      </c>
    </row>
    <row r="1009" spans="13:13" x14ac:dyDescent="0.35">
      <c r="M1009" t="s">
        <v>1720</v>
      </c>
    </row>
    <row r="1010" spans="13:13" x14ac:dyDescent="0.35">
      <c r="M1010" t="s">
        <v>1721</v>
      </c>
    </row>
    <row r="1011" spans="13:13" x14ac:dyDescent="0.35">
      <c r="M1011" t="s">
        <v>1722</v>
      </c>
    </row>
    <row r="1012" spans="13:13" x14ac:dyDescent="0.35">
      <c r="M1012" t="s">
        <v>1723</v>
      </c>
    </row>
    <row r="1013" spans="13:13" x14ac:dyDescent="0.35">
      <c r="M1013" t="s">
        <v>1724</v>
      </c>
    </row>
    <row r="1014" spans="13:13" x14ac:dyDescent="0.35">
      <c r="M1014" t="s">
        <v>1725</v>
      </c>
    </row>
    <row r="1015" spans="13:13" x14ac:dyDescent="0.35">
      <c r="M1015" t="s">
        <v>1726</v>
      </c>
    </row>
    <row r="1016" spans="13:13" x14ac:dyDescent="0.35">
      <c r="M1016" t="s">
        <v>1059</v>
      </c>
    </row>
    <row r="1017" spans="13:13" x14ac:dyDescent="0.35">
      <c r="M1017" t="s">
        <v>1727</v>
      </c>
    </row>
    <row r="1018" spans="13:13" x14ac:dyDescent="0.35">
      <c r="M1018" t="s">
        <v>1728</v>
      </c>
    </row>
    <row r="1019" spans="13:13" x14ac:dyDescent="0.35">
      <c r="M1019" t="s">
        <v>1729</v>
      </c>
    </row>
    <row r="1020" spans="13:13" x14ac:dyDescent="0.35">
      <c r="M1020" t="s">
        <v>1730</v>
      </c>
    </row>
    <row r="1021" spans="13:13" x14ac:dyDescent="0.35">
      <c r="M1021" t="s">
        <v>1731</v>
      </c>
    </row>
    <row r="1022" spans="13:13" x14ac:dyDescent="0.35">
      <c r="M1022" t="s">
        <v>1732</v>
      </c>
    </row>
    <row r="1023" spans="13:13" x14ac:dyDescent="0.35">
      <c r="M1023" t="s">
        <v>838</v>
      </c>
    </row>
    <row r="1024" spans="13:13" x14ac:dyDescent="0.35">
      <c r="M1024" t="s">
        <v>1733</v>
      </c>
    </row>
    <row r="1025" spans="13:13" x14ac:dyDescent="0.35">
      <c r="M1025" t="s">
        <v>1734</v>
      </c>
    </row>
    <row r="1026" spans="13:13" x14ac:dyDescent="0.35">
      <c r="M1026" t="s">
        <v>871</v>
      </c>
    </row>
    <row r="1027" spans="13:13" x14ac:dyDescent="0.35">
      <c r="M1027" t="s">
        <v>1735</v>
      </c>
    </row>
    <row r="1028" spans="13:13" x14ac:dyDescent="0.35">
      <c r="M1028" t="s">
        <v>1736</v>
      </c>
    </row>
    <row r="1029" spans="13:13" x14ac:dyDescent="0.35">
      <c r="M1029" t="s">
        <v>1737</v>
      </c>
    </row>
    <row r="1030" spans="13:13" x14ac:dyDescent="0.35">
      <c r="M1030" t="s">
        <v>1738</v>
      </c>
    </row>
    <row r="1031" spans="13:13" x14ac:dyDescent="0.35">
      <c r="M1031" t="s">
        <v>1739</v>
      </c>
    </row>
    <row r="1032" spans="13:13" x14ac:dyDescent="0.35">
      <c r="M1032" t="s">
        <v>1740</v>
      </c>
    </row>
    <row r="1033" spans="13:13" x14ac:dyDescent="0.35">
      <c r="M1033" t="s">
        <v>1741</v>
      </c>
    </row>
    <row r="1034" spans="13:13" x14ac:dyDescent="0.35">
      <c r="M1034" t="s">
        <v>1742</v>
      </c>
    </row>
    <row r="1035" spans="13:13" x14ac:dyDescent="0.35">
      <c r="M1035" t="s">
        <v>1743</v>
      </c>
    </row>
    <row r="1036" spans="13:13" x14ac:dyDescent="0.35">
      <c r="M1036" t="s">
        <v>1744</v>
      </c>
    </row>
    <row r="1037" spans="13:13" x14ac:dyDescent="0.35">
      <c r="M1037" t="s">
        <v>1745</v>
      </c>
    </row>
    <row r="1038" spans="13:13" x14ac:dyDescent="0.35">
      <c r="M1038" t="s">
        <v>1746</v>
      </c>
    </row>
    <row r="1039" spans="13:13" x14ac:dyDescent="0.35">
      <c r="M1039" t="s">
        <v>1747</v>
      </c>
    </row>
    <row r="1040" spans="13:13" x14ac:dyDescent="0.35">
      <c r="M1040" t="s">
        <v>1748</v>
      </c>
    </row>
    <row r="1041" spans="13:13" x14ac:dyDescent="0.35">
      <c r="M1041" t="s">
        <v>1749</v>
      </c>
    </row>
    <row r="1042" spans="13:13" x14ac:dyDescent="0.35">
      <c r="M1042" t="s">
        <v>1750</v>
      </c>
    </row>
    <row r="1043" spans="13:13" x14ac:dyDescent="0.35">
      <c r="M1043" t="s">
        <v>1751</v>
      </c>
    </row>
    <row r="1044" spans="13:13" x14ac:dyDescent="0.35">
      <c r="M1044" t="s">
        <v>1752</v>
      </c>
    </row>
    <row r="1045" spans="13:13" x14ac:dyDescent="0.35">
      <c r="M1045" t="s">
        <v>1753</v>
      </c>
    </row>
    <row r="1046" spans="13:13" x14ac:dyDescent="0.35">
      <c r="M1046" t="s">
        <v>1754</v>
      </c>
    </row>
    <row r="1047" spans="13:13" x14ac:dyDescent="0.35">
      <c r="M1047" t="s">
        <v>1755</v>
      </c>
    </row>
    <row r="1048" spans="13:13" x14ac:dyDescent="0.35">
      <c r="M1048" t="s">
        <v>1756</v>
      </c>
    </row>
    <row r="1049" spans="13:13" x14ac:dyDescent="0.35">
      <c r="M1049" t="s">
        <v>1757</v>
      </c>
    </row>
    <row r="1050" spans="13:13" x14ac:dyDescent="0.35">
      <c r="M1050" t="s">
        <v>1758</v>
      </c>
    </row>
    <row r="1051" spans="13:13" x14ac:dyDescent="0.35">
      <c r="M1051" t="s">
        <v>1759</v>
      </c>
    </row>
    <row r="1052" spans="13:13" x14ac:dyDescent="0.35">
      <c r="M1052" t="s">
        <v>1760</v>
      </c>
    </row>
    <row r="1053" spans="13:13" x14ac:dyDescent="0.35">
      <c r="M1053" t="s">
        <v>1761</v>
      </c>
    </row>
    <row r="1054" spans="13:13" x14ac:dyDescent="0.35">
      <c r="M1054" t="s">
        <v>1762</v>
      </c>
    </row>
    <row r="1055" spans="13:13" x14ac:dyDescent="0.35">
      <c r="M1055" t="s">
        <v>1763</v>
      </c>
    </row>
    <row r="1056" spans="13:13" x14ac:dyDescent="0.35">
      <c r="M1056" t="s">
        <v>1764</v>
      </c>
    </row>
    <row r="1057" spans="13:13" x14ac:dyDescent="0.35">
      <c r="M1057" t="s">
        <v>1765</v>
      </c>
    </row>
    <row r="1058" spans="13:13" x14ac:dyDescent="0.35">
      <c r="M1058" t="s">
        <v>1766</v>
      </c>
    </row>
    <row r="1059" spans="13:13" x14ac:dyDescent="0.35">
      <c r="M1059" t="s">
        <v>878</v>
      </c>
    </row>
    <row r="1060" spans="13:13" x14ac:dyDescent="0.35">
      <c r="M1060" t="s">
        <v>1767</v>
      </c>
    </row>
    <row r="1061" spans="13:13" x14ac:dyDescent="0.35">
      <c r="M1061" t="s">
        <v>1768</v>
      </c>
    </row>
    <row r="1062" spans="13:13" x14ac:dyDescent="0.35">
      <c r="M1062" t="s">
        <v>1769</v>
      </c>
    </row>
    <row r="1063" spans="13:13" x14ac:dyDescent="0.35">
      <c r="M1063" t="s">
        <v>1770</v>
      </c>
    </row>
    <row r="1064" spans="13:13" x14ac:dyDescent="0.35">
      <c r="M1064" t="s">
        <v>1771</v>
      </c>
    </row>
    <row r="1065" spans="13:13" x14ac:dyDescent="0.35">
      <c r="M1065" t="s">
        <v>1772</v>
      </c>
    </row>
    <row r="1066" spans="13:13" x14ac:dyDescent="0.35">
      <c r="M1066" t="s">
        <v>1773</v>
      </c>
    </row>
    <row r="1067" spans="13:13" x14ac:dyDescent="0.35">
      <c r="M1067" t="s">
        <v>1774</v>
      </c>
    </row>
    <row r="1068" spans="13:13" x14ac:dyDescent="0.35">
      <c r="M1068" t="s">
        <v>1775</v>
      </c>
    </row>
    <row r="1069" spans="13:13" x14ac:dyDescent="0.35">
      <c r="M1069" t="s">
        <v>1776</v>
      </c>
    </row>
    <row r="1070" spans="13:13" x14ac:dyDescent="0.35">
      <c r="M1070" t="s">
        <v>1777</v>
      </c>
    </row>
    <row r="1071" spans="13:13" x14ac:dyDescent="0.35">
      <c r="M1071" t="s">
        <v>1778</v>
      </c>
    </row>
    <row r="1072" spans="13:13" x14ac:dyDescent="0.35">
      <c r="M1072" t="s">
        <v>1779</v>
      </c>
    </row>
    <row r="1073" spans="13:13" x14ac:dyDescent="0.35">
      <c r="M1073" t="s">
        <v>1780</v>
      </c>
    </row>
    <row r="1074" spans="13:13" x14ac:dyDescent="0.35">
      <c r="M1074" t="s">
        <v>1781</v>
      </c>
    </row>
    <row r="1075" spans="13:13" x14ac:dyDescent="0.35">
      <c r="M1075" t="s">
        <v>1782</v>
      </c>
    </row>
    <row r="1076" spans="13:13" x14ac:dyDescent="0.35">
      <c r="M1076" t="s">
        <v>1783</v>
      </c>
    </row>
    <row r="1077" spans="13:13" x14ac:dyDescent="0.35">
      <c r="M1077" t="s">
        <v>1784</v>
      </c>
    </row>
    <row r="1078" spans="13:13" x14ac:dyDescent="0.35">
      <c r="M1078" t="s">
        <v>1785</v>
      </c>
    </row>
    <row r="1079" spans="13:13" x14ac:dyDescent="0.35">
      <c r="M1079" t="s">
        <v>1786</v>
      </c>
    </row>
    <row r="1080" spans="13:13" x14ac:dyDescent="0.35">
      <c r="M1080" t="s">
        <v>1787</v>
      </c>
    </row>
    <row r="1081" spans="13:13" x14ac:dyDescent="0.35">
      <c r="M1081" t="s">
        <v>1788</v>
      </c>
    </row>
    <row r="1082" spans="13:13" x14ac:dyDescent="0.35">
      <c r="M1082" t="s">
        <v>1789</v>
      </c>
    </row>
    <row r="1083" spans="13:13" x14ac:dyDescent="0.35">
      <c r="M1083" t="s">
        <v>1509</v>
      </c>
    </row>
    <row r="1084" spans="13:13" x14ac:dyDescent="0.35">
      <c r="M1084" t="s">
        <v>1790</v>
      </c>
    </row>
    <row r="1085" spans="13:13" x14ac:dyDescent="0.35">
      <c r="M1085" t="s">
        <v>838</v>
      </c>
    </row>
    <row r="1086" spans="13:13" x14ac:dyDescent="0.35">
      <c r="M1086" t="s">
        <v>1791</v>
      </c>
    </row>
    <row r="1087" spans="13:13" x14ac:dyDescent="0.35">
      <c r="M1087" t="s">
        <v>1792</v>
      </c>
    </row>
    <row r="1088" spans="13:13" x14ac:dyDescent="0.35">
      <c r="M1088" t="s">
        <v>1793</v>
      </c>
    </row>
    <row r="1089" spans="13:13" x14ac:dyDescent="0.35">
      <c r="M1089" t="s">
        <v>1794</v>
      </c>
    </row>
    <row r="1090" spans="13:13" x14ac:dyDescent="0.35">
      <c r="M1090" t="s">
        <v>1795</v>
      </c>
    </row>
    <row r="1091" spans="13:13" x14ac:dyDescent="0.35">
      <c r="M1091" t="s">
        <v>863</v>
      </c>
    </row>
    <row r="1092" spans="13:13" x14ac:dyDescent="0.35">
      <c r="M1092" t="s">
        <v>1209</v>
      </c>
    </row>
    <row r="1093" spans="13:13" x14ac:dyDescent="0.35">
      <c r="M1093" t="s">
        <v>1796</v>
      </c>
    </row>
    <row r="1094" spans="13:13" x14ac:dyDescent="0.35">
      <c r="M1094" t="s">
        <v>1797</v>
      </c>
    </row>
    <row r="1095" spans="13:13" x14ac:dyDescent="0.35">
      <c r="M1095" t="s">
        <v>1798</v>
      </c>
    </row>
    <row r="1096" spans="13:13" x14ac:dyDescent="0.35">
      <c r="M1096" t="s">
        <v>1799</v>
      </c>
    </row>
    <row r="1097" spans="13:13" x14ac:dyDescent="0.35">
      <c r="M1097" t="s">
        <v>871</v>
      </c>
    </row>
    <row r="1098" spans="13:13" x14ac:dyDescent="0.35">
      <c r="M1098" t="s">
        <v>786</v>
      </c>
    </row>
    <row r="1099" spans="13:13" x14ac:dyDescent="0.35">
      <c r="M1099" t="s">
        <v>1800</v>
      </c>
    </row>
    <row r="1100" spans="13:13" x14ac:dyDescent="0.35">
      <c r="M1100" t="s">
        <v>1801</v>
      </c>
    </row>
    <row r="1101" spans="13:13" x14ac:dyDescent="0.35">
      <c r="M1101" t="s">
        <v>1802</v>
      </c>
    </row>
    <row r="1102" spans="13:13" x14ac:dyDescent="0.35">
      <c r="M1102" t="s">
        <v>1803</v>
      </c>
    </row>
    <row r="1103" spans="13:13" x14ac:dyDescent="0.35">
      <c r="M1103" t="s">
        <v>1804</v>
      </c>
    </row>
    <row r="1104" spans="13:13" x14ac:dyDescent="0.35">
      <c r="M1104" t="s">
        <v>1805</v>
      </c>
    </row>
    <row r="1105" spans="13:13" x14ac:dyDescent="0.35">
      <c r="M1105" t="s">
        <v>1806</v>
      </c>
    </row>
    <row r="1106" spans="13:13" x14ac:dyDescent="0.35">
      <c r="M1106" t="s">
        <v>1807</v>
      </c>
    </row>
    <row r="1107" spans="13:13" x14ac:dyDescent="0.35">
      <c r="M1107" t="s">
        <v>1808</v>
      </c>
    </row>
    <row r="1108" spans="13:13" x14ac:dyDescent="0.35">
      <c r="M1108" t="s">
        <v>1809</v>
      </c>
    </row>
    <row r="1109" spans="13:13" x14ac:dyDescent="0.35">
      <c r="M1109" t="s">
        <v>941</v>
      </c>
    </row>
    <row r="1110" spans="13:13" x14ac:dyDescent="0.35">
      <c r="M1110" t="s">
        <v>1810</v>
      </c>
    </row>
    <row r="1111" spans="13:13" x14ac:dyDescent="0.35">
      <c r="M1111" t="s">
        <v>1811</v>
      </c>
    </row>
    <row r="1112" spans="13:13" x14ac:dyDescent="0.35">
      <c r="M1112" t="s">
        <v>1812</v>
      </c>
    </row>
    <row r="1113" spans="13:13" x14ac:dyDescent="0.35">
      <c r="M1113" t="s">
        <v>1813</v>
      </c>
    </row>
    <row r="1114" spans="13:13" x14ac:dyDescent="0.35">
      <c r="M1114" t="s">
        <v>1814</v>
      </c>
    </row>
    <row r="1115" spans="13:13" x14ac:dyDescent="0.35">
      <c r="M1115" t="s">
        <v>1815</v>
      </c>
    </row>
    <row r="1116" spans="13:13" x14ac:dyDescent="0.35">
      <c r="M1116" t="s">
        <v>1816</v>
      </c>
    </row>
    <row r="1117" spans="13:13" x14ac:dyDescent="0.35">
      <c r="M1117" t="s">
        <v>1817</v>
      </c>
    </row>
    <row r="1118" spans="13:13" x14ac:dyDescent="0.35">
      <c r="M1118" t="s">
        <v>1818</v>
      </c>
    </row>
    <row r="1119" spans="13:13" x14ac:dyDescent="0.35">
      <c r="M1119" t="s">
        <v>1819</v>
      </c>
    </row>
    <row r="1120" spans="13:13" x14ac:dyDescent="0.35">
      <c r="M1120" t="s">
        <v>1820</v>
      </c>
    </row>
    <row r="1121" spans="1:13" x14ac:dyDescent="0.35">
      <c r="M1121" t="s">
        <v>1821</v>
      </c>
    </row>
    <row r="1122" spans="1:13" x14ac:dyDescent="0.35">
      <c r="M1122" t="s">
        <v>1822</v>
      </c>
    </row>
    <row r="1123" spans="1:13" x14ac:dyDescent="0.35">
      <c r="M1123" t="s">
        <v>1823</v>
      </c>
    </row>
    <row r="1124" spans="1:13" x14ac:dyDescent="0.35">
      <c r="M1124" t="s">
        <v>1824</v>
      </c>
    </row>
    <row r="1125" spans="1:13" x14ac:dyDescent="0.35">
      <c r="M1125" t="s">
        <v>1825</v>
      </c>
    </row>
    <row r="1126" spans="1:13" x14ac:dyDescent="0.35">
      <c r="M1126" t="s">
        <v>1826</v>
      </c>
    </row>
    <row r="1127" spans="1:13" x14ac:dyDescent="0.35">
      <c r="M1127" t="s">
        <v>1827</v>
      </c>
    </row>
    <row r="1128" spans="1:13" x14ac:dyDescent="0.35">
      <c r="A1128" t="s">
        <v>1828</v>
      </c>
      <c r="L1128" t="s">
        <v>824</v>
      </c>
      <c r="M1128" t="s">
        <v>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Portafolio_Proyectos</vt:lpstr>
      <vt:lpstr>Diccionario_Capacidades</vt:lpstr>
      <vt:lpstr>Capacidades_CI</vt:lpstr>
      <vt:lpstr>Dashboard_Gerencial</vt:lpstr>
      <vt:lpstr>V1_Impacto_Territorial</vt:lpstr>
      <vt:lpstr>V2_Impacto_Demostrado</vt:lpstr>
      <vt:lpstr>V3_Trayectoria_TRL</vt:lpstr>
      <vt:lpstr>V4_Red_Alianzas</vt:lpstr>
      <vt:lpstr>V5_Portafolio_Activo</vt:lpstr>
      <vt:lpstr>V6_Capacidades_Cientificas</vt:lpstr>
      <vt:lpstr>V7_Productividad_Cientifica</vt:lpstr>
      <vt:lpstr>V8_Ficha_Proyecto</vt:lpstr>
      <vt:lpstr>Listas_Control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REBOLLEDO ROA</dc:creator>
  <cp:lastModifiedBy>ALEXANDER REBOLLEDO ROA</cp:lastModifiedBy>
  <dcterms:created xsi:type="dcterms:W3CDTF">2026-05-07T15:25:41Z</dcterms:created>
  <dcterms:modified xsi:type="dcterms:W3CDTF">2026-05-22T20:55:49Z</dcterms:modified>
</cp:coreProperties>
</file>